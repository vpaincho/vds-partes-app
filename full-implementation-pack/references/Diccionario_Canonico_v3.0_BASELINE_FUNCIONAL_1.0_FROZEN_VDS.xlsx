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921cbaf26d479c" /></Relationships>
</file>

<file path=xl/workbook.xml><?xml version="1.0" encoding="utf-8"?>
<x:workbook xmlns:x="http://schemas.openxmlformats.org/spreadsheetml/2006/main">
  <x:sheets>
    <x:sheet xmlns:r="http://schemas.openxmlformats.org/officeDocument/2006/relationships" name="00_Léeme" sheetId="1" r:id="R7ea29b8397034bc9"/>
    <x:sheet xmlns:r="http://schemas.openxmlformats.org/officeDocument/2006/relationships" name="01_Diccionario_v0" sheetId="2" r:id="Rbde600406d92412f"/>
    <x:sheet xmlns:r="http://schemas.openxmlformats.org/officeDocument/2006/relationships" name="02_Mapeo_63_a_v0" sheetId="3" r:id="Rb58dee9c078f4145"/>
    <x:sheet xmlns:r="http://schemas.openxmlformats.org/officeDocument/2006/relationships" name="03_Validaciones" sheetId="4" r:id="R08a0df66828f4511"/>
    <x:sheet xmlns:r="http://schemas.openxmlformats.org/officeDocument/2006/relationships" name="04_Catálogos" sheetId="5" r:id="R5dc4924082c54689"/>
    <x:sheet xmlns:r="http://schemas.openxmlformats.org/officeDocument/2006/relationships" name="05_Benchmark_PAE" sheetId="6" r:id="R328ed0c74a954d7d"/>
    <x:sheet xmlns:r="http://schemas.openxmlformats.org/officeDocument/2006/relationships" name="99_Listas" sheetId="7" r:id="R2ae10706b0e54ef6"/>
    <x:sheet xmlns:r="http://schemas.openxmlformats.org/officeDocument/2006/relationships" name="06_Tipos_Parte_Ruteo" sheetId="8" r:id="Rb2e48995e3fb478b"/>
    <x:sheet xmlns:r="http://schemas.openxmlformats.org/officeDocument/2006/relationships" name="07_Control_Documental" sheetId="9" r:id="R014692fdb337486f"/>
    <x:sheet xmlns:r="http://schemas.openxmlformats.org/officeDocument/2006/relationships" name="08_Contratos_Reglas" sheetId="10" r:id="R6272bca272af44b5"/>
    <x:sheet xmlns:r="http://schemas.openxmlformats.org/officeDocument/2006/relationships" name="09_Respuestas_Operacion" sheetId="11" r:id="R2b474850b9d64bf6"/>
    <x:sheet xmlns:r="http://schemas.openxmlformats.org/officeDocument/2006/relationships" name="10_Matriz_Tipos_Parte" sheetId="12" r:id="Rda3c57ba7d324fa2"/>
    <x:sheet xmlns:r="http://schemas.openxmlformats.org/officeDocument/2006/relationships" name="11_Arquitectura_REV_C1" sheetId="13" r:id="R9dbc910fd3644475"/>
    <x:sheet xmlns:r="http://schemas.openxmlformats.org/officeDocument/2006/relationships" name="12_TP03_Reporte_Cuadrilla" sheetId="14" r:id="R9e389bf5ef424d2f"/>
    <x:sheet xmlns:r="http://schemas.openxmlformats.org/officeDocument/2006/relationships" name="13_TP02_Transporte_Cargas" sheetId="15" r:id="R4c22a6497bb74c20"/>
    <x:sheet xmlns:r="http://schemas.openxmlformats.org/officeDocument/2006/relationships" name="14_Mapa_Contractual_v0" sheetId="16" r:id="Rbe9197d5c12a4a68"/>
    <x:sheet xmlns:r="http://schemas.openxmlformats.org/officeDocument/2006/relationships" name="15_Evidencia_Contractual" sheetId="17" r:id="Rd59d962406e7481c"/>
    <x:sheet xmlns:r="http://schemas.openxmlformats.org/officeDocument/2006/relationships" name="16_Capa_Maestra_REV_D0" sheetId="18" r:id="R7de104a23ed84811"/>
    <x:sheet xmlns:r="http://schemas.openxmlformats.org/officeDocument/2006/relationships" name="17_Interface_A_Plan_Parte" sheetId="19" r:id="Rdaf1aeacf87d4ad8"/>
    <x:sheet xmlns:r="http://schemas.openxmlformats.org/officeDocument/2006/relationships" name="18_Capa_Maestra_REV_D1" sheetId="20" r:id="Rb6915344ddde4e61"/>
    <x:sheet xmlns:r="http://schemas.openxmlformats.org/officeDocument/2006/relationships" name="19_Logica_Planificacion_v0" sheetId="21" r:id="R9f30588bc561478e"/>
    <x:sheet xmlns:r="http://schemas.openxmlformats.org/officeDocument/2006/relationships" name="20_Logica_Cert_Fact_v0" sheetId="22" r:id="Raf1b4c6b9d424aa8"/>
    <x:sheet xmlns:r="http://schemas.openxmlformats.org/officeDocument/2006/relationships" name="21_Capa_Maestra_REV_D2" sheetId="23" r:id="Ra53c7989ceba47b1"/>
    <x:sheet xmlns:r="http://schemas.openxmlformats.org/officeDocument/2006/relationships" name="22_TP01_Intervencion_Trabajo" sheetId="24" r:id="Re6d06338430b4733"/>
    <x:sheet xmlns:r="http://schemas.openxmlformats.org/officeDocument/2006/relationships" name="23_Capa_Maestra_REV_D3" sheetId="25" r:id="Rc445e03e20344cf2"/>
    <x:sheet xmlns:r="http://schemas.openxmlformats.org/officeDocument/2006/relationships" name="24_Auditoria_Patches" sheetId="26" r:id="R0de230893f80412b"/>
    <x:sheet xmlns:r="http://schemas.openxmlformats.org/officeDocument/2006/relationships" name="25_Control_Plane_Offline" sheetId="27" r:id="R3eeb646c075048d2"/>
    <x:sheet xmlns:r="http://schemas.openxmlformats.org/officeDocument/2006/relationships" name="26_Capa_Maestra_REV_D4" sheetId="28" r:id="R8a3143f87f0f4829"/>
    <x:sheet xmlns:r="http://schemas.openxmlformats.org/officeDocument/2006/relationships" name="27_Stress_Test_REV_D4" sheetId="29" r:id="R93a9a469d000445e"/>
    <x:sheet xmlns:r="http://schemas.openxmlformats.org/officeDocument/2006/relationships" name="28_Hallazgos_Stress_D4" sheetId="30" r:id="Reb6138f5a71f4d14"/>
    <x:sheet xmlns:r="http://schemas.openxmlformats.org/officeDocument/2006/relationships" name="29_Capa_Maestra_REV_D5" sheetId="31" r:id="R58f95b59b74c4a84"/>
    <x:sheet xmlns:r="http://schemas.openxmlformats.org/officeDocument/2006/relationships" name="30_Logica_HSE_Eventos_v0" sheetId="32" r:id="Rbf33806ac6294c86"/>
    <x:sheet xmlns:r="http://schemas.openxmlformats.org/officeDocument/2006/relationships" name="31_Stress_Test_HSE" sheetId="33" r:id="R4bc436b72555498e"/>
    <x:sheet xmlns:r="http://schemas.openxmlformats.org/officeDocument/2006/relationships" name="32_Capa_Maestra_REV_D6" sheetId="34" r:id="Rfb770b53ad74493d"/>
    <x:sheet xmlns:r="http://schemas.openxmlformats.org/officeDocument/2006/relationships" name="33_Cuestionario_Cierre_REV_E" sheetId="35" r:id="R164810e35aac4b49"/>
    <x:sheet xmlns:r="http://schemas.openxmlformats.org/officeDocument/2006/relationships" name="34_Matriz_Impacto_Respuestas" sheetId="36" r:id="Rc3cbd7eb00294e04"/>
    <x:sheet xmlns:r="http://schemas.openxmlformats.org/officeDocument/2006/relationships" name="35_REV_E_Freeze_Map" sheetId="37" r:id="Rf21acb6d69744d54"/>
    <x:sheet xmlns:r="http://schemas.openxmlformats.org/officeDocument/2006/relationships" name="36_Contratos_Funcionales_REV_E" sheetId="38" r:id="R9ccab5b582bd4b27"/>
    <x:sheet xmlns:r="http://schemas.openxmlformats.org/officeDocument/2006/relationships" name="37_Capa_Maestra_REV_E_Candidate" sheetId="39" r:id="Rf6d56037e7eb4706"/>
    <x:sheet xmlns:r="http://schemas.openxmlformats.org/officeDocument/2006/relationships" name="38_Auditoria_Gemini_REV_E" sheetId="40" r:id="R8c25ee4b64a74897"/>
    <x:sheet xmlns:r="http://schemas.openxmlformats.org/officeDocument/2006/relationships" name="39_Gates_REV_E_Final" sheetId="41" r:id="Re044dc760f724ead"/>
    <x:sheet xmlns:r="http://schemas.openxmlformats.org/officeDocument/2006/relationships" name="40_Capa_Maestra_REV_E_v2" sheetId="42" r:id="R1ccc1ec8daa24c77"/>
    <x:sheet xmlns:r="http://schemas.openxmlformats.org/officeDocument/2006/relationships" name="41_REV_E_Final_Baseline" sheetId="43" r:id="Re1ce90526ac34e28"/>
    <x:sheet xmlns:r="http://schemas.openxmlformats.org/officeDocument/2006/relationships" name="42_Modelo_Relacional_Entidades" sheetId="44" r:id="R489dd1966a0d4a0e"/>
    <x:sheet xmlns:r="http://schemas.openxmlformats.org/officeDocument/2006/relationships" name="43_Modelo_Relacional_Relaciones" sheetId="45" r:id="Rb8153e8e997c4669"/>
    <x:sheet xmlns:r="http://schemas.openxmlformats.org/officeDocument/2006/relationships" name="44_Modelo_Relacional_Invariantes" sheetId="46" r:id="Rbd8bbe6677f4456c"/>
    <x:sheet xmlns:r="http://schemas.openxmlformats.org/officeDocument/2006/relationships" name="45_Hallazgos_Modelo_Relacional" sheetId="47" r:id="R9ba63a12e9b24367"/>
    <x:sheet xmlns:r="http://schemas.openxmlformats.org/officeDocument/2006/relationships" name="46_ERD_Logico_Core" sheetId="48" r:id="Rcd89c6fa4913404b"/>
    <x:sheet xmlns:r="http://schemas.openxmlformats.org/officeDocument/2006/relationships" name="47_Nomenclatura_Habilita" sheetId="49" r:id="R99b19c357af04214"/>
    <x:sheet xmlns:r="http://schemas.openxmlformats.org/officeDocument/2006/relationships" name="48_Maquinas_Estado_Master" sheetId="50" r:id="Re0e0d441c5ca4114"/>
    <x:sheet xmlns:r="http://schemas.openxmlformats.org/officeDocument/2006/relationships" name="49_SM_Planificacion" sheetId="51" r:id="R8798594eab1845ad"/>
    <x:sheet xmlns:r="http://schemas.openxmlformats.org/officeDocument/2006/relationships" name="50_SM_Ejecucion" sheetId="52" r:id="R2a73d9c59c424b69"/>
    <x:sheet xmlns:r="http://schemas.openxmlformats.org/officeDocument/2006/relationships" name="51_SM_Habilita_PTW" sheetId="53" r:id="Rf4d356f0851e4047"/>
    <x:sheet xmlns:r="http://schemas.openxmlformats.org/officeDocument/2006/relationships" name="52_SM_Directiva_Operativa" sheetId="54" r:id="Rdddf36010cef49e9"/>
    <x:sheet xmlns:r="http://schemas.openxmlformats.org/officeDocument/2006/relationships" name="53_SM_Habilita_Eventos" sheetId="55" r:id="R781bd05af0c84670"/>
    <x:sheet xmlns:r="http://schemas.openxmlformats.org/officeDocument/2006/relationships" name="54_SM_Certificacion" sheetId="56" r:id="R8c2033a6083f404d"/>
    <x:sheet xmlns:r="http://schemas.openxmlformats.org/officeDocument/2006/relationships" name="55_SM_Facturacion" sheetId="57" r:id="R3824a9cd92a34354"/>
    <x:sheet xmlns:r="http://schemas.openxmlformats.org/officeDocument/2006/relationships" name="56_Transiciones_Prohibidas" sheetId="58" r:id="Rb7f9c2b0a6964aaf"/>
    <x:sheet xmlns:r="http://schemas.openxmlformats.org/officeDocument/2006/relationships" name="57_Matriz_Maestra_Reglas" sheetId="59" r:id="Rf62226f5e45f470f"/>
    <x:sheet xmlns:r="http://schemas.openxmlformats.org/officeDocument/2006/relationships" name="58_Prioridad_Conflictos_Reglas" sheetId="60" r:id="R79e1e25e614743af"/>
    <x:sheet xmlns:r="http://schemas.openxmlformats.org/officeDocument/2006/relationships" name="59_Reglas_Planificacion" sheetId="61" r:id="R148fca4425aa46f5"/>
    <x:sheet xmlns:r="http://schemas.openxmlformats.org/officeDocument/2006/relationships" name="60_Reglas_Ejecucion" sheetId="62" r:id="R562458a2080448f9"/>
    <x:sheet xmlns:r="http://schemas.openxmlformats.org/officeDocument/2006/relationships" name="61_Reglas_Habilita_Control" sheetId="63" r:id="R97341283f2854cb0"/>
    <x:sheet xmlns:r="http://schemas.openxmlformats.org/officeDocument/2006/relationships" name="62_Reglas_Cert_Fact" sheetId="64" r:id="Rab1413c454834682"/>
    <x:sheet xmlns:r="http://schemas.openxmlformats.org/officeDocument/2006/relationships" name="63_Contrato_Motor_Reglas" sheetId="65" r:id="R1b5e068cf2054262"/>
    <x:sheet xmlns:r="http://schemas.openxmlformats.org/officeDocument/2006/relationships" name="64_Motor_Reglas_Visual" sheetId="66" r:id="R50337a3c61014dde"/>
    <x:sheet xmlns:r="http://schemas.openxmlformats.org/officeDocument/2006/relationships" name="65_Matriz_Automatizacion_Campo" sheetId="67" r:id="Rbb039d22c78f4329"/>
    <x:sheet xmlns:r="http://schemas.openxmlformats.org/officeDocument/2006/relationships" name="66_Presupuesto_UX_2min" sheetId="68" r:id="Rd84fbc58c5da4e37"/>
    <x:sheet xmlns:r="http://schemas.openxmlformats.org/officeDocument/2006/relationships" name="67_Gap_Input_Humano" sheetId="69" r:id="Rab4564a29a5c469c"/>
    <x:sheet xmlns:r="http://schemas.openxmlformats.org/officeDocument/2006/relationships" name="68_Contratos_Captura_Flujos" sheetId="70" r:id="R190e1c3955ad449c"/>
    <x:sheet xmlns:r="http://schemas.openxmlformats.org/officeDocument/2006/relationships" name="69_Automatizacion_2min_Visual" sheetId="71" r:id="R91cecb3946344543"/>
    <x:sheet xmlns:r="http://schemas.openxmlformats.org/officeDocument/2006/relationships" name="70_Golden_Scenarios_Master" sheetId="72" r:id="R5b04a75fc002406c"/>
    <x:sheet xmlns:r="http://schemas.openxmlformats.org/officeDocument/2006/relationships" name="71_Golden_Coverage" sheetId="73" r:id="Ra7a66edc239b4041"/>
    <x:sheet xmlns:r="http://schemas.openxmlformats.org/officeDocument/2006/relationships" name="72_Freeze_Gate_FINAL" sheetId="74" r:id="R5ecc7cefa289407c"/>
    <x:sheet xmlns:r="http://schemas.openxmlformats.org/officeDocument/2006/relationships" name="73_Change_Control_Baseline" sheetId="75" r:id="Re8d9e4490ef04490"/>
    <x:sheet xmlns:r="http://schemas.openxmlformats.org/officeDocument/2006/relationships" name="74_Arquitectura_FINAL_FROZEN" sheetId="76" r:id="R2ce3bbaf285a4471"/>
  </x:sheets>
</x:workbook>
</file>

<file path=xl/sharedStrings.xml><?xml version="1.0" encoding="utf-8"?>
<x:sst xmlns:x="http://schemas.openxmlformats.org/spreadsheetml/2006/main"/>
</file>

<file path=xl/styles.xml><?xml version="1.0" encoding="utf-8"?>
<x:styleSheet xmlns:x="http://schemas.openxmlformats.org/spreadsheetml/2006/main">
  <x:fonts count="56">
    <x:font>
      <x:sz val="11"/>
      <x:name val="Carlito"/>
    </x:font>
    <x:font>
      <x:b/>
      <x:sz val="16"/>
      <x:color rgb="FFFFFFFF"/>
      <x:name val="Carlito"/>
    </x:font>
    <x:font>
      <x:i/>
      <x:sz val="10"/>
      <x:color rgb="FF656565"/>
      <x:name val="Carlito"/>
    </x:font>
    <x:font>
      <x:b/>
      <x:sz val="11"/>
      <x:color rgb="FF656565"/>
      <x:name val="Carlito"/>
    </x:font>
    <x:font>
      <x:b/>
      <x:sz val="11"/>
      <x:color rgb="FFFFFFFF"/>
      <x:name val="Carlito"/>
    </x:font>
    <x:font>
      <x:b/>
      <x:sz val="11"/>
      <x:color rgb="FF17262A"/>
      <x:name val="Carlito"/>
    </x:font>
    <x:font>
      <x:b/>
      <x:sz val="11"/>
      <x:color rgb="FF10273B"/>
      <x:name val="Carlito"/>
    </x:font>
    <x:font>
      <x:b/>
      <x:sz val="15"/>
      <x:color rgb="FFFFFFFF"/>
      <x:name val="Carlito"/>
    </x:font>
    <x:font>
      <x:i/>
      <x:sz val="11"/>
      <x:color rgb="FF17262A"/>
      <x:name val="Carlito"/>
    </x:font>
    <x:font>
      <x:sz val="9"/>
      <x:color rgb="FF17262A"/>
      <x:name val="Carlito"/>
    </x:font>
    <x:font>
      <x:b/>
      <x:sz val="9"/>
      <x:color rgb="FF17262A"/>
      <x:name val="Carlito"/>
    </x:font>
    <x:font>
      <x:b/>
      <x:sz val="11"/>
      <x:color rgb="FFFA5D6C"/>
      <x:name val="Carlito"/>
    </x:font>
    <x:font>
      <x:sz val="11"/>
      <x:color rgb="FF17262A"/>
      <x:name val="Carlito"/>
    </x:font>
    <x:font>
      <x:b/>
      <x:sz val="14"/>
      <x:color rgb="FFFFFFFF"/>
      <x:name val="Carlito"/>
    </x:font>
    <x:font>
      <x:b/>
      <x:sz val="18"/>
      <x:color rgb="FF656565"/>
      <x:name val="Carlito"/>
    </x:font>
    <x:font>
      <x:b/>
      <x:sz val="11"/>
      <x:color rgb="FFB07D1A"/>
      <x:name val="Carlito"/>
    </x:font>
    <x:font>
      <x:sz val="10"/>
      <x:color rgb="FF17262A"/>
      <x:name val="Carlito"/>
    </x:font>
    <x:font>
      <x:b/>
      <x:sz val="10"/>
      <x:color rgb="FF17262A"/>
      <x:name val="Carlito"/>
    </x:font>
    <x:font>
      <x:sz val="9"/>
      <x:name val="Carlito"/>
    </x:font>
    <x:font>
      <x:b/>
      <x:sz val="13"/>
      <x:color rgb="FFFFFFFF"/>
      <x:name val="Carlito"/>
    </x:font>
    <x:font>
      <x:sz val="9"/>
      <x:color rgb="FF656565"/>
      <x:name val="Carlito"/>
    </x:font>
    <x:font>
      <x:b/>
      <x:sz val="10"/>
      <x:color rgb="FFFFFFFF"/>
      <x:name val="Carlito"/>
    </x:font>
    <x:font>
      <x:b/>
      <x:sz val="14"/>
      <x:color rgb="FF656565"/>
      <x:name val="Carlito"/>
    </x:font>
    <x:font>
      <x:b/>
      <x:sz val="8"/>
      <x:color rgb="FF10273B"/>
      <x:name val="Carlito"/>
    </x:font>
    <x:font>
      <x:b/>
      <x:sz val="8"/>
      <x:color rgb="FF17262A"/>
      <x:name val="Carlito"/>
    </x:font>
    <x:font>
      <x:b/>
      <x:sz val="9"/>
      <x:color rgb="FF17262A"/>
      <x:name val="Arial"/>
    </x:font>
    <x:font>
      <x:sz val="9"/>
      <x:color rgb="FF17262A"/>
      <x:name val="Arial"/>
    </x:font>
    <x:font>
      <x:b/>
      <x:sz val="13"/>
      <x:color rgb="FFFFFFFF"/>
      <x:name val="Arial"/>
    </x:font>
    <x:font>
      <x:b/>
      <x:sz val="10"/>
      <x:color rgb="FFFFFFFF"/>
      <x:name val="Arial"/>
    </x:font>
    <x:font>
      <x:b/>
      <x:sz val="8"/>
      <x:color rgb="FF10273B"/>
      <x:name val="Arial"/>
    </x:font>
    <x:font>
      <x:b/>
      <x:sz val="11"/>
      <x:color rgb="FF39464A"/>
      <x:name val="Carlito"/>
    </x:font>
    <x:font>
      <x:b/>
      <x:sz val="14"/>
      <x:color rgb="FF39464A"/>
      <x:name val="Carlito"/>
    </x:font>
    <x:font>
      <x:b/>
      <x:sz val="9"/>
      <x:color rgb="FF253238"/>
      <x:name val="Carlito"/>
    </x:font>
    <x:font>
      <x:b/>
      <x:sz val="9"/>
      <x:color rgb="FF39464A"/>
      <x:name val="Carlito"/>
    </x:font>
    <x:font>
      <x:b/>
      <x:sz val="8"/>
      <x:color rgb="FF39464A"/>
      <x:name val="Carlito"/>
    </x:font>
    <x:font>
      <x:sz val="9"/>
      <x:color rgb="FF253238"/>
      <x:name val="Carlito"/>
    </x:font>
    <x:font>
      <x:b/>
      <x:sz val="13"/>
      <x:color rgb="FF39464A"/>
      <x:name val="Carlito"/>
    </x:font>
    <x:font>
      <x:b/>
      <x:sz val="8"/>
      <x:color rgb="FFFFFFFF"/>
      <x:name val="Carlito"/>
    </x:font>
    <x:font>
      <x:b/>
      <x:sz val="10"/>
      <x:color rgb="FF39464A"/>
      <x:name val="Carlito"/>
    </x:font>
    <x:font>
      <x:b/>
      <x:sz val="8"/>
      <x:color rgb="FF253238"/>
      <x:name val="Carlito"/>
    </x:font>
    <x:font>
      <x:b/>
      <x:sz val="9"/>
      <x:color rgb="FF253238"/>
      <x:name val="Arial"/>
    </x:font>
    <x:font>
      <x:sz val="9"/>
      <x:color rgb="FF253238"/>
      <x:name val="Arial"/>
    </x:font>
    <x:font>
      <x:b/>
      <x:sz val="14"/>
      <x:color rgb="FF39464A"/>
      <x:name val="Arial"/>
    </x:font>
    <x:font>
      <x:sz val="8"/>
      <x:color rgb="FF253238"/>
      <x:name val="Carlito"/>
    </x:font>
    <x:font>
      <x:b/>
      <x:sz val="10"/>
      <x:color rgb="FF39464A"/>
      <x:name val="Arial"/>
    </x:font>
    <x:font>
      <x:sz val="8"/>
      <x:color rgb="FF253238"/>
      <x:name val="Arial"/>
    </x:font>
    <x:font>
      <x:b/>
      <x:sz val="10"/>
      <x:color rgb="FF253238"/>
      <x:name val="Carlito"/>
    </x:font>
    <x:font>
      <x:b/>
      <x:sz val="8"/>
      <x:color rgb="FFFFFFFF"/>
      <x:name val="Arial"/>
    </x:font>
    <x:font>
      <x:b/>
      <x:sz val="13"/>
      <x:color rgb="FF39464A"/>
      <x:name val="Arial"/>
    </x:font>
    <x:font>
      <x:b/>
      <x:sz val="15"/>
      <x:color rgb="FF39464A"/>
      <x:name val="Carlito"/>
    </x:font>
    <x:font>
      <x:b/>
      <x:sz val="9"/>
      <x:color rgb="FF656565"/>
      <x:name val="Carlito"/>
    </x:font>
    <x:font>
      <x:b/>
      <x:sz val="15"/>
      <x:color rgb="FF39464A"/>
      <x:name val="Arial"/>
    </x:font>
    <x:font>
      <x:b/>
      <x:sz val="8"/>
      <x:color rgb="FF253238"/>
      <x:name val="Arial"/>
    </x:font>
    <x:font>
      <x:b/>
      <x:sz val="12"/>
      <x:color rgb="FF253238"/>
      <x:name val="Carlito"/>
    </x:font>
    <x:font>
      <x:b/>
      <x:sz val="16"/>
      <x:color rgb="FF39464A"/>
      <x:name val="Carlito"/>
    </x:font>
    <x:font>
      <x:b/>
      <x:sz val="11"/>
      <x:color rgb="FF253238"/>
      <x:name val="Carlito"/>
    </x:font>
  </x:fonts>
  <x:fills count="140">
    <x:fill>
      <x:patternFill patternType="none"/>
    </x:fill>
    <x:fill>
      <x:patternFill patternType="gray125"/>
    </x:fill>
    <x:fill>
      <x:patternFill patternType="solid">
        <x:fgColor rgb="FF17262A"/>
      </x:patternFill>
    </x:fill>
    <x:fill>
      <x:patternFill patternType="solid">
        <x:fgColor rgb="FFF1F4F2"/>
      </x:patternFill>
    </x:fill>
    <x:fill>
      <x:patternFill patternType="solid">
        <x:fgColor rgb="FF656565"/>
      </x:patternFill>
    </x:fill>
    <x:fill>
      <x:patternFill patternType="solid">
        <x:fgColor rgb="FFFA5D6C"/>
      </x:patternFill>
    </x:fill>
    <x:fill>
      <x:patternFill patternType="solid">
        <x:fgColor rgb="FFFFF0F2"/>
      </x:patternFill>
    </x:fill>
    <x:fill>
      <x:patternFill patternType="solid">
        <x:fgColor rgb="FFF7F8F8"/>
      </x:patternFill>
    </x:fill>
    <x:fill>
      <x:patternFill patternType="solid">
        <x:fgColor rgb="FF10273B"/>
      </x:patternFill>
    </x:fill>
    <x:fill>
      <x:patternFill patternType="solid">
        <x:fgColor rgb="FFDCEAF0"/>
      </x:patternFill>
    </x:fill>
    <x:fill>
      <x:patternFill patternType="solid">
        <x:fgColor rgb="FF10273B"/>
      </x:patternFill>
    </x:fill>
    <x:fill>
      <x:patternFill patternType="solid">
        <x:fgColor rgb="FFF4F7F9"/>
      </x:patternFill>
    </x:fill>
    <x:fill>
      <x:patternFill patternType="solid">
        <x:fgColor rgb="FF17354F"/>
      </x:patternFill>
    </x:fill>
    <x:fill>
      <x:patternFill patternType="solid">
        <x:fgColor rgb="FFDCEAF2"/>
      </x:patternFill>
    </x:fill>
    <x:fill>
      <x:patternFill patternType="solid">
        <x:fgColor rgb="FFFFFFFF"/>
      </x:patternFill>
    </x:fill>
    <x:fill>
      <x:patternFill patternType="solid">
        <x:fgColor rgb="FFFBFBFC"/>
      </x:patternFill>
    </x:fill>
    <x:fill>
      <x:patternFill patternType="solid">
        <x:fgColor rgb="FFE7F3EC"/>
      </x:patternFill>
    </x:fill>
    <x:fill>
      <x:patternFill patternType="solid">
        <x:fgColor rgb="FFFAF0D9"/>
      </x:patternFill>
    </x:fill>
    <x:fill>
      <x:patternFill patternType="solid">
        <x:fgColor rgb="FFFFF2F4"/>
      </x:patternFill>
    </x:fill>
    <x:fill>
      <x:patternFill patternType="solid">
        <x:fgColor rgb="FFFFF8E7"/>
      </x:patternFill>
    </x:fill>
    <x:fill>
      <x:patternFill patternType="solid">
        <x:fgColor rgb="FFF2F4F5"/>
      </x:patternFill>
    </x:fill>
    <x:fill>
      <x:patternFill patternType="solid">
        <x:fgColor rgb="FF10273B"/>
      </x:patternFill>
    </x:fill>
    <x:fill>
      <x:patternFill patternType="solid">
        <x:fgColor rgb="FFEAF0F3"/>
      </x:patternFill>
    </x:fill>
    <x:fill>
      <x:patternFill patternType="solid">
        <x:fgColor rgb="FFEEF5F8"/>
      </x:patternFill>
    </x:fill>
    <x:fill>
      <x:patternFill patternType="solid">
        <x:fgColor rgb="FFFFF0F2"/>
      </x:patternFill>
    </x:fill>
    <x:fill>
      <x:patternFill patternType="solid">
        <x:fgColor rgb="FFF4F7F8"/>
      </x:patternFill>
    </x:fill>
    <x:fill>
      <x:patternFill patternType="solid">
        <x:fgColor rgb="FFDCE7EC"/>
      </x:patternFill>
    </x:fill>
    <x:fill>
      <x:patternFill patternType="solid">
        <x:fgColor rgb="FFF0F3F5"/>
      </x:patternFill>
    </x:fill>
    <x:fill>
      <x:patternFill patternType="solid">
        <x:fgColor rgb="FFEAF4EE"/>
      </x:patternFill>
    </x:fill>
    <x:fill>
      <x:patternFill patternType="solid">
        <x:fgColor rgb="FFFFF8E8"/>
      </x:patternFill>
    </x:fill>
    <x:fill>
      <x:patternFill patternType="solid">
        <x:fgColor rgb="FFEAF2F6"/>
      </x:patternFill>
    </x:fill>
    <x:fill>
      <x:patternFill patternType="solid">
        <x:fgColor rgb="FF10273B"/>
      </x:patternFill>
    </x:fill>
    <x:fill>
      <x:patternFill patternType="solid">
        <x:fgColor rgb="FFFDECEF"/>
      </x:patternFill>
    </x:fill>
    <x:fill>
      <x:patternFill patternType="solid">
        <x:fgColor rgb="FFF4F8FA"/>
      </x:patternFill>
    </x:fill>
    <x:fill>
      <x:patternFill patternType="solid">
        <x:fgColor rgb="FFE7F4EA"/>
      </x:patternFill>
    </x:fill>
    <x:fill>
      <x:patternFill patternType="solid">
        <x:fgColor rgb="FFFFF4D6"/>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FFF4D6"/>
      </x:patternFill>
    </x:fill>
    <x:fill>
      <x:patternFill patternType="solid">
        <x:fgColor rgb="FFFCECEC"/>
      </x:patternFill>
    </x:fill>
    <x:fill>
      <x:patternFill patternType="solid">
        <x:fgColor rgb="FFEEF5F8"/>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FFF4D6"/>
      </x:patternFill>
    </x:fill>
    <x:fill>
      <x:patternFill patternType="solid">
        <x:fgColor rgb="FFEEF5F8"/>
      </x:patternFill>
    </x:fill>
    <x:fill>
      <x:patternFill patternType="solid">
        <x:fgColor rgb="FFFCECEC"/>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FCECEC"/>
      </x:patternFill>
    </x:fill>
    <x:fill>
      <x:patternFill patternType="solid">
        <x:fgColor rgb="FFEEF5F8"/>
      </x:patternFill>
    </x:fill>
    <x:fill>
      <x:patternFill patternType="solid">
        <x:fgColor rgb="FFE8F4EA"/>
      </x:patternFill>
    </x:fill>
    <x:fill>
      <x:patternFill patternType="solid">
        <x:fgColor rgb="FFFFF4D6"/>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EEF5F8"/>
      </x:patternFill>
    </x:fill>
    <x:fill>
      <x:patternFill patternType="solid">
        <x:fgColor rgb="FFFCECEC"/>
      </x:patternFill>
    </x:fill>
    <x:fill>
      <x:patternFill patternType="solid">
        <x:fgColor rgb="FFFFF4D6"/>
      </x:patternFill>
    </x:fill>
    <x:fill>
      <x:patternFill patternType="solid">
        <x:fgColor rgb="FFE8F4EA"/>
      </x:patternFill>
    </x:fill>
    <x:fill>
      <x:patternFill patternType="solid">
        <x:fgColor rgb="FFF2F3F3"/>
      </x:patternFill>
    </x:fill>
    <x:fill>
      <x:patternFill patternType="solid">
        <x:fgColor rgb="FFFFF4D6"/>
      </x:patternFill>
    </x:fill>
    <x:fill>
      <x:patternFill patternType="solid">
        <x:fgColor rgb="FFFFFFFF"/>
      </x:patternFill>
    </x:fill>
    <x:fill>
      <x:patternFill patternType="solid">
        <x:fgColor rgb="FFFA5D6C"/>
      </x:patternFill>
    </x:fill>
    <x:fill>
      <x:patternFill patternType="solid">
        <x:fgColor rgb="FFE8F4EA"/>
      </x:patternFill>
    </x:fill>
    <x:fill>
      <x:patternFill patternType="solid">
        <x:fgColor rgb="FFFCECEC"/>
      </x:patternFill>
    </x:fill>
    <x:fill>
      <x:patternFill patternType="solid">
        <x:fgColor rgb="FFEEF5F8"/>
      </x:patternFill>
    </x:fill>
    <x:fill>
      <x:patternFill patternType="solid">
        <x:fgColor rgb="FFFFFFFF"/>
      </x:patternFill>
    </x:fill>
    <x:fill>
      <x:patternFill patternType="solid">
        <x:fgColor rgb="FFF2F3F3"/>
      </x:patternFill>
    </x:fill>
    <x:fill>
      <x:patternFill patternType="solid">
        <x:fgColor rgb="FFEEF5F8"/>
      </x:patternFill>
    </x:fill>
    <x:fill>
      <x:patternFill patternType="solid">
        <x:fgColor rgb="FFFA5D6C"/>
      </x:patternFill>
    </x:fill>
    <x:fill>
      <x:patternFill patternType="solid">
        <x:fgColor rgb="FFE8F4EA"/>
      </x:patternFill>
    </x:fill>
    <x:fill>
      <x:patternFill patternType="solid">
        <x:fgColor rgb="FFFFF4D6"/>
      </x:patternFill>
    </x:fill>
    <x:fill>
      <x:patternFill patternType="solid">
        <x:fgColor rgb="FFFCECEC"/>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EEF5F8"/>
      </x:patternFill>
    </x:fill>
    <x:fill>
      <x:patternFill patternType="solid">
        <x:fgColor rgb="FFFFF4D6"/>
      </x:patternFill>
    </x:fill>
    <x:fill>
      <x:patternFill patternType="solid">
        <x:fgColor rgb="FFFCECEC"/>
      </x:patternFill>
    </x:fill>
    <x:fill>
      <x:patternFill patternType="solid">
        <x:fgColor rgb="FFE8F4EA"/>
      </x:patternFill>
    </x:fill>
    <x:fill>
      <x:patternFill patternType="solid">
        <x:fgColor rgb="FFF2F3F3"/>
      </x:patternFill>
    </x:fill>
    <x:fill>
      <x:patternFill patternType="solid">
        <x:fgColor rgb="FFFFFFFF"/>
      </x:patternFill>
    </x:fill>
    <x:fill>
      <x:patternFill patternType="solid">
        <x:fgColor rgb="FFEEF5F8"/>
      </x:patternFill>
    </x:fill>
    <x:fill>
      <x:patternFill patternType="solid">
        <x:fgColor rgb="FFFA5D6C"/>
      </x:patternFill>
    </x:fill>
    <x:fill>
      <x:patternFill patternType="solid">
        <x:fgColor rgb="FFFFF4D6"/>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E8F4EA"/>
      </x:patternFill>
    </x:fill>
    <x:fill>
      <x:patternFill patternType="solid">
        <x:fgColor rgb="FFEEF5F8"/>
      </x:patternFill>
    </x:fill>
    <x:fill>
      <x:patternFill patternType="solid">
        <x:fgColor rgb="FFFFF4D6"/>
      </x:patternFill>
    </x:fill>
    <x:fill>
      <x:patternFill patternType="solid">
        <x:fgColor rgb="FFF2F3F3"/>
      </x:patternFill>
    </x:fill>
    <x:fill>
      <x:patternFill patternType="solid">
        <x:fgColor rgb="FFEEF5F8"/>
      </x:patternFill>
    </x:fill>
    <x:fill>
      <x:patternFill patternType="solid">
        <x:fgColor rgb="FFFFF4D6"/>
      </x:patternFill>
    </x:fill>
    <x:fill>
      <x:patternFill patternType="solid">
        <x:fgColor rgb="FFE8F4EA"/>
      </x:patternFill>
    </x:fill>
    <x:fill>
      <x:patternFill patternType="solid">
        <x:fgColor rgb="FFFA5D6C"/>
      </x:patternFill>
    </x:fill>
    <x:fill>
      <x:patternFill patternType="solid">
        <x:fgColor rgb="FFFFFFFF"/>
      </x:patternFill>
    </x:fill>
    <x:fill>
      <x:patternFill patternType="solid">
        <x:fgColor rgb="FFFCECEC"/>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EEF5F8"/>
      </x:patternFill>
    </x:fill>
    <x:fill>
      <x:patternFill patternType="solid">
        <x:fgColor rgb="FFE8F4EA"/>
      </x:patternFill>
    </x:fill>
    <x:fill>
      <x:patternFill patternType="solid">
        <x:fgColor rgb="FFFFF4D6"/>
      </x:patternFill>
    </x:fill>
    <x:fill>
      <x:patternFill patternType="solid">
        <x:fgColor rgb="FFFCECEC"/>
      </x:patternFill>
    </x:fill>
    <x:fill>
      <x:patternFill patternType="solid">
        <x:fgColor rgb="FFFFFFFF"/>
      </x:patternFill>
    </x:fill>
    <x:fill>
      <x:patternFill patternType="solid">
        <x:fgColor rgb="FFF2F3F3"/>
      </x:patternFill>
    </x:fill>
    <x:fill>
      <x:patternFill patternType="solid">
        <x:fgColor rgb="FFFA5D6C"/>
      </x:patternFill>
    </x:fill>
    <x:fill>
      <x:patternFill patternType="solid">
        <x:fgColor rgb="FFE8F4EA"/>
      </x:patternFill>
    </x:fill>
    <x:fill>
      <x:patternFill patternType="solid">
        <x:fgColor rgb="FFEEF5F8"/>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E8F4EA"/>
      </x:patternFill>
    </x:fill>
    <x:fill>
      <x:patternFill patternType="solid">
        <x:fgColor rgb="FFEEF5F8"/>
      </x:patternFill>
    </x:fill>
    <x:fill>
      <x:patternFill patternType="solid">
        <x:fgColor rgb="FFFFF4D6"/>
      </x:patternFill>
    </x:fill>
    <x:fill>
      <x:patternFill patternType="solid">
        <x:fgColor rgb="FFFCECEC"/>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EEF5F8"/>
      </x:patternFill>
    </x:fill>
    <x:fill>
      <x:patternFill patternType="solid">
        <x:fgColor rgb="FFE8F4EA"/>
      </x:patternFill>
    </x:fill>
    <x:fill>
      <x:patternFill patternType="solid">
        <x:fgColor rgb="FFFFF4D6"/>
      </x:patternFill>
    </x:fill>
    <x:fill>
      <x:patternFill patternType="solid">
        <x:fgColor rgb="FFFCECEC"/>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E8F4EA"/>
      </x:patternFill>
    </x:fill>
    <x:fill>
      <x:patternFill patternType="solid">
        <x:fgColor rgb="FFEEF5F8"/>
      </x:patternFill>
    </x:fill>
    <x:fill>
      <x:patternFill patternType="solid">
        <x:fgColor rgb="FFFFF4D6"/>
      </x:patternFill>
    </x:fill>
    <x:fill>
      <x:patternFill patternType="solid">
        <x:fgColor rgb="FFF2F3F3"/>
      </x:patternFill>
    </x:fill>
    <x:fill>
      <x:patternFill patternType="solid">
        <x:fgColor rgb="FFFFFFFF"/>
      </x:patternFill>
    </x:fill>
    <x:fill>
      <x:patternFill patternType="solid">
        <x:fgColor rgb="FFFA5D6C"/>
      </x:patternFill>
    </x:fill>
    <x:fill>
      <x:patternFill patternType="solid">
        <x:fgColor rgb="FFE8F4EA"/>
      </x:patternFill>
    </x:fill>
    <x:fill>
      <x:patternFill patternType="solid">
        <x:fgColor rgb="FFFCECEC"/>
      </x:patternFill>
    </x:fill>
    <x:fill>
      <x:patternFill patternType="solid">
        <x:fgColor rgb="FFFFF4D6"/>
      </x:patternFill>
    </x:fill>
    <x:fill>
      <x:patternFill patternType="solid">
        <x:fgColor rgb="FFEEF5F8"/>
      </x:patternFill>
    </x:fill>
  </x:fills>
  <x:borders count="323">
    <x:border/>
    <x:border/>
    <x:border/>
    <x:border/>
    <x:border>
      <x:left style="thin">
        <x:color rgb="FFC9D2D8"/>
      </x:left>
      <x:top style="thin">
        <x:color rgb="FFC9D2D8"/>
      </x:top>
    </x:border>
    <x:border>
      <x:top style="thin">
        <x:color rgb="FFC9D2D8"/>
      </x:top>
    </x:border>
    <x:border>
      <x:right style="thin">
        <x:color rgb="FFC9D2D8"/>
      </x:right>
      <x:top style="thin">
        <x:color rgb="FFC9D2D8"/>
      </x:top>
    </x:border>
    <x:border>
      <x:left style="thin">
        <x:color rgb="FFC9D2D8"/>
      </x:left>
    </x:border>
    <x:border>
      <x:right style="thin">
        <x:color rgb="FFC9D2D8"/>
      </x:right>
    </x:border>
    <x:border>
      <x:left style="thin">
        <x:color rgb="FFC9D2D8"/>
      </x:left>
      <x:bottom style="thin">
        <x:color rgb="FFC9D2D8"/>
      </x:bottom>
    </x:border>
    <x:border>
      <x:bottom style="thin">
        <x:color rgb="FFC9D2D8"/>
      </x:bottom>
    </x:border>
    <x:border>
      <x:right style="thin">
        <x:color rgb="FFC9D2D8"/>
      </x:right>
      <x:bottom style="thin">
        <x:color rgb="FFC9D2D8"/>
      </x:bottom>
    </x:border>
    <x:border>
      <x:left style="medium">
        <x:color rgb="FF10273B"/>
      </x:left>
      <x:top style="medium">
        <x:color rgb="FF10273B"/>
      </x:top>
    </x:border>
    <x:border>
      <x:right style="medium">
        <x:color rgb="FF10273B"/>
      </x:right>
      <x:top style="medium">
        <x:color rgb="FF10273B"/>
      </x:top>
    </x:border>
    <x:border>
      <x:left style="medium">
        <x:color rgb="FF10273B"/>
      </x:left>
    </x:border>
    <x:border>
      <x:right style="medium">
        <x:color rgb="FF10273B"/>
      </x:right>
    </x:border>
    <x:border>
      <x:left style="medium">
        <x:color rgb="FF10273B"/>
      </x:left>
      <x:bottom style="medium">
        <x:color rgb="FF10273B"/>
      </x:bottom>
    </x:border>
    <x:border>
      <x:right style="medium">
        <x:color rgb="FF10273B"/>
      </x:right>
      <x:bottom style="medium">
        <x:color rgb="FF10273B"/>
      </x:bottom>
    </x:border>
    <x:border>
      <x:top style="medium">
        <x:color rgb="FF10273B"/>
      </x:top>
    </x:border>
    <x:border>
      <x:bottom style="medium">
        <x:color rgb="FF10273B"/>
      </x:bottom>
    </x:border>
    <x:border>
      <x:left style="medium">
        <x:color rgb="FFFA5D6C"/>
      </x:left>
      <x:top style="medium">
        <x:color rgb="FFFA5D6C"/>
      </x:top>
    </x:border>
    <x:border>
      <x:top style="medium">
        <x:color rgb="FFFA5D6C"/>
      </x:top>
    </x:border>
    <x:border>
      <x:right style="medium">
        <x:color rgb="FFFA5D6C"/>
      </x:right>
      <x:top style="medium">
        <x:color rgb="FFFA5D6C"/>
      </x:top>
    </x:border>
    <x:border>
      <x:left style="medium">
        <x:color rgb="FFFA5D6C"/>
      </x:left>
    </x:border>
    <x:border>
      <x:right style="medium">
        <x:color rgb="FFFA5D6C"/>
      </x:right>
    </x:border>
    <x:border>
      <x:left style="medium">
        <x:color rgb="FFFA5D6C"/>
      </x:left>
      <x:bottom style="medium">
        <x:color rgb="FFFA5D6C"/>
      </x:bottom>
    </x:border>
    <x:border>
      <x:bottom style="medium">
        <x:color rgb="FFFA5D6C"/>
      </x:bottom>
    </x:border>
    <x:border>
      <x:right style="medium">
        <x:color rgb="FFFA5D6C"/>
      </x:right>
      <x:bottom style="medium">
        <x:color rgb="FFFA5D6C"/>
      </x:bottom>
    </x:border>
    <x:border>
      <x:left style="medium">
        <x:color rgb="FF656565"/>
      </x:left>
      <x:top style="medium">
        <x:color rgb="FF656565"/>
      </x:top>
    </x:border>
    <x:border>
      <x:top style="medium">
        <x:color rgb="FF656565"/>
      </x:top>
    </x:border>
    <x:border>
      <x:right style="medium">
        <x:color rgb="FF656565"/>
      </x:right>
      <x:top style="medium">
        <x:color rgb="FF656565"/>
      </x:top>
    </x:border>
    <x:border>
      <x:left style="medium">
        <x:color rgb="FF656565"/>
      </x:left>
    </x:border>
    <x:border>
      <x:right style="medium">
        <x:color rgb="FF656565"/>
      </x:right>
    </x:border>
    <x:border>
      <x:left style="medium">
        <x:color rgb="FF656565"/>
      </x:left>
      <x:bottom style="medium">
        <x:color rgb="FF656565"/>
      </x:bottom>
    </x:border>
    <x:border>
      <x:bottom style="medium">
        <x:color rgb="FF656565"/>
      </x:bottom>
    </x:border>
    <x:border>
      <x:right style="medium">
        <x:color rgb="FF656565"/>
      </x:right>
      <x:bottom style="medium">
        <x:color rgb="FF656565"/>
      </x:bottom>
    </x:border>
    <x:border>
      <x:left style="medium">
        <x:color rgb="FFB07D1A"/>
      </x:left>
      <x:top style="medium">
        <x:color rgb="FFB07D1A"/>
      </x:top>
    </x:border>
    <x:border>
      <x:top style="medium">
        <x:color rgb="FFB07D1A"/>
      </x:top>
    </x:border>
    <x:border>
      <x:right style="medium">
        <x:color rgb="FFB07D1A"/>
      </x:right>
      <x:top style="medium">
        <x:color rgb="FFB07D1A"/>
      </x:top>
    </x:border>
    <x:border>
      <x:left style="medium">
        <x:color rgb="FFB07D1A"/>
      </x:left>
    </x:border>
    <x:border>
      <x:right style="medium">
        <x:color rgb="FFB07D1A"/>
      </x:right>
    </x:border>
    <x:border>
      <x:left style="medium">
        <x:color rgb="FFB07D1A"/>
      </x:left>
      <x:bottom style="medium">
        <x:color rgb="FFB07D1A"/>
      </x:bottom>
    </x:border>
    <x:border>
      <x:bottom style="medium">
        <x:color rgb="FFB07D1A"/>
      </x:bottom>
    </x:border>
    <x:border>
      <x:right style="medium">
        <x:color rgb="FFB07D1A"/>
      </x:right>
      <x:bottom style="medium">
        <x:color rgb="FFB07D1A"/>
      </x:bottom>
    </x:border>
    <x:border>
      <x:left style="dashed">
        <x:color rgb="FF656565"/>
      </x:left>
      <x:top style="dashed">
        <x:color rgb="FF656565"/>
      </x:top>
    </x:border>
    <x:border>
      <x:top style="dashed">
        <x:color rgb="FF656565"/>
      </x:top>
    </x:border>
    <x:border>
      <x:right style="dashed">
        <x:color rgb="FF656565"/>
      </x:right>
      <x:top style="dashed">
        <x:color rgb="FF656565"/>
      </x:top>
    </x:border>
    <x:border>
      <x:left style="dashed">
        <x:color rgb="FF656565"/>
      </x:left>
    </x:border>
    <x:border>
      <x:right style="dashed">
        <x:color rgb="FF656565"/>
      </x:right>
    </x:border>
    <x:border>
      <x:left style="dashed">
        <x:color rgb="FF656565"/>
      </x:left>
      <x:bottom style="dashed">
        <x:color rgb="FF656565"/>
      </x:bottom>
    </x:border>
    <x:border>
      <x:bottom style="dashed">
        <x:color rgb="FF656565"/>
      </x:bottom>
    </x:border>
    <x:border>
      <x:right style="dashed">
        <x:color rgb="FF656565"/>
      </x:right>
      <x:bottom style="dashed">
        <x:color rgb="FF656565"/>
      </x:bottom>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right/>
      <x:bottom/>
    </x:border>
    <x:border>
      <x:left/>
      <x:right/>
    </x:border>
  </x:borders>
  <x:cellStyleXfs count="1">
    <x:xf numFmtId="0" fontId="0" fillId="0" borderId="0"/>
  </x:cellStyleXfs>
  <x:cellXfs count="494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0" xfId="0" applyNumberFormat="1" applyFont="1" applyFill="1" applyBorder="1" applyAlignment="1">
      <x:alignment wrapText="1"/>
    </x:xf>
    <x:xf numFmtId="0" fontId="5" fillId="6" borderId="1" xfId="0" applyNumberFormat="1" applyFont="1" applyFill="1" applyBorder="1" applyAlignment="1">
      <x:alignment wrapText="1"/>
    </x:xf>
    <x:xf numFmtId="0" fontId="1" fillId="2" borderId="0" xfId="0" applyNumberFormat="1" applyFont="1" applyFill="1" applyBorder="1" applyAlignment="1">
      <x:alignment vertical="top"/>
    </x:xf>
    <x:xf numFmtId="0" fontId="2" fillId="3" borderId="0" xfId="0" applyNumberFormat="1" applyFont="1" applyFill="1" applyBorder="1" applyAlignment="1">
      <x:alignment vertical="top"/>
    </x:xf>
    <x:xf numFmtId="0" fontId="0"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5"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1" fillId="2" borderId="1" xfId="0" applyNumberFormat="1" applyFont="1" applyFill="1" applyBorder="1" applyAlignment="1">
      <x:alignment vertical="top"/>
    </x:xf>
    <x:xf numFmtId="0" fontId="2" fillId="3" borderId="1" xfId="0" applyNumberFormat="1" applyFont="1" applyFill="1" applyBorder="1" applyAlignment="1">
      <x:alignment vertical="top"/>
    </x:xf>
    <x:xf numFmtId="0" fontId="0" fillId="0" borderId="1" xfId="0" applyNumberFormat="1" applyFont="1" applyFill="1" applyBorder="1" applyAlignment="1">
      <x:alignment vertical="top"/>
    </x:xf>
    <x:xf numFmtId="0" fontId="3" fillId="0" borderId="1" xfId="0" applyNumberFormat="1" applyFont="1" applyFill="1" applyBorder="1" applyAlignment="1">
      <x:alignment vertical="top"/>
    </x:xf>
    <x:xf numFmtId="0" fontId="4" fillId="4" borderId="1" xfId="0" applyNumberFormat="1" applyFont="1" applyFill="1" applyBorder="1" applyAlignment="1">
      <x:alignment vertical="top"/>
    </x:xf>
    <x:xf numFmtId="0" fontId="4" fillId="5"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4" fillId="4" borderId="0" xfId="0" applyNumberFormat="1" applyFont="1" applyFill="1" applyBorder="1" applyAlignment="1">
      <x:alignment wrapText="1"/>
    </x:xf>
    <x:xf numFmtId="0" fontId="4" fillId="4" borderId="1" xfId="0" applyNumberFormat="1" applyFont="1" applyFill="1" applyBorder="1" applyAlignment="1">
      <x:alignment wrapText="1"/>
    </x:xf>
    <x:xf numFmtId="0" fontId="4" fillId="4" borderId="0"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4" fillId="4" borderId="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2"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7" borderId="3" xfId="0" applyNumberFormat="1" applyFont="1" applyFill="1" applyBorder="1" applyAlignment="1">
      <x:alignment vertical="top"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0" borderId="0"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center" wrapText="1"/>
    </x:xf>
    <x:xf numFmtId="0" fontId="4" fillId="8" borderId="0" xfId="0" applyNumberFormat="1" applyFont="1" applyFill="1" applyBorder="1" applyAlignment="1">
      <x:alignment horizontal="center"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0" fillId="10" borderId="0" xfId="0" applyNumberFormat="1" applyFont="1" applyFill="1" applyBorder="1"/>
    <x:xf numFmtId="0" fontId="4"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left"/>
    </x:xf>
    <x:xf numFmtId="0" fontId="7" fillId="10" borderId="0" xfId="0" applyNumberFormat="1" applyFont="1" applyFill="1" applyBorder="1" applyAlignment="1">
      <x:alignment horizontal="left" vertical="center"/>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horizontal="center"/>
    </x:xf>
    <x:xf numFmtId="0" fontId="4" fillId="12" borderId="0" xfId="0" applyNumberFormat="1" applyFont="1" applyFill="1" applyBorder="1" applyAlignment="1">
      <x:alignment horizontal="center" vertical="center"/>
    </x:xf>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horizontal="center" wrapText="1"/>
    </x:xf>
    <x:xf numFmtId="0" fontId="5"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vertical="top" wrapText="1"/>
    </x:xf>
    <x:xf numFmtId="0" fontId="0" fillId="15"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0" fillId="17" borderId="0" xfId="0" applyNumberFormat="1" applyFont="1" applyFill="1" applyBorder="1" applyAlignment="1">
      <x:alignment vertical="top" wrapText="1"/>
    </x:xf>
    <x:xf numFmtId="0" fontId="4" fillId="12" borderId="4" xfId="0" applyNumberFormat="1" applyFont="1" applyFill="1" applyBorder="1" applyAlignment="1">
      <x:alignment horizontal="center" vertical="center"/>
    </x:xf>
    <x:xf numFmtId="0" fontId="4" fillId="12" borderId="5" xfId="0" applyNumberFormat="1" applyFont="1" applyFill="1" applyBorder="1" applyAlignment="1">
      <x:alignment horizontal="center" vertical="center"/>
    </x:xf>
    <x:xf numFmtId="0" fontId="4" fillId="12" borderId="6" xfId="0" applyNumberFormat="1" applyFont="1" applyFill="1" applyBorder="1" applyAlignment="1">
      <x:alignment horizontal="center" vertical="center"/>
    </x:xf>
    <x:xf numFmtId="0" fontId="5" fillId="13" borderId="7" xfId="0" applyNumberFormat="1" applyFont="1" applyFill="1" applyBorder="1" applyAlignment="1">
      <x:alignment horizontal="center" vertical="center" wrapText="1"/>
    </x:xf>
    <x:xf numFmtId="0" fontId="5" fillId="13" xfId="0" applyNumberFormat="1" applyFont="1" applyFill="1" applyBorder="0" applyAlignment="1">
      <x:alignment horizontal="center" vertical="center" wrapText="1"/>
    </x:xf>
    <x:xf numFmtId="0" fontId="5" fillId="13" borderId="8" xfId="0" applyNumberFormat="1" applyFont="1" applyFill="1" applyBorder="1" applyAlignment="1">
      <x:alignment horizontal="center" vertical="center" wrapText="1"/>
    </x:xf>
    <x:xf numFmtId="0" fontId="0" fillId="14" borderId="7" xfId="0" applyNumberFormat="1" applyFont="1" applyFill="1" applyBorder="1" applyAlignment="1">
      <x:alignment vertical="top" wrapText="1"/>
    </x:xf>
    <x:xf numFmtId="0" fontId="0" fillId="14" xfId="0" applyNumberFormat="1" applyFont="1" applyFill="1" applyBorder="0" applyAlignment="1">
      <x:alignment vertical="top" wrapText="1"/>
    </x:xf>
    <x:xf numFmtId="0" fontId="0" fillId="16" xfId="0" applyNumberFormat="1" applyFont="1" applyFill="1" applyBorder="0" applyAlignment="1">
      <x:alignment vertical="top" wrapText="1"/>
    </x:xf>
    <x:xf numFmtId="0" fontId="0" fillId="14" borderId="8" xfId="0" applyNumberFormat="1" applyFont="1" applyFill="1" applyBorder="1" applyAlignment="1">
      <x:alignment vertical="top" wrapText="1"/>
    </x:xf>
    <x:xf numFmtId="0" fontId="0" fillId="15" borderId="7" xfId="0" applyNumberFormat="1" applyFont="1" applyFill="1" applyBorder="1" applyAlignment="1">
      <x:alignment vertical="top" wrapText="1"/>
    </x:xf>
    <x:xf numFmtId="0" fontId="0" fillId="15" xfId="0" applyNumberFormat="1" applyFont="1" applyFill="1" applyBorder="0" applyAlignment="1">
      <x:alignment vertical="top" wrapText="1"/>
    </x:xf>
    <x:xf numFmtId="0" fontId="0" fillId="17" xfId="0" applyNumberFormat="1" applyFont="1" applyFill="1" applyBorder="0" applyAlignment="1">
      <x:alignment vertical="top" wrapText="1"/>
    </x:xf>
    <x:xf numFmtId="0" fontId="0" fillId="15" borderId="8" xfId="0" applyNumberFormat="1" applyFont="1" applyFill="1" applyBorder="1" applyAlignment="1">
      <x:alignment vertical="top" wrapText="1"/>
    </x:xf>
    <x:xf numFmtId="0" fontId="0" fillId="15" borderId="9" xfId="0" applyNumberFormat="1" applyFont="1" applyFill="1" applyBorder="1" applyAlignment="1">
      <x:alignment vertical="top" wrapText="1"/>
    </x:xf>
    <x:xf numFmtId="0" fontId="0" fillId="15" borderId="10" xfId="0" applyNumberFormat="1" applyFont="1" applyFill="1" applyBorder="1" applyAlignment="1">
      <x:alignment vertical="top" wrapText="1"/>
    </x:xf>
    <x:xf numFmtId="0" fontId="0" fillId="17" borderId="10" xfId="0" applyNumberFormat="1" applyFont="1" applyFill="1" applyBorder="1" applyAlignment="1">
      <x:alignment vertical="top" wrapText="1"/>
    </x:xf>
    <x:xf numFmtId="0" fontId="0" fillId="15" borderId="11" xfId="0" applyNumberFormat="1" applyFont="1" applyFill="1" applyBorder="1" applyAlignment="1">
      <x:alignment vertical="top" wrapText="1"/>
    </x:xf>
    <x:xf numFmtId="0" fontId="9" fillId="14" borderId="7" xfId="0" applyNumberFormat="1" applyFont="1" applyFill="1" applyBorder="1" applyAlignment="1">
      <x:alignment vertical="top" wrapText="1"/>
    </x:xf>
    <x:xf numFmtId="0" fontId="9" fillId="14" xfId="0" applyNumberFormat="1" applyFont="1" applyFill="1" applyBorder="0" applyAlignment="1">
      <x:alignment vertical="top" wrapText="1"/>
    </x:xf>
    <x:xf numFmtId="0" fontId="9" fillId="16" xfId="0" applyNumberFormat="1" applyFont="1" applyFill="1" applyBorder="0" applyAlignment="1">
      <x:alignment vertical="top" wrapText="1"/>
    </x:xf>
    <x:xf numFmtId="0" fontId="9" fillId="14" borderId="8" xfId="0" applyNumberFormat="1" applyFont="1" applyFill="1" applyBorder="1" applyAlignment="1">
      <x:alignment vertical="top" wrapText="1"/>
    </x:xf>
    <x:xf numFmtId="0" fontId="9" fillId="15" borderId="7" xfId="0" applyNumberFormat="1" applyFont="1" applyFill="1" applyBorder="1" applyAlignment="1">
      <x:alignment vertical="top" wrapText="1"/>
    </x:xf>
    <x:xf numFmtId="0" fontId="9" fillId="15" xfId="0" applyNumberFormat="1" applyFont="1" applyFill="1" applyBorder="0" applyAlignment="1">
      <x:alignment vertical="top" wrapText="1"/>
    </x:xf>
    <x:xf numFmtId="0" fontId="9" fillId="17" xfId="0" applyNumberFormat="1" applyFont="1" applyFill="1" applyBorder="0" applyAlignment="1">
      <x:alignment vertical="top" wrapText="1"/>
    </x:xf>
    <x:xf numFmtId="0" fontId="9" fillId="15" borderId="8" xfId="0" applyNumberFormat="1" applyFont="1" applyFill="1" applyBorder="1" applyAlignment="1">
      <x:alignment vertical="top" wrapText="1"/>
    </x:xf>
    <x:xf numFmtId="0" fontId="9" fillId="15" borderId="9" xfId="0" applyNumberFormat="1" applyFont="1" applyFill="1" applyBorder="1" applyAlignment="1">
      <x:alignment vertical="top" wrapText="1"/>
    </x:xf>
    <x:xf numFmtId="0" fontId="9" fillId="15" borderId="10" xfId="0" applyNumberFormat="1" applyFont="1" applyFill="1" applyBorder="1" applyAlignment="1">
      <x:alignment vertical="top" wrapText="1"/>
    </x:xf>
    <x:xf numFmtId="0" fontId="9" fillId="17" borderId="10" xfId="0" applyNumberFormat="1" applyFont="1" applyFill="1" applyBorder="1" applyAlignment="1">
      <x:alignment vertical="top" wrapText="1"/>
    </x:xf>
    <x:xf numFmtId="0" fontId="9" fillId="15" borderId="11" xfId="0" applyNumberFormat="1" applyFont="1" applyFill="1" applyBorder="1" applyAlignment="1">
      <x:alignment vertical="top" wrapText="1"/>
    </x:xf>
    <x:xf numFmtId="0" fontId="10" fillId="14" borderId="7" xfId="0" applyNumberFormat="1" applyFont="1" applyFill="1" applyBorder="1" applyAlignment="1">
      <x:alignment vertical="top" wrapText="1"/>
    </x:xf>
    <x:xf numFmtId="0" fontId="10" fillId="14" xfId="0" applyNumberFormat="1" applyFont="1" applyFill="1" applyBorder="0" applyAlignment="1">
      <x:alignment vertical="top" wrapText="1"/>
    </x:xf>
    <x:xf numFmtId="0" fontId="10" fillId="15" borderId="7" xfId="0" applyNumberFormat="1" applyFont="1" applyFill="1" applyBorder="1" applyAlignment="1">
      <x:alignment vertical="top" wrapText="1"/>
    </x:xf>
    <x:xf numFmtId="0" fontId="10" fillId="15" xfId="0" applyNumberFormat="1" applyFont="1" applyFill="1" applyBorder="0" applyAlignment="1">
      <x:alignment vertical="top" wrapText="1"/>
    </x:xf>
    <x:xf numFmtId="0" fontId="10" fillId="15" borderId="9" xfId="0" applyNumberFormat="1" applyFont="1" applyFill="1" applyBorder="1" applyAlignment="1">
      <x:alignment vertical="top" wrapText="1"/>
    </x:xf>
    <x:xf numFmtId="0" fontId="10" fillId="15" borderId="10" xfId="0" applyNumberFormat="1" applyFont="1" applyFill="1" applyBorder="1" applyAlignment="1">
      <x:alignment vertical="top" wrapText="1"/>
    </x:xf>
    <x:xf numFmtId="0" fontId="11" fillId="0" borderId="0" xfId="0" applyNumberFormat="1" applyFont="1" applyFill="1" applyBorder="1" applyAlignment="1">
      <x:alignment wrapText="1"/>
    </x:xf>
    <x:xf numFmtId="0" fontId="12" fillId="0" borderId="0" xfId="0" applyNumberFormat="1" applyFont="1" applyFill="1" applyBorder="1" applyAlignment="1">
      <x:alignment wrapText="1"/>
    </x:xf>
    <x:xf numFmtId="0" fontId="13" fillId="10" borderId="0" xfId="0" applyNumberFormat="1" applyFont="1" applyFill="1" applyBorder="1"/>
    <x:xf numFmtId="0" fontId="0" fillId="14" borderId="0" xfId="0" applyNumberFormat="1" applyFont="1" applyFill="1" applyBorder="1"/>
    <x:xf numFmtId="0" fontId="5" fillId="14" borderId="0" xfId="0" applyNumberFormat="1" applyFont="1" applyFill="1" applyBorder="1"/>
    <x:xf numFmtId="0" fontId="5" fillId="14" borderId="12" xfId="0" applyNumberFormat="1" applyFont="1" applyFill="1" applyBorder="1"/>
    <x:xf numFmtId="0" fontId="5" fillId="14" borderId="13" xfId="0" applyNumberFormat="1" applyFont="1" applyFill="1" applyBorder="1"/>
    <x:xf numFmtId="0" fontId="5" fillId="14" borderId="14" xfId="0" applyNumberFormat="1" applyFont="1" applyFill="1" applyBorder="1"/>
    <x:xf numFmtId="0" fontId="5" fillId="14" borderId="15" xfId="0" applyNumberFormat="1" applyFont="1" applyFill="1" applyBorder="1"/>
    <x:xf numFmtId="0" fontId="5" fillId="14" borderId="16" xfId="0" applyNumberFormat="1" applyFont="1" applyFill="1" applyBorder="1"/>
    <x:xf numFmtId="0" fontId="5" fillId="14" borderId="17" xfId="0" applyNumberFormat="1" applyFont="1" applyFill="1" applyBorder="1"/>
    <x:xf numFmtId="0" fontId="5" fillId="14" borderId="12" xfId="0" applyNumberFormat="1" applyFont="1" applyFill="1" applyBorder="1" applyAlignment="1">
      <x:alignment wrapText="1"/>
    </x:xf>
    <x:xf numFmtId="0" fontId="5" fillId="14" borderId="13" xfId="0" applyNumberFormat="1" applyFont="1" applyFill="1" applyBorder="1" applyAlignment="1">
      <x:alignment wrapText="1"/>
    </x:xf>
    <x:xf numFmtId="0" fontId="5" fillId="14" borderId="14" xfId="0" applyNumberFormat="1" applyFont="1" applyFill="1" applyBorder="1" applyAlignment="1">
      <x:alignment wrapText="1"/>
    </x:xf>
    <x:xf numFmtId="0" fontId="5" fillId="14" borderId="15" xfId="0" applyNumberFormat="1" applyFont="1" applyFill="1" applyBorder="1" applyAlignment="1">
      <x:alignment wrapText="1"/>
    </x:xf>
    <x:xf numFmtId="0" fontId="5" fillId="14" borderId="16" xfId="0" applyNumberFormat="1" applyFont="1" applyFill="1" applyBorder="1" applyAlignment="1">
      <x:alignment wrapText="1"/>
    </x:xf>
    <x:xf numFmtId="0" fontId="5" fillId="14" borderId="17" xfId="0" applyNumberFormat="1" applyFont="1" applyFill="1" applyBorder="1" applyAlignment="1">
      <x:alignment wrapText="1"/>
    </x:xf>
    <x:xf numFmtId="0" fontId="5" fillId="14" borderId="12" xfId="0" applyNumberFormat="1" applyFont="1" applyFill="1" applyBorder="1" applyAlignment="1">
      <x:alignment horizontal="center" wrapText="1"/>
    </x:xf>
    <x:xf numFmtId="0" fontId="5" fillId="14" borderId="13" xfId="0" applyNumberFormat="1" applyFont="1" applyFill="1" applyBorder="1" applyAlignment="1">
      <x:alignment horizontal="center" wrapText="1"/>
    </x:xf>
    <x:xf numFmtId="0" fontId="5" fillId="14" borderId="14" xfId="0" applyNumberFormat="1" applyFont="1" applyFill="1" applyBorder="1" applyAlignment="1">
      <x:alignment horizontal="center" wrapText="1"/>
    </x:xf>
    <x:xf numFmtId="0" fontId="5" fillId="14" borderId="15" xfId="0" applyNumberFormat="1" applyFont="1" applyFill="1" applyBorder="1" applyAlignment="1">
      <x:alignment horizontal="center" wrapText="1"/>
    </x:xf>
    <x:xf numFmtId="0" fontId="5" fillId="14" borderId="16" xfId="0" applyNumberFormat="1" applyFont="1" applyFill="1" applyBorder="1" applyAlignment="1">
      <x:alignment horizontal="center" wrapText="1"/>
    </x:xf>
    <x:xf numFmtId="0" fontId="5" fillId="14" borderId="17" xfId="0" applyNumberFormat="1" applyFont="1" applyFill="1" applyBorder="1" applyAlignment="1">
      <x:alignment horizontal="center" wrapText="1"/>
    </x:xf>
    <x:xf numFmtId="0" fontId="5" fillId="14" borderId="12" xfId="0" applyNumberFormat="1" applyFont="1" applyFill="1" applyBorder="1" applyAlignment="1">
      <x:alignment horizontal="center" vertical="center" wrapText="1"/>
    </x:xf>
    <x:xf numFmtId="0" fontId="5" fillId="14" borderId="13" xfId="0" applyNumberFormat="1" applyFont="1" applyFill="1" applyBorder="1" applyAlignment="1">
      <x:alignment horizontal="center" vertical="center" wrapText="1"/>
    </x:xf>
    <x:xf numFmtId="0" fontId="5" fillId="14" borderId="14" xfId="0" applyNumberFormat="1" applyFont="1" applyFill="1" applyBorder="1" applyAlignment="1">
      <x:alignment horizontal="center" vertical="center" wrapText="1"/>
    </x:xf>
    <x:xf numFmtId="0" fontId="5" fillId="14" borderId="15" xfId="0" applyNumberFormat="1" applyFont="1" applyFill="1" applyBorder="1" applyAlignment="1">
      <x:alignment horizontal="center" vertical="center" wrapText="1"/>
    </x:xf>
    <x:xf numFmtId="0" fontId="5" fillId="14" borderId="16" xfId="0" applyNumberFormat="1" applyFont="1" applyFill="1" applyBorder="1" applyAlignment="1">
      <x:alignment horizontal="center" vertical="center" wrapText="1"/>
    </x:xf>
    <x:xf numFmtId="0" fontId="5" fillId="14" borderId="17" xfId="0" applyNumberFormat="1" applyFont="1" applyFill="1" applyBorder="1" applyAlignment="1">
      <x:alignment horizontal="center" vertical="center" wrapText="1"/>
    </x:xf>
    <x:xf numFmtId="0" fontId="14" fillId="0" borderId="0" xfId="0" applyNumberFormat="1" applyFont="1" applyFill="1" applyBorder="1"/>
    <x:xf numFmtId="0" fontId="14" fillId="0" borderId="0" xfId="0" applyNumberFormat="1" applyFont="1" applyFill="1" applyBorder="1" applyAlignment="1">
      <x:alignment horizontal="center"/>
    </x:xf>
    <x:xf numFmtId="0" fontId="14" fillId="0" borderId="0" xfId="0" applyNumberFormat="1" applyFont="1" applyFill="1" applyBorder="1" applyAlignment="1">
      <x:alignment horizontal="center" vertical="center"/>
    </x:xf>
    <x:xf numFmtId="0" fontId="5" fillId="14" borderId="18" xfId="0" applyNumberFormat="1" applyFont="1" applyFill="1" applyBorder="1"/>
    <x:xf numFmtId="0" fontId="5" fillId="14" xfId="0" applyNumberFormat="1" applyFont="1" applyFill="1" applyBorder="0"/>
    <x:xf numFmtId="0" fontId="5" fillId="14" borderId="19" xfId="0" applyNumberFormat="1" applyFont="1" applyFill="1" applyBorder="1"/>
    <x:xf numFmtId="0" fontId="5" fillId="14" borderId="18" xfId="0" applyNumberFormat="1" applyFont="1" applyFill="1" applyBorder="1" applyAlignment="1">
      <x:alignment wrapText="1"/>
    </x:xf>
    <x:xf numFmtId="0" fontId="5" fillId="14" xfId="0" applyNumberFormat="1" applyFont="1" applyFill="1" applyBorder="0" applyAlignment="1">
      <x:alignment wrapText="1"/>
    </x:xf>
    <x:xf numFmtId="0" fontId="5" fillId="14" borderId="19" xfId="0" applyNumberFormat="1" applyFont="1" applyFill="1" applyBorder="1" applyAlignment="1">
      <x:alignment wrapText="1"/>
    </x:xf>
    <x:xf numFmtId="0" fontId="5" fillId="14" borderId="18" xfId="0" applyNumberFormat="1" applyFont="1" applyFill="1" applyBorder="1" applyAlignment="1">
      <x:alignment horizontal="center" wrapText="1"/>
    </x:xf>
    <x:xf numFmtId="0" fontId="5" fillId="14" xfId="0" applyNumberFormat="1" applyFont="1" applyFill="1" applyBorder="0" applyAlignment="1">
      <x:alignment horizontal="center" wrapText="1"/>
    </x:xf>
    <x:xf numFmtId="0" fontId="5" fillId="14" borderId="19" xfId="0" applyNumberFormat="1" applyFont="1" applyFill="1" applyBorder="1" applyAlignment="1">
      <x:alignment horizontal="center" wrapText="1"/>
    </x:xf>
    <x:xf numFmtId="0" fontId="5" fillId="14" borderId="18" xfId="0" applyNumberFormat="1" applyFont="1" applyFill="1" applyBorder="1" applyAlignment="1">
      <x:alignment horizontal="center" vertical="center" wrapText="1"/>
    </x:xf>
    <x:xf numFmtId="0" fontId="5" fillId="14" xfId="0" applyNumberFormat="1" applyFont="1" applyFill="1" applyBorder="0" applyAlignment="1">
      <x:alignment horizontal="center" vertical="center" wrapText="1"/>
    </x:xf>
    <x:xf numFmtId="0" fontId="5" fillId="14" borderId="19" xfId="0" applyNumberFormat="1" applyFont="1" applyFill="1" applyBorder="1" applyAlignment="1">
      <x:alignment horizontal="center" vertical="center" wrapText="1"/>
    </x:xf>
    <x:xf numFmtId="0" fontId="0" fillId="18" borderId="0" xfId="0" applyNumberFormat="1" applyFont="1" applyFill="1" applyBorder="1"/>
    <x:xf numFmtId="0" fontId="11" fillId="18" borderId="0" xfId="0" applyNumberFormat="1" applyFont="1" applyFill="1" applyBorder="1"/>
    <x:xf numFmtId="0" fontId="11" fillId="18" borderId="20" xfId="0" applyNumberFormat="1" applyFont="1" applyFill="1" applyBorder="1"/>
    <x:xf numFmtId="0" fontId="11" fillId="18" borderId="21" xfId="0" applyNumberFormat="1" applyFont="1" applyFill="1" applyBorder="1"/>
    <x:xf numFmtId="0" fontId="11" fillId="18" borderId="22" xfId="0" applyNumberFormat="1" applyFont="1" applyFill="1" applyBorder="1"/>
    <x:xf numFmtId="0" fontId="11" fillId="18" borderId="23" xfId="0" applyNumberFormat="1" applyFont="1" applyFill="1" applyBorder="1"/>
    <x:xf numFmtId="0" fontId="11" fillId="18" xfId="0" applyNumberFormat="1" applyFont="1" applyFill="1" applyBorder="0"/>
    <x:xf numFmtId="0" fontId="11" fillId="18" borderId="24" xfId="0" applyNumberFormat="1" applyFont="1" applyFill="1" applyBorder="1"/>
    <x:xf numFmtId="0" fontId="11" fillId="18" borderId="25" xfId="0" applyNumberFormat="1" applyFont="1" applyFill="1" applyBorder="1"/>
    <x:xf numFmtId="0" fontId="11" fillId="18" borderId="26" xfId="0" applyNumberFormat="1" applyFont="1" applyFill="1" applyBorder="1"/>
    <x:xf numFmtId="0" fontId="11" fillId="18" borderId="27" xfId="0" applyNumberFormat="1" applyFont="1" applyFill="1" applyBorder="1"/>
    <x:xf numFmtId="0" fontId="11" fillId="18" borderId="20" xfId="0" applyNumberFormat="1" applyFont="1" applyFill="1" applyBorder="1" applyAlignment="1">
      <x:alignment wrapText="1"/>
    </x:xf>
    <x:xf numFmtId="0" fontId="11" fillId="18" borderId="21" xfId="0" applyNumberFormat="1" applyFont="1" applyFill="1" applyBorder="1" applyAlignment="1">
      <x:alignment wrapText="1"/>
    </x:xf>
    <x:xf numFmtId="0" fontId="11" fillId="18" borderId="22" xfId="0" applyNumberFormat="1" applyFont="1" applyFill="1" applyBorder="1" applyAlignment="1">
      <x:alignment wrapText="1"/>
    </x:xf>
    <x:xf numFmtId="0" fontId="11" fillId="18" borderId="23" xfId="0" applyNumberFormat="1" applyFont="1" applyFill="1" applyBorder="1" applyAlignment="1">
      <x:alignment wrapText="1"/>
    </x:xf>
    <x:xf numFmtId="0" fontId="11" fillId="18" xfId="0" applyNumberFormat="1" applyFont="1" applyFill="1" applyBorder="0" applyAlignment="1">
      <x:alignment wrapText="1"/>
    </x:xf>
    <x:xf numFmtId="0" fontId="11" fillId="18" borderId="24" xfId="0" applyNumberFormat="1" applyFont="1" applyFill="1" applyBorder="1" applyAlignment="1">
      <x:alignment wrapText="1"/>
    </x:xf>
    <x:xf numFmtId="0" fontId="11" fillId="18" borderId="25" xfId="0" applyNumberFormat="1" applyFont="1" applyFill="1" applyBorder="1" applyAlignment="1">
      <x:alignment wrapText="1"/>
    </x:xf>
    <x:xf numFmtId="0" fontId="11" fillId="18" borderId="26" xfId="0" applyNumberFormat="1" applyFont="1" applyFill="1" applyBorder="1" applyAlignment="1">
      <x:alignment wrapText="1"/>
    </x:xf>
    <x:xf numFmtId="0" fontId="11" fillId="18" borderId="27" xfId="0" applyNumberFormat="1" applyFont="1" applyFill="1" applyBorder="1" applyAlignment="1">
      <x:alignment wrapText="1"/>
    </x:xf>
    <x:xf numFmtId="0" fontId="11" fillId="18" borderId="20" xfId="0" applyNumberFormat="1" applyFont="1" applyFill="1" applyBorder="1" applyAlignment="1">
      <x:alignment horizontal="center" wrapText="1"/>
    </x:xf>
    <x:xf numFmtId="0" fontId="11" fillId="18" borderId="21" xfId="0" applyNumberFormat="1" applyFont="1" applyFill="1" applyBorder="1" applyAlignment="1">
      <x:alignment horizontal="center" wrapText="1"/>
    </x:xf>
    <x:xf numFmtId="0" fontId="11" fillId="18" borderId="22" xfId="0" applyNumberFormat="1" applyFont="1" applyFill="1" applyBorder="1" applyAlignment="1">
      <x:alignment horizontal="center" wrapText="1"/>
    </x:xf>
    <x:xf numFmtId="0" fontId="11" fillId="18" borderId="23" xfId="0" applyNumberFormat="1" applyFont="1" applyFill="1" applyBorder="1" applyAlignment="1">
      <x:alignment horizontal="center" wrapText="1"/>
    </x:xf>
    <x:xf numFmtId="0" fontId="11" fillId="18" xfId="0" applyNumberFormat="1" applyFont="1" applyFill="1" applyBorder="0" applyAlignment="1">
      <x:alignment horizontal="center" wrapText="1"/>
    </x:xf>
    <x:xf numFmtId="0" fontId="11" fillId="18" borderId="24" xfId="0" applyNumberFormat="1" applyFont="1" applyFill="1" applyBorder="1" applyAlignment="1">
      <x:alignment horizontal="center" wrapText="1"/>
    </x:xf>
    <x:xf numFmtId="0" fontId="11" fillId="18" borderId="25" xfId="0" applyNumberFormat="1" applyFont="1" applyFill="1" applyBorder="1" applyAlignment="1">
      <x:alignment horizontal="center" wrapText="1"/>
    </x:xf>
    <x:xf numFmtId="0" fontId="11" fillId="18" borderId="26" xfId="0" applyNumberFormat="1" applyFont="1" applyFill="1" applyBorder="1" applyAlignment="1">
      <x:alignment horizontal="center" wrapText="1"/>
    </x:xf>
    <x:xf numFmtId="0" fontId="11" fillId="18" borderId="27" xfId="0" applyNumberFormat="1" applyFont="1" applyFill="1" applyBorder="1" applyAlignment="1">
      <x:alignment horizontal="center" wrapText="1"/>
    </x:xf>
    <x:xf numFmtId="0" fontId="11" fillId="18" borderId="20" xfId="0" applyNumberFormat="1" applyFont="1" applyFill="1" applyBorder="1" applyAlignment="1">
      <x:alignment horizontal="center" vertical="center" wrapText="1"/>
    </x:xf>
    <x:xf numFmtId="0" fontId="11" fillId="18" borderId="21" xfId="0" applyNumberFormat="1" applyFont="1" applyFill="1" applyBorder="1" applyAlignment="1">
      <x:alignment horizontal="center" vertical="center" wrapText="1"/>
    </x:xf>
    <x:xf numFmtId="0" fontId="11" fillId="18" borderId="22" xfId="0" applyNumberFormat="1" applyFont="1" applyFill="1" applyBorder="1" applyAlignment="1">
      <x:alignment horizontal="center" vertical="center" wrapText="1"/>
    </x:xf>
    <x:xf numFmtId="0" fontId="11" fillId="18" borderId="23" xfId="0" applyNumberFormat="1" applyFont="1" applyFill="1" applyBorder="1" applyAlignment="1">
      <x:alignment horizontal="center" vertical="center" wrapText="1"/>
    </x:xf>
    <x:xf numFmtId="0" fontId="11" fillId="18" xfId="0" applyNumberFormat="1" applyFont="1" applyFill="1" applyBorder="0" applyAlignment="1">
      <x:alignment horizontal="center" vertical="center" wrapText="1"/>
    </x:xf>
    <x:xf numFmtId="0" fontId="11" fillId="18" borderId="24" xfId="0" applyNumberFormat="1" applyFont="1" applyFill="1" applyBorder="1" applyAlignment="1">
      <x:alignment horizontal="center" vertical="center" wrapText="1"/>
    </x:xf>
    <x:xf numFmtId="0" fontId="11" fillId="18" borderId="25" xfId="0" applyNumberFormat="1" applyFont="1" applyFill="1" applyBorder="1" applyAlignment="1">
      <x:alignment horizontal="center" vertical="center" wrapText="1"/>
    </x:xf>
    <x:xf numFmtId="0" fontId="11" fillId="18" borderId="26" xfId="0" applyNumberFormat="1" applyFont="1" applyFill="1" applyBorder="1" applyAlignment="1">
      <x:alignment horizontal="center" vertical="center" wrapText="1"/>
    </x:xf>
    <x:xf numFmtId="0" fontId="11" fillId="18" borderId="27" xfId="0" applyNumberFormat="1" applyFont="1" applyFill="1" applyBorder="1" applyAlignment="1">
      <x:alignment horizontal="center" vertical="center" wrapText="1"/>
    </x:xf>
    <x:xf numFmtId="0" fontId="5" fillId="11" borderId="0" xfId="0" applyNumberFormat="1" applyFont="1" applyFill="1" applyBorder="1"/>
    <x:xf numFmtId="0" fontId="5" fillId="11" borderId="28" xfId="0" applyNumberFormat="1" applyFont="1" applyFill="1" applyBorder="1"/>
    <x:xf numFmtId="0" fontId="5" fillId="11" borderId="29" xfId="0" applyNumberFormat="1" applyFont="1" applyFill="1" applyBorder="1"/>
    <x:xf numFmtId="0" fontId="5" fillId="11" borderId="30" xfId="0" applyNumberFormat="1" applyFont="1" applyFill="1" applyBorder="1"/>
    <x:xf numFmtId="0" fontId="5" fillId="11" borderId="31" xfId="0" applyNumberFormat="1" applyFont="1" applyFill="1" applyBorder="1"/>
    <x:xf numFmtId="0" fontId="5" fillId="11" xfId="0" applyNumberFormat="1" applyFont="1" applyFill="1" applyBorder="0"/>
    <x:xf numFmtId="0" fontId="5" fillId="11" borderId="32" xfId="0" applyNumberFormat="1" applyFont="1" applyFill="1" applyBorder="1"/>
    <x:xf numFmtId="0" fontId="5" fillId="11" borderId="33" xfId="0" applyNumberFormat="1" applyFont="1" applyFill="1" applyBorder="1"/>
    <x:xf numFmtId="0" fontId="5" fillId="11" borderId="34" xfId="0" applyNumberFormat="1" applyFont="1" applyFill="1" applyBorder="1"/>
    <x:xf numFmtId="0" fontId="5" fillId="11" borderId="35" xfId="0" applyNumberFormat="1" applyFont="1" applyFill="1" applyBorder="1"/>
    <x:xf numFmtId="0" fontId="5" fillId="11" borderId="28" xfId="0" applyNumberFormat="1" applyFont="1" applyFill="1" applyBorder="1" applyAlignment="1">
      <x:alignment wrapText="1"/>
    </x:xf>
    <x:xf numFmtId="0" fontId="5" fillId="11" borderId="29" xfId="0" applyNumberFormat="1" applyFont="1" applyFill="1" applyBorder="1" applyAlignment="1">
      <x:alignment wrapText="1"/>
    </x:xf>
    <x:xf numFmtId="0" fontId="5" fillId="11" borderId="30" xfId="0" applyNumberFormat="1" applyFont="1" applyFill="1" applyBorder="1" applyAlignment="1">
      <x:alignment wrapText="1"/>
    </x:xf>
    <x:xf numFmtId="0" fontId="5" fillId="11" borderId="31" xfId="0" applyNumberFormat="1" applyFont="1" applyFill="1" applyBorder="1" applyAlignment="1">
      <x:alignment wrapText="1"/>
    </x:xf>
    <x:xf numFmtId="0" fontId="5" fillId="11" xfId="0" applyNumberFormat="1" applyFont="1" applyFill="1" applyBorder="0" applyAlignment="1">
      <x:alignment wrapText="1"/>
    </x:xf>
    <x:xf numFmtId="0" fontId="5" fillId="11" borderId="32" xfId="0" applyNumberFormat="1" applyFont="1" applyFill="1" applyBorder="1" applyAlignment="1">
      <x:alignment wrapText="1"/>
    </x:xf>
    <x:xf numFmtId="0" fontId="5" fillId="11" borderId="33" xfId="0" applyNumberFormat="1" applyFont="1" applyFill="1" applyBorder="1" applyAlignment="1">
      <x:alignment wrapText="1"/>
    </x:xf>
    <x:xf numFmtId="0" fontId="5" fillId="11" borderId="34" xfId="0" applyNumberFormat="1" applyFont="1" applyFill="1" applyBorder="1" applyAlignment="1">
      <x:alignment wrapText="1"/>
    </x:xf>
    <x:xf numFmtId="0" fontId="5" fillId="11" borderId="35" xfId="0" applyNumberFormat="1" applyFont="1" applyFill="1" applyBorder="1" applyAlignment="1">
      <x:alignment wrapText="1"/>
    </x:xf>
    <x:xf numFmtId="0" fontId="5" fillId="11" borderId="28" xfId="0" applyNumberFormat="1" applyFont="1" applyFill="1" applyBorder="1" applyAlignment="1">
      <x:alignment horizontal="center" wrapText="1"/>
    </x:xf>
    <x:xf numFmtId="0" fontId="5" fillId="11" borderId="29" xfId="0" applyNumberFormat="1" applyFont="1" applyFill="1" applyBorder="1" applyAlignment="1">
      <x:alignment horizontal="center" wrapText="1"/>
    </x:xf>
    <x:xf numFmtId="0" fontId="5" fillId="11" borderId="30" xfId="0" applyNumberFormat="1" applyFont="1" applyFill="1" applyBorder="1" applyAlignment="1">
      <x:alignment horizontal="center" wrapText="1"/>
    </x:xf>
    <x:xf numFmtId="0" fontId="5" fillId="11" borderId="31" xfId="0" applyNumberFormat="1" applyFont="1" applyFill="1" applyBorder="1" applyAlignment="1">
      <x:alignment horizontal="center" wrapText="1"/>
    </x:xf>
    <x:xf numFmtId="0" fontId="5" fillId="11" xfId="0" applyNumberFormat="1" applyFont="1" applyFill="1" applyBorder="0" applyAlignment="1">
      <x:alignment horizontal="center" wrapText="1"/>
    </x:xf>
    <x:xf numFmtId="0" fontId="5" fillId="11" borderId="32" xfId="0" applyNumberFormat="1" applyFont="1" applyFill="1" applyBorder="1" applyAlignment="1">
      <x:alignment horizontal="center" wrapText="1"/>
    </x:xf>
    <x:xf numFmtId="0" fontId="5" fillId="11" borderId="33" xfId="0" applyNumberFormat="1" applyFont="1" applyFill="1" applyBorder="1" applyAlignment="1">
      <x:alignment horizontal="center" wrapText="1"/>
    </x:xf>
    <x:xf numFmtId="0" fontId="5" fillId="11" borderId="34" xfId="0" applyNumberFormat="1" applyFont="1" applyFill="1" applyBorder="1" applyAlignment="1">
      <x:alignment horizontal="center" wrapText="1"/>
    </x:xf>
    <x:xf numFmtId="0" fontId="5" fillId="11" borderId="35" xfId="0" applyNumberFormat="1" applyFont="1" applyFill="1" applyBorder="1" applyAlignment="1">
      <x:alignment horizontal="center" wrapText="1"/>
    </x:xf>
    <x:xf numFmtId="0" fontId="5" fillId="11" borderId="28" xfId="0" applyNumberFormat="1" applyFont="1" applyFill="1" applyBorder="1" applyAlignment="1">
      <x:alignment horizontal="center" vertical="center" wrapText="1"/>
    </x:xf>
    <x:xf numFmtId="0" fontId="5" fillId="11" borderId="29" xfId="0" applyNumberFormat="1" applyFont="1" applyFill="1" applyBorder="1" applyAlignment="1">
      <x:alignment horizontal="center" vertical="center" wrapText="1"/>
    </x:xf>
    <x:xf numFmtId="0" fontId="5" fillId="11" borderId="30" xfId="0" applyNumberFormat="1" applyFont="1" applyFill="1" applyBorder="1" applyAlignment="1">
      <x:alignment horizontal="center" vertical="center" wrapText="1"/>
    </x:xf>
    <x:xf numFmtId="0" fontId="5" fillId="11" borderId="31" xfId="0" applyNumberFormat="1" applyFont="1" applyFill="1" applyBorder="1" applyAlignment="1">
      <x:alignment horizontal="center" vertical="center" wrapText="1"/>
    </x:xf>
    <x:xf numFmtId="0" fontId="5" fillId="11" xfId="0" applyNumberFormat="1" applyFont="1" applyFill="1" applyBorder="0" applyAlignment="1">
      <x:alignment horizontal="center" vertical="center" wrapText="1"/>
    </x:xf>
    <x:xf numFmtId="0" fontId="5" fillId="11" borderId="32" xfId="0" applyNumberFormat="1" applyFont="1" applyFill="1" applyBorder="1" applyAlignment="1">
      <x:alignment horizontal="center" vertical="center" wrapText="1"/>
    </x:xf>
    <x:xf numFmtId="0" fontId="5" fillId="11" borderId="33" xfId="0" applyNumberFormat="1" applyFont="1" applyFill="1" applyBorder="1" applyAlignment="1">
      <x:alignment horizontal="center" vertical="center" wrapText="1"/>
    </x:xf>
    <x:xf numFmtId="0" fontId="5" fillId="11" borderId="34" xfId="0" applyNumberFormat="1" applyFont="1" applyFill="1" applyBorder="1" applyAlignment="1">
      <x:alignment horizontal="center" vertical="center" wrapText="1"/>
    </x:xf>
    <x:xf numFmtId="0" fontId="5" fillId="11" borderId="35" xfId="0" applyNumberFormat="1" applyFont="1" applyFill="1" applyBorder="1" applyAlignment="1">
      <x:alignment horizontal="center" vertical="center" wrapText="1"/>
    </x:xf>
    <x:xf numFmtId="0" fontId="5" fillId="14" borderId="28" xfId="0" applyNumberFormat="1" applyFont="1" applyFill="1" applyBorder="1"/>
    <x:xf numFmtId="0" fontId="5" fillId="14" borderId="29" xfId="0" applyNumberFormat="1" applyFont="1" applyFill="1" applyBorder="1"/>
    <x:xf numFmtId="0" fontId="5" fillId="14" borderId="30" xfId="0" applyNumberFormat="1" applyFont="1" applyFill="1" applyBorder="1"/>
    <x:xf numFmtId="0" fontId="5" fillId="14" borderId="31" xfId="0" applyNumberFormat="1" applyFont="1" applyFill="1" applyBorder="1"/>
    <x:xf numFmtId="0" fontId="5" fillId="14" borderId="32" xfId="0" applyNumberFormat="1" applyFont="1" applyFill="1" applyBorder="1"/>
    <x:xf numFmtId="0" fontId="5" fillId="14" borderId="33" xfId="0" applyNumberFormat="1" applyFont="1" applyFill="1" applyBorder="1"/>
    <x:xf numFmtId="0" fontId="5" fillId="14" borderId="34" xfId="0" applyNumberFormat="1" applyFont="1" applyFill="1" applyBorder="1"/>
    <x:xf numFmtId="0" fontId="5" fillId="14" borderId="35" xfId="0" applyNumberFormat="1" applyFont="1" applyFill="1" applyBorder="1"/>
    <x:xf numFmtId="0" fontId="5" fillId="14" borderId="28" xfId="0" applyNumberFormat="1" applyFont="1" applyFill="1" applyBorder="1" applyAlignment="1">
      <x:alignment wrapText="1"/>
    </x:xf>
    <x:xf numFmtId="0" fontId="5" fillId="14" borderId="29" xfId="0" applyNumberFormat="1" applyFont="1" applyFill="1" applyBorder="1" applyAlignment="1">
      <x:alignment wrapText="1"/>
    </x:xf>
    <x:xf numFmtId="0" fontId="5" fillId="14" borderId="30" xfId="0" applyNumberFormat="1" applyFont="1" applyFill="1" applyBorder="1" applyAlignment="1">
      <x:alignment wrapText="1"/>
    </x:xf>
    <x:xf numFmtId="0" fontId="5" fillId="14" borderId="31" xfId="0" applyNumberFormat="1" applyFont="1" applyFill="1" applyBorder="1" applyAlignment="1">
      <x:alignment wrapText="1"/>
    </x:xf>
    <x:xf numFmtId="0" fontId="5" fillId="14" borderId="32" xfId="0" applyNumberFormat="1" applyFont="1" applyFill="1" applyBorder="1" applyAlignment="1">
      <x:alignment wrapText="1"/>
    </x:xf>
    <x:xf numFmtId="0" fontId="5" fillId="14" borderId="33" xfId="0" applyNumberFormat="1" applyFont="1" applyFill="1" applyBorder="1" applyAlignment="1">
      <x:alignment wrapText="1"/>
    </x:xf>
    <x:xf numFmtId="0" fontId="5" fillId="14" borderId="34" xfId="0" applyNumberFormat="1" applyFont="1" applyFill="1" applyBorder="1" applyAlignment="1">
      <x:alignment wrapText="1"/>
    </x:xf>
    <x:xf numFmtId="0" fontId="5" fillId="14" borderId="35" xfId="0" applyNumberFormat="1" applyFont="1" applyFill="1" applyBorder="1" applyAlignment="1">
      <x:alignment wrapText="1"/>
    </x:xf>
    <x:xf numFmtId="0" fontId="5" fillId="14" borderId="28" xfId="0" applyNumberFormat="1" applyFont="1" applyFill="1" applyBorder="1" applyAlignment="1">
      <x:alignment horizontal="center" wrapText="1"/>
    </x:xf>
    <x:xf numFmtId="0" fontId="5" fillId="14" borderId="29" xfId="0" applyNumberFormat="1" applyFont="1" applyFill="1" applyBorder="1" applyAlignment="1">
      <x:alignment horizontal="center" wrapText="1"/>
    </x:xf>
    <x:xf numFmtId="0" fontId="5" fillId="14" borderId="30" xfId="0" applyNumberFormat="1" applyFont="1" applyFill="1" applyBorder="1" applyAlignment="1">
      <x:alignment horizontal="center" wrapText="1"/>
    </x:xf>
    <x:xf numFmtId="0" fontId="5" fillId="14" borderId="31" xfId="0" applyNumberFormat="1" applyFont="1" applyFill="1" applyBorder="1" applyAlignment="1">
      <x:alignment horizontal="center" wrapText="1"/>
    </x:xf>
    <x:xf numFmtId="0" fontId="5" fillId="14" borderId="32" xfId="0" applyNumberFormat="1" applyFont="1" applyFill="1" applyBorder="1" applyAlignment="1">
      <x:alignment horizontal="center" wrapText="1"/>
    </x:xf>
    <x:xf numFmtId="0" fontId="5" fillId="14" borderId="33" xfId="0" applyNumberFormat="1" applyFont="1" applyFill="1" applyBorder="1" applyAlignment="1">
      <x:alignment horizontal="center" wrapText="1"/>
    </x:xf>
    <x:xf numFmtId="0" fontId="5" fillId="14" borderId="34" xfId="0" applyNumberFormat="1" applyFont="1" applyFill="1" applyBorder="1" applyAlignment="1">
      <x:alignment horizontal="center" wrapText="1"/>
    </x:xf>
    <x:xf numFmtId="0" fontId="5" fillId="14" borderId="35" xfId="0" applyNumberFormat="1" applyFont="1" applyFill="1" applyBorder="1" applyAlignment="1">
      <x:alignment horizontal="center" wrapText="1"/>
    </x:xf>
    <x:xf numFmtId="0" fontId="5" fillId="14" borderId="28" xfId="0" applyNumberFormat="1" applyFont="1" applyFill="1" applyBorder="1" applyAlignment="1">
      <x:alignment horizontal="center" vertical="center" wrapText="1"/>
    </x:xf>
    <x:xf numFmtId="0" fontId="5" fillId="14" borderId="29" xfId="0" applyNumberFormat="1" applyFont="1" applyFill="1" applyBorder="1" applyAlignment="1">
      <x:alignment horizontal="center" vertical="center" wrapText="1"/>
    </x:xf>
    <x:xf numFmtId="0" fontId="5" fillId="14" borderId="30" xfId="0" applyNumberFormat="1" applyFont="1" applyFill="1" applyBorder="1" applyAlignment="1">
      <x:alignment horizontal="center" vertical="center" wrapText="1"/>
    </x:xf>
    <x:xf numFmtId="0" fontId="5" fillId="14" borderId="31" xfId="0" applyNumberFormat="1" applyFont="1" applyFill="1" applyBorder="1" applyAlignment="1">
      <x:alignment horizontal="center" vertical="center" wrapText="1"/>
    </x:xf>
    <x:xf numFmtId="0" fontId="5" fillId="14" borderId="32" xfId="0" applyNumberFormat="1" applyFont="1" applyFill="1" applyBorder="1" applyAlignment="1">
      <x:alignment horizontal="center" vertical="center" wrapText="1"/>
    </x:xf>
    <x:xf numFmtId="0" fontId="5" fillId="14" borderId="33" xfId="0" applyNumberFormat="1" applyFont="1" applyFill="1" applyBorder="1" applyAlignment="1">
      <x:alignment horizontal="center" vertical="center" wrapText="1"/>
    </x:xf>
    <x:xf numFmtId="0" fontId="5" fillId="14" borderId="34" xfId="0" applyNumberFormat="1" applyFont="1" applyFill="1" applyBorder="1" applyAlignment="1">
      <x:alignment horizontal="center" vertical="center" wrapText="1"/>
    </x:xf>
    <x:xf numFmtId="0" fontId="5" fillId="14" borderId="35" xfId="0" applyNumberFormat="1" applyFont="1" applyFill="1" applyBorder="1" applyAlignment="1">
      <x:alignment horizontal="center" vertical="center" wrapText="1"/>
    </x:xf>
    <x:xf numFmtId="0" fontId="0" fillId="19" borderId="0" xfId="0" applyNumberFormat="1" applyFont="1" applyFill="1" applyBorder="1"/>
    <x:xf numFmtId="0" fontId="15" fillId="19" borderId="0" xfId="0" applyNumberFormat="1" applyFont="1" applyFill="1" applyBorder="1"/>
    <x:xf numFmtId="0" fontId="15" fillId="19" borderId="36" xfId="0" applyNumberFormat="1" applyFont="1" applyFill="1" applyBorder="1"/>
    <x:xf numFmtId="0" fontId="15" fillId="19" borderId="37" xfId="0" applyNumberFormat="1" applyFont="1" applyFill="1" applyBorder="1"/>
    <x:xf numFmtId="0" fontId="15" fillId="19" borderId="38" xfId="0" applyNumberFormat="1" applyFont="1" applyFill="1" applyBorder="1"/>
    <x:xf numFmtId="0" fontId="15" fillId="19" borderId="39" xfId="0" applyNumberFormat="1" applyFont="1" applyFill="1" applyBorder="1"/>
    <x:xf numFmtId="0" fontId="15" fillId="19" xfId="0" applyNumberFormat="1" applyFont="1" applyFill="1" applyBorder="0"/>
    <x:xf numFmtId="0" fontId="15" fillId="19" borderId="40" xfId="0" applyNumberFormat="1" applyFont="1" applyFill="1" applyBorder="1"/>
    <x:xf numFmtId="0" fontId="15" fillId="19" borderId="41" xfId="0" applyNumberFormat="1" applyFont="1" applyFill="1" applyBorder="1"/>
    <x:xf numFmtId="0" fontId="15" fillId="19" borderId="42" xfId="0" applyNumberFormat="1" applyFont="1" applyFill="1" applyBorder="1"/>
    <x:xf numFmtId="0" fontId="15" fillId="19" borderId="43" xfId="0" applyNumberFormat="1" applyFont="1" applyFill="1" applyBorder="1"/>
    <x:xf numFmtId="0" fontId="15" fillId="19" borderId="36" xfId="0" applyNumberFormat="1" applyFont="1" applyFill="1" applyBorder="1" applyAlignment="1">
      <x:alignment wrapText="1"/>
    </x:xf>
    <x:xf numFmtId="0" fontId="15" fillId="19" borderId="37" xfId="0" applyNumberFormat="1" applyFont="1" applyFill="1" applyBorder="1" applyAlignment="1">
      <x:alignment wrapText="1"/>
    </x:xf>
    <x:xf numFmtId="0" fontId="15" fillId="19" borderId="38" xfId="0" applyNumberFormat="1" applyFont="1" applyFill="1" applyBorder="1" applyAlignment="1">
      <x:alignment wrapText="1"/>
    </x:xf>
    <x:xf numFmtId="0" fontId="15" fillId="19" borderId="39" xfId="0" applyNumberFormat="1" applyFont="1" applyFill="1" applyBorder="1" applyAlignment="1">
      <x:alignment wrapText="1"/>
    </x:xf>
    <x:xf numFmtId="0" fontId="15" fillId="19" xfId="0" applyNumberFormat="1" applyFont="1" applyFill="1" applyBorder="0" applyAlignment="1">
      <x:alignment wrapText="1"/>
    </x:xf>
    <x:xf numFmtId="0" fontId="15" fillId="19" borderId="40" xfId="0" applyNumberFormat="1" applyFont="1" applyFill="1" applyBorder="1" applyAlignment="1">
      <x:alignment wrapText="1"/>
    </x:xf>
    <x:xf numFmtId="0" fontId="15" fillId="19" borderId="41" xfId="0" applyNumberFormat="1" applyFont="1" applyFill="1" applyBorder="1" applyAlignment="1">
      <x:alignment wrapText="1"/>
    </x:xf>
    <x:xf numFmtId="0" fontId="15" fillId="19" borderId="42" xfId="0" applyNumberFormat="1" applyFont="1" applyFill="1" applyBorder="1" applyAlignment="1">
      <x:alignment wrapText="1"/>
    </x:xf>
    <x:xf numFmtId="0" fontId="15" fillId="19" borderId="43" xfId="0" applyNumberFormat="1" applyFont="1" applyFill="1" applyBorder="1" applyAlignment="1">
      <x:alignment wrapText="1"/>
    </x:xf>
    <x:xf numFmtId="0" fontId="0" fillId="20" borderId="0" xfId="0" applyNumberFormat="1" applyFont="1" applyFill="1" applyBorder="1"/>
    <x:xf numFmtId="0" fontId="3" fillId="20" borderId="0" xfId="0" applyNumberFormat="1" applyFont="1" applyFill="1" applyBorder="1"/>
    <x:xf numFmtId="0" fontId="3" fillId="20" borderId="44" xfId="0" applyNumberFormat="1" applyFont="1" applyFill="1" applyBorder="1"/>
    <x:xf numFmtId="0" fontId="3" fillId="20" borderId="45" xfId="0" applyNumberFormat="1" applyFont="1" applyFill="1" applyBorder="1"/>
    <x:xf numFmtId="0" fontId="3" fillId="20" borderId="46" xfId="0" applyNumberFormat="1" applyFont="1" applyFill="1" applyBorder="1"/>
    <x:xf numFmtId="0" fontId="3" fillId="20" borderId="47" xfId="0" applyNumberFormat="1" applyFont="1" applyFill="1" applyBorder="1"/>
    <x:xf numFmtId="0" fontId="3" fillId="20" xfId="0" applyNumberFormat="1" applyFont="1" applyFill="1" applyBorder="0"/>
    <x:xf numFmtId="0" fontId="3" fillId="20" borderId="48" xfId="0" applyNumberFormat="1" applyFont="1" applyFill="1" applyBorder="1"/>
    <x:xf numFmtId="0" fontId="3" fillId="20" borderId="49" xfId="0" applyNumberFormat="1" applyFont="1" applyFill="1" applyBorder="1"/>
    <x:xf numFmtId="0" fontId="3" fillId="20" borderId="50" xfId="0" applyNumberFormat="1" applyFont="1" applyFill="1" applyBorder="1"/>
    <x:xf numFmtId="0" fontId="3" fillId="20" borderId="51" xfId="0" applyNumberFormat="1" applyFont="1" applyFill="1" applyBorder="1"/>
    <x:xf numFmtId="0" fontId="3" fillId="20" borderId="44" xfId="0" applyNumberFormat="1" applyFont="1" applyFill="1" applyBorder="1" applyAlignment="1">
      <x:alignment wrapText="1"/>
    </x:xf>
    <x:xf numFmtId="0" fontId="3" fillId="20" borderId="45" xfId="0" applyNumberFormat="1" applyFont="1" applyFill="1" applyBorder="1" applyAlignment="1">
      <x:alignment wrapText="1"/>
    </x:xf>
    <x:xf numFmtId="0" fontId="3" fillId="20" borderId="46" xfId="0" applyNumberFormat="1" applyFont="1" applyFill="1" applyBorder="1" applyAlignment="1">
      <x:alignment wrapText="1"/>
    </x:xf>
    <x:xf numFmtId="0" fontId="3" fillId="20" borderId="47" xfId="0" applyNumberFormat="1" applyFont="1" applyFill="1" applyBorder="1" applyAlignment="1">
      <x:alignment wrapText="1"/>
    </x:xf>
    <x:xf numFmtId="0" fontId="3" fillId="20" xfId="0" applyNumberFormat="1" applyFont="1" applyFill="1" applyBorder="0" applyAlignment="1">
      <x:alignment wrapText="1"/>
    </x:xf>
    <x:xf numFmtId="0" fontId="3" fillId="20" borderId="48" xfId="0" applyNumberFormat="1" applyFont="1" applyFill="1" applyBorder="1" applyAlignment="1">
      <x:alignment wrapText="1"/>
    </x:xf>
    <x:xf numFmtId="0" fontId="3" fillId="20" borderId="49" xfId="0" applyNumberFormat="1" applyFont="1" applyFill="1" applyBorder="1" applyAlignment="1">
      <x:alignment wrapText="1"/>
    </x:xf>
    <x:xf numFmtId="0" fontId="3" fillId="20" borderId="50" xfId="0" applyNumberFormat="1" applyFont="1" applyFill="1" applyBorder="1" applyAlignment="1">
      <x:alignment wrapText="1"/>
    </x:xf>
    <x:xf numFmtId="0" fontId="3" fillId="20" borderId="51" xfId="0" applyNumberFormat="1" applyFont="1" applyFill="1" applyBorder="1" applyAlignment="1">
      <x:alignment wrapText="1"/>
    </x:xf>
    <x:xf numFmtId="0" fontId="5" fillId="13" borderId="4" xfId="0" applyNumberFormat="1" applyFont="1" applyFill="1" applyBorder="1" applyAlignment="1">
      <x:alignment wrapText="1"/>
    </x:xf>
    <x:xf numFmtId="0" fontId="5" fillId="13" borderId="5" xfId="0" applyNumberFormat="1" applyFont="1" applyFill="1" applyBorder="1" applyAlignment="1">
      <x:alignment wrapText="1"/>
    </x:xf>
    <x:xf numFmtId="0" fontId="5" fillId="13"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xfId="0" applyNumberFormat="1" applyFont="1" applyFill="1" applyBorder="0"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7" fillId="8" borderId="0" xfId="0" applyNumberFormat="1" applyFont="1" applyFill="1" applyBorder="1"/>
    <x:xf numFmtId="0" fontId="7" fillId="8" borderId="0" xfId="0" applyNumberFormat="1" applyFont="1" applyFill="1" applyBorder="1" applyAlignment="1">
      <x:alignment horizontal="left"/>
    </x:xf>
    <x:xf numFmtId="0" fontId="7" fillId="8" borderId="0" xfId="0" applyNumberFormat="1" applyFont="1" applyFill="1" applyBorder="1" applyAlignment="1">
      <x:alignment horizontal="left" vertical="center"/>
    </x:xf>
    <x:xf numFmtId="0" fontId="13" fillId="8" borderId="0" xfId="0" applyNumberFormat="1" applyFont="1" applyFill="1" applyBorder="1"/>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vertical="center"/>
    </x:xf>
    <x:xf numFmtId="0" fontId="0" fillId="22" borderId="0" xfId="0" applyNumberFormat="1" applyFont="1" applyFill="1" applyBorder="1"/>
    <x:xf numFmtId="0" fontId="16" fillId="22" borderId="0" xfId="0" applyNumberFormat="1" applyFont="1" applyFill="1" applyBorder="1"/>
    <x:xf numFmtId="0" fontId="16" fillId="22" borderId="0" xfId="0" applyNumberFormat="1" applyFont="1" applyFill="1" applyBorder="1" applyAlignment="1">
      <x:alignment wrapText="1"/>
    </x:xf>
    <x:xf numFmtId="0" fontId="4" fillId="21" borderId="0" xfId="0" applyNumberFormat="1" applyFont="1" applyFill="1" applyBorder="1"/>
    <x:xf numFmtId="0" fontId="4" fillId="21" borderId="0" xfId="0" applyNumberFormat="1" applyFont="1" applyFill="1" applyBorder="1" applyAlignment="1">
      <x:alignment vertical="center"/>
    </x:xf>
    <x:xf numFmtId="0" fontId="0" fillId="23" borderId="0" xfId="0" applyNumberFormat="1" applyFont="1" applyFill="1" applyBorder="1"/>
    <x:xf numFmtId="0" fontId="17" fillId="23" borderId="0" xfId="0" applyNumberFormat="1" applyFont="1" applyFill="1" applyBorder="1"/>
    <x:xf numFmtId="0" fontId="17" fillId="23" borderId="52" xfId="0" applyNumberFormat="1" applyFont="1" applyFill="1" applyBorder="1"/>
    <x:xf numFmtId="0" fontId="17" fillId="23" borderId="53" xfId="0" applyNumberFormat="1" applyFont="1" applyFill="1" applyBorder="1"/>
    <x:xf numFmtId="0" fontId="17" fillId="23" borderId="54" xfId="0" applyNumberFormat="1" applyFont="1" applyFill="1" applyBorder="1"/>
    <x:xf numFmtId="0" fontId="17" fillId="23" borderId="55" xfId="0" applyNumberFormat="1" applyFont="1" applyFill="1" applyBorder="1"/>
    <x:xf numFmtId="0" fontId="17" fillId="23" borderId="56" xfId="0" applyNumberFormat="1" applyFont="1" applyFill="1" applyBorder="1"/>
    <x:xf numFmtId="0" fontId="17" fillId="23" borderId="57" xfId="0" applyNumberFormat="1" applyFont="1" applyFill="1" applyBorder="1"/>
    <x:xf numFmtId="0" fontId="17" fillId="23" borderId="52" xfId="0" applyNumberFormat="1" applyFont="1" applyFill="1" applyBorder="1" applyAlignment="1">
      <x:alignment wrapText="1"/>
    </x:xf>
    <x:xf numFmtId="0" fontId="17" fillId="23" borderId="53" xfId="0" applyNumberFormat="1" applyFont="1" applyFill="1" applyBorder="1" applyAlignment="1">
      <x:alignment wrapText="1"/>
    </x:xf>
    <x:xf numFmtId="0" fontId="17" fillId="23" borderId="54" xfId="0" applyNumberFormat="1" applyFont="1" applyFill="1" applyBorder="1" applyAlignment="1">
      <x:alignment wrapText="1"/>
    </x:xf>
    <x:xf numFmtId="0" fontId="17" fillId="23" borderId="55" xfId="0" applyNumberFormat="1" applyFont="1" applyFill="1" applyBorder="1" applyAlignment="1">
      <x:alignment wrapText="1"/>
    </x:xf>
    <x:xf numFmtId="0" fontId="17" fillId="23" borderId="56" xfId="0" applyNumberFormat="1" applyFont="1" applyFill="1" applyBorder="1" applyAlignment="1">
      <x:alignment wrapText="1"/>
    </x:xf>
    <x:xf numFmtId="0" fontId="17" fillId="23" borderId="57" xfId="0" applyNumberFormat="1" applyFont="1" applyFill="1" applyBorder="1" applyAlignment="1">
      <x:alignment wrapText="1"/>
    </x:xf>
    <x:xf numFmtId="0" fontId="17" fillId="23" borderId="52" xfId="0" applyNumberFormat="1" applyFont="1" applyFill="1" applyBorder="1" applyAlignment="1">
      <x:alignment horizontal="center" wrapText="1"/>
    </x:xf>
    <x:xf numFmtId="0" fontId="17" fillId="23" borderId="53" xfId="0" applyNumberFormat="1" applyFont="1" applyFill="1" applyBorder="1" applyAlignment="1">
      <x:alignment horizontal="center" wrapText="1"/>
    </x:xf>
    <x:xf numFmtId="0" fontId="17" fillId="23" borderId="54" xfId="0" applyNumberFormat="1" applyFont="1" applyFill="1" applyBorder="1" applyAlignment="1">
      <x:alignment horizontal="center" wrapText="1"/>
    </x:xf>
    <x:xf numFmtId="0" fontId="17" fillId="23" borderId="55" xfId="0" applyNumberFormat="1" applyFont="1" applyFill="1" applyBorder="1" applyAlignment="1">
      <x:alignment horizontal="center" wrapText="1"/>
    </x:xf>
    <x:xf numFmtId="0" fontId="17" fillId="23" borderId="56" xfId="0" applyNumberFormat="1" applyFont="1" applyFill="1" applyBorder="1" applyAlignment="1">
      <x:alignment horizontal="center" wrapText="1"/>
    </x:xf>
    <x:xf numFmtId="0" fontId="17" fillId="23" borderId="57" xfId="0" applyNumberFormat="1" applyFont="1" applyFill="1" applyBorder="1" applyAlignment="1">
      <x:alignment horizontal="center" wrapText="1"/>
    </x:xf>
    <x:xf numFmtId="0" fontId="17" fillId="23" borderId="52" xfId="0" applyNumberFormat="1" applyFont="1" applyFill="1" applyBorder="1" applyAlignment="1">
      <x:alignment horizontal="center" vertical="center" wrapText="1"/>
    </x:xf>
    <x:xf numFmtId="0" fontId="17" fillId="23" borderId="53" xfId="0" applyNumberFormat="1" applyFont="1" applyFill="1" applyBorder="1" applyAlignment="1">
      <x:alignment horizontal="center" vertical="center" wrapText="1"/>
    </x:xf>
    <x:xf numFmtId="0" fontId="17" fillId="23" borderId="54" xfId="0" applyNumberFormat="1" applyFont="1" applyFill="1" applyBorder="1" applyAlignment="1">
      <x:alignment horizontal="center" vertical="center" wrapText="1"/>
    </x:xf>
    <x:xf numFmtId="0" fontId="17" fillId="23" borderId="55" xfId="0" applyNumberFormat="1" applyFont="1" applyFill="1" applyBorder="1" applyAlignment="1">
      <x:alignment horizontal="center" vertical="center" wrapText="1"/>
    </x:xf>
    <x:xf numFmtId="0" fontId="17" fillId="23" borderId="56" xfId="0" applyNumberFormat="1" applyFont="1" applyFill="1" applyBorder="1" applyAlignment="1">
      <x:alignment horizontal="center" vertical="center" wrapText="1"/>
    </x:xf>
    <x:xf numFmtId="0" fontId="17" fillId="23" borderId="57" xfId="0" applyNumberFormat="1" applyFont="1" applyFill="1" applyBorder="1" applyAlignment="1">
      <x:alignment horizontal="center" vertical="center" wrapText="1"/>
    </x:xf>
    <x:xf numFmtId="0" fontId="0" fillId="24" borderId="0" xfId="0" applyNumberFormat="1" applyFont="1" applyFill="1" applyBorder="1"/>
    <x:xf numFmtId="0" fontId="17" fillId="24" borderId="0" xfId="0" applyNumberFormat="1" applyFont="1" applyFill="1" applyBorder="1"/>
    <x:xf numFmtId="0" fontId="17" fillId="24" borderId="58" xfId="0" applyNumberFormat="1" applyFont="1" applyFill="1" applyBorder="1"/>
    <x:xf numFmtId="0" fontId="17" fillId="24" borderId="59" xfId="0" applyNumberFormat="1" applyFont="1" applyFill="1" applyBorder="1"/>
    <x:xf numFmtId="0" fontId="17" fillId="24" borderId="60" xfId="0" applyNumberFormat="1" applyFont="1" applyFill="1" applyBorder="1"/>
    <x:xf numFmtId="0" fontId="17" fillId="24" borderId="61" xfId="0" applyNumberFormat="1" applyFont="1" applyFill="1" applyBorder="1"/>
    <x:xf numFmtId="0" fontId="17" fillId="24" borderId="62" xfId="0" applyNumberFormat="1" applyFont="1" applyFill="1" applyBorder="1"/>
    <x:xf numFmtId="0" fontId="17" fillId="24" borderId="63" xfId="0" applyNumberFormat="1" applyFont="1" applyFill="1" applyBorder="1"/>
    <x:xf numFmtId="0" fontId="17" fillId="24" borderId="58" xfId="0" applyNumberFormat="1" applyFont="1" applyFill="1" applyBorder="1" applyAlignment="1">
      <x:alignment wrapText="1"/>
    </x:xf>
    <x:xf numFmtId="0" fontId="17" fillId="24" borderId="59" xfId="0" applyNumberFormat="1" applyFont="1" applyFill="1" applyBorder="1" applyAlignment="1">
      <x:alignment wrapText="1"/>
    </x:xf>
    <x:xf numFmtId="0" fontId="17" fillId="24" borderId="60" xfId="0" applyNumberFormat="1" applyFont="1" applyFill="1" applyBorder="1" applyAlignment="1">
      <x:alignment wrapText="1"/>
    </x:xf>
    <x:xf numFmtId="0" fontId="17" fillId="24" borderId="61" xfId="0" applyNumberFormat="1" applyFont="1" applyFill="1" applyBorder="1" applyAlignment="1">
      <x:alignment wrapText="1"/>
    </x:xf>
    <x:xf numFmtId="0" fontId="17" fillId="24" borderId="62" xfId="0" applyNumberFormat="1" applyFont="1" applyFill="1" applyBorder="1" applyAlignment="1">
      <x:alignment wrapText="1"/>
    </x:xf>
    <x:xf numFmtId="0" fontId="17" fillId="24" borderId="63" xfId="0" applyNumberFormat="1" applyFont="1" applyFill="1" applyBorder="1" applyAlignment="1">
      <x:alignment wrapText="1"/>
    </x:xf>
    <x:xf numFmtId="0" fontId="17" fillId="24" borderId="58" xfId="0" applyNumberFormat="1" applyFont="1" applyFill="1" applyBorder="1" applyAlignment="1">
      <x:alignment horizontal="center" wrapText="1"/>
    </x:xf>
    <x:xf numFmtId="0" fontId="17" fillId="24" borderId="59" xfId="0" applyNumberFormat="1" applyFont="1" applyFill="1" applyBorder="1" applyAlignment="1">
      <x:alignment horizontal="center" wrapText="1"/>
    </x:xf>
    <x:xf numFmtId="0" fontId="17" fillId="24" borderId="60" xfId="0" applyNumberFormat="1" applyFont="1" applyFill="1" applyBorder="1" applyAlignment="1">
      <x:alignment horizontal="center" wrapText="1"/>
    </x:xf>
    <x:xf numFmtId="0" fontId="17" fillId="24" borderId="61" xfId="0" applyNumberFormat="1" applyFont="1" applyFill="1" applyBorder="1" applyAlignment="1">
      <x:alignment horizontal="center" wrapText="1"/>
    </x:xf>
    <x:xf numFmtId="0" fontId="17" fillId="24" borderId="62" xfId="0" applyNumberFormat="1" applyFont="1" applyFill="1" applyBorder="1" applyAlignment="1">
      <x:alignment horizontal="center" wrapText="1"/>
    </x:xf>
    <x:xf numFmtId="0" fontId="17" fillId="24" borderId="63" xfId="0" applyNumberFormat="1" applyFont="1" applyFill="1" applyBorder="1" applyAlignment="1">
      <x:alignment horizontal="center" wrapText="1"/>
    </x:xf>
    <x:xf numFmtId="0" fontId="17" fillId="24" borderId="58" xfId="0" applyNumberFormat="1" applyFont="1" applyFill="1" applyBorder="1" applyAlignment="1">
      <x:alignment horizontal="center" vertical="center" wrapText="1"/>
    </x:xf>
    <x:xf numFmtId="0" fontId="17" fillId="24" borderId="59" xfId="0" applyNumberFormat="1" applyFont="1" applyFill="1" applyBorder="1" applyAlignment="1">
      <x:alignment horizontal="center" vertical="center" wrapText="1"/>
    </x:xf>
    <x:xf numFmtId="0" fontId="17" fillId="24" borderId="60" xfId="0" applyNumberFormat="1" applyFont="1" applyFill="1" applyBorder="1" applyAlignment="1">
      <x:alignment horizontal="center" vertical="center" wrapText="1"/>
    </x:xf>
    <x:xf numFmtId="0" fontId="17" fillId="24" borderId="61" xfId="0" applyNumberFormat="1" applyFont="1" applyFill="1" applyBorder="1" applyAlignment="1">
      <x:alignment horizontal="center" vertical="center" wrapText="1"/>
    </x:xf>
    <x:xf numFmtId="0" fontId="17" fillId="24" borderId="62" xfId="0" applyNumberFormat="1" applyFont="1" applyFill="1" applyBorder="1" applyAlignment="1">
      <x:alignment horizontal="center" vertical="center" wrapText="1"/>
    </x:xf>
    <x:xf numFmtId="0" fontId="17" fillId="24" borderId="63" xfId="0" applyNumberFormat="1" applyFont="1" applyFill="1" applyBorder="1" applyAlignment="1">
      <x:alignment horizontal="center" vertical="center" wrapText="1"/>
    </x:xf>
    <x:xf numFmtId="0" fontId="17" fillId="23" borderId="64" xfId="0" applyNumberFormat="1" applyFont="1" applyFill="1" applyBorder="1"/>
    <x:xf numFmtId="0" fontId="17" fillId="23" xfId="0" applyNumberFormat="1" applyFont="1" applyFill="1" applyBorder="0"/>
    <x:xf numFmtId="0" fontId="17" fillId="23" borderId="65" xfId="0" applyNumberFormat="1" applyFont="1" applyFill="1" applyBorder="1"/>
    <x:xf numFmtId="0" fontId="17" fillId="23" borderId="64" xfId="0" applyNumberFormat="1" applyFont="1" applyFill="1" applyBorder="1" applyAlignment="1">
      <x:alignment wrapText="1"/>
    </x:xf>
    <x:xf numFmtId="0" fontId="17" fillId="23" xfId="0" applyNumberFormat="1" applyFont="1" applyFill="1" applyBorder="0" applyAlignment="1">
      <x:alignment wrapText="1"/>
    </x:xf>
    <x:xf numFmtId="0" fontId="17" fillId="23" borderId="65" xfId="0" applyNumberFormat="1" applyFont="1" applyFill="1" applyBorder="1" applyAlignment="1">
      <x:alignment wrapText="1"/>
    </x:xf>
    <x:xf numFmtId="0" fontId="17" fillId="23" borderId="64" xfId="0" applyNumberFormat="1" applyFont="1" applyFill="1" applyBorder="1" applyAlignment="1">
      <x:alignment horizontal="center" wrapText="1"/>
    </x:xf>
    <x:xf numFmtId="0" fontId="17" fillId="23" xfId="0" applyNumberFormat="1" applyFont="1" applyFill="1" applyBorder="0" applyAlignment="1">
      <x:alignment horizontal="center" wrapText="1"/>
    </x:xf>
    <x:xf numFmtId="0" fontId="17" fillId="23" borderId="65" xfId="0" applyNumberFormat="1" applyFont="1" applyFill="1" applyBorder="1" applyAlignment="1">
      <x:alignment horizontal="center" wrapText="1"/>
    </x:xf>
    <x:xf numFmtId="0" fontId="17" fillId="23" borderId="64" xfId="0" applyNumberFormat="1" applyFont="1" applyFill="1" applyBorder="1" applyAlignment="1">
      <x:alignment horizontal="center" vertical="center" wrapText="1"/>
    </x:xf>
    <x:xf numFmtId="0" fontId="17" fillId="23" xfId="0" applyNumberFormat="1" applyFont="1" applyFill="1" applyBorder="0" applyAlignment="1">
      <x:alignment horizontal="center" vertical="center" wrapText="1"/>
    </x:xf>
    <x:xf numFmtId="0" fontId="17" fillId="23" borderId="65" xfId="0" applyNumberFormat="1" applyFont="1" applyFill="1" applyBorder="1" applyAlignment="1">
      <x:alignment horizontal="center" vertical="center" wrapText="1"/>
    </x:xf>
    <x:xf numFmtId="0" fontId="0" fillId="25" borderId="0" xfId="0" applyNumberFormat="1" applyFont="1" applyFill="1" applyBorder="1"/>
    <x:xf numFmtId="0" fontId="17" fillId="25" borderId="0" xfId="0" applyNumberFormat="1" applyFont="1" applyFill="1" applyBorder="1"/>
    <x:xf numFmtId="0" fontId="17" fillId="25" borderId="66" xfId="0" applyNumberFormat="1" applyFont="1" applyFill="1" applyBorder="1"/>
    <x:xf numFmtId="0" fontId="17" fillId="25" borderId="67" xfId="0" applyNumberFormat="1" applyFont="1" applyFill="1" applyBorder="1"/>
    <x:xf numFmtId="0" fontId="17" fillId="25" borderId="68" xfId="0" applyNumberFormat="1" applyFont="1" applyFill="1" applyBorder="1"/>
    <x:xf numFmtId="0" fontId="17" fillId="25" borderId="69" xfId="0" applyNumberFormat="1" applyFont="1" applyFill="1" applyBorder="1"/>
    <x:xf numFmtId="0" fontId="17" fillId="25" xfId="0" applyNumberFormat="1" applyFont="1" applyFill="1" applyBorder="0"/>
    <x:xf numFmtId="0" fontId="17" fillId="25" borderId="70" xfId="0" applyNumberFormat="1" applyFont="1" applyFill="1" applyBorder="1"/>
    <x:xf numFmtId="0" fontId="17" fillId="25" borderId="71" xfId="0" applyNumberFormat="1" applyFont="1" applyFill="1" applyBorder="1"/>
    <x:xf numFmtId="0" fontId="17" fillId="25" borderId="72" xfId="0" applyNumberFormat="1" applyFont="1" applyFill="1" applyBorder="1"/>
    <x:xf numFmtId="0" fontId="17" fillId="25" borderId="73" xfId="0" applyNumberFormat="1" applyFont="1" applyFill="1" applyBorder="1"/>
    <x:xf numFmtId="0" fontId="17" fillId="25" borderId="66" xfId="0" applyNumberFormat="1" applyFont="1" applyFill="1" applyBorder="1" applyAlignment="1">
      <x:alignment wrapText="1"/>
    </x:xf>
    <x:xf numFmtId="0" fontId="17" fillId="25" borderId="67" xfId="0" applyNumberFormat="1" applyFont="1" applyFill="1" applyBorder="1" applyAlignment="1">
      <x:alignment wrapText="1"/>
    </x:xf>
    <x:xf numFmtId="0" fontId="17" fillId="25" borderId="68" xfId="0" applyNumberFormat="1" applyFont="1" applyFill="1" applyBorder="1" applyAlignment="1">
      <x:alignment wrapText="1"/>
    </x:xf>
    <x:xf numFmtId="0" fontId="17" fillId="25" borderId="69" xfId="0" applyNumberFormat="1" applyFont="1" applyFill="1" applyBorder="1" applyAlignment="1">
      <x:alignment wrapText="1"/>
    </x:xf>
    <x:xf numFmtId="0" fontId="17" fillId="25" xfId="0" applyNumberFormat="1" applyFont="1" applyFill="1" applyBorder="0" applyAlignment="1">
      <x:alignment wrapText="1"/>
    </x:xf>
    <x:xf numFmtId="0" fontId="17" fillId="25" borderId="70" xfId="0" applyNumberFormat="1" applyFont="1" applyFill="1" applyBorder="1" applyAlignment="1">
      <x:alignment wrapText="1"/>
    </x:xf>
    <x:xf numFmtId="0" fontId="17" fillId="25" borderId="71" xfId="0" applyNumberFormat="1" applyFont="1" applyFill="1" applyBorder="1" applyAlignment="1">
      <x:alignment wrapText="1"/>
    </x:xf>
    <x:xf numFmtId="0" fontId="17" fillId="25" borderId="72" xfId="0" applyNumberFormat="1" applyFont="1" applyFill="1" applyBorder="1" applyAlignment="1">
      <x:alignment wrapText="1"/>
    </x:xf>
    <x:xf numFmtId="0" fontId="17" fillId="25" borderId="73" xfId="0" applyNumberFormat="1" applyFont="1" applyFill="1" applyBorder="1" applyAlignment="1">
      <x:alignment wrapText="1"/>
    </x:xf>
    <x:xf numFmtId="0" fontId="17" fillId="25" borderId="66" xfId="0" applyNumberFormat="1" applyFont="1" applyFill="1" applyBorder="1" applyAlignment="1">
      <x:alignment horizontal="center" wrapText="1"/>
    </x:xf>
    <x:xf numFmtId="0" fontId="17" fillId="25" borderId="67" xfId="0" applyNumberFormat="1" applyFont="1" applyFill="1" applyBorder="1" applyAlignment="1">
      <x:alignment horizontal="center" wrapText="1"/>
    </x:xf>
    <x:xf numFmtId="0" fontId="17" fillId="25" borderId="68" xfId="0" applyNumberFormat="1" applyFont="1" applyFill="1" applyBorder="1" applyAlignment="1">
      <x:alignment horizontal="center" wrapText="1"/>
    </x:xf>
    <x:xf numFmtId="0" fontId="17" fillId="25" borderId="69" xfId="0" applyNumberFormat="1" applyFont="1" applyFill="1" applyBorder="1" applyAlignment="1">
      <x:alignment horizontal="center" wrapText="1"/>
    </x:xf>
    <x:xf numFmtId="0" fontId="17" fillId="25" xfId="0" applyNumberFormat="1" applyFont="1" applyFill="1" applyBorder="0" applyAlignment="1">
      <x:alignment horizontal="center" wrapText="1"/>
    </x:xf>
    <x:xf numFmtId="0" fontId="17" fillId="25" borderId="70" xfId="0" applyNumberFormat="1" applyFont="1" applyFill="1" applyBorder="1" applyAlignment="1">
      <x:alignment horizontal="center" wrapText="1"/>
    </x:xf>
    <x:xf numFmtId="0" fontId="17" fillId="25" borderId="71" xfId="0" applyNumberFormat="1" applyFont="1" applyFill="1" applyBorder="1" applyAlignment="1">
      <x:alignment horizontal="center" wrapText="1"/>
    </x:xf>
    <x:xf numFmtId="0" fontId="17" fillId="25" borderId="72" xfId="0" applyNumberFormat="1" applyFont="1" applyFill="1" applyBorder="1" applyAlignment="1">
      <x:alignment horizontal="center" wrapText="1"/>
    </x:xf>
    <x:xf numFmtId="0" fontId="17" fillId="25" borderId="73" xfId="0" applyNumberFormat="1" applyFont="1" applyFill="1" applyBorder="1" applyAlignment="1">
      <x:alignment horizontal="center" wrapText="1"/>
    </x:xf>
    <x:xf numFmtId="0" fontId="17" fillId="25" borderId="66" xfId="0" applyNumberFormat="1" applyFont="1" applyFill="1" applyBorder="1" applyAlignment="1">
      <x:alignment horizontal="center" vertical="center" wrapText="1"/>
    </x:xf>
    <x:xf numFmtId="0" fontId="17" fillId="25" borderId="67" xfId="0" applyNumberFormat="1" applyFont="1" applyFill="1" applyBorder="1" applyAlignment="1">
      <x:alignment horizontal="center" vertical="center" wrapText="1"/>
    </x:xf>
    <x:xf numFmtId="0" fontId="17" fillId="25" borderId="68" xfId="0" applyNumberFormat="1" applyFont="1" applyFill="1" applyBorder="1" applyAlignment="1">
      <x:alignment horizontal="center" vertical="center" wrapText="1"/>
    </x:xf>
    <x:xf numFmtId="0" fontId="17" fillId="25" borderId="69" xfId="0" applyNumberFormat="1" applyFont="1" applyFill="1" applyBorder="1" applyAlignment="1">
      <x:alignment horizontal="center" vertical="center" wrapText="1"/>
    </x:xf>
    <x:xf numFmtId="0" fontId="17" fillId="25" xfId="0" applyNumberFormat="1" applyFont="1" applyFill="1" applyBorder="0" applyAlignment="1">
      <x:alignment horizontal="center" vertical="center" wrapText="1"/>
    </x:xf>
    <x:xf numFmtId="0" fontId="17" fillId="25" borderId="70" xfId="0" applyNumberFormat="1" applyFont="1" applyFill="1" applyBorder="1" applyAlignment="1">
      <x:alignment horizontal="center" vertical="center" wrapText="1"/>
    </x:xf>
    <x:xf numFmtId="0" fontId="17" fillId="25" borderId="71" xfId="0" applyNumberFormat="1" applyFont="1" applyFill="1" applyBorder="1" applyAlignment="1">
      <x:alignment horizontal="center" vertical="center" wrapText="1"/>
    </x:xf>
    <x:xf numFmtId="0" fontId="17" fillId="25" borderId="72" xfId="0" applyNumberFormat="1" applyFont="1" applyFill="1" applyBorder="1" applyAlignment="1">
      <x:alignment horizontal="center" vertical="center" wrapText="1"/>
    </x:xf>
    <x:xf numFmtId="0" fontId="17" fillId="25" borderId="73" xfId="0" applyNumberFormat="1" applyFont="1" applyFill="1" applyBorder="1" applyAlignment="1">
      <x:alignment horizontal="center" vertical="center" wrapText="1"/>
    </x:xf>
    <x:xf numFmtId="0" fontId="17" fillId="23" borderId="74" xfId="0" applyNumberFormat="1" applyFont="1" applyFill="1" applyBorder="1"/>
    <x:xf numFmtId="0" fontId="17" fillId="23" borderId="75" xfId="0" applyNumberFormat="1" applyFont="1" applyFill="1" applyBorder="1"/>
    <x:xf numFmtId="0" fontId="17" fillId="23" borderId="76" xfId="0" applyNumberFormat="1" applyFont="1" applyFill="1" applyBorder="1"/>
    <x:xf numFmtId="0" fontId="17" fillId="23" borderId="77" xfId="0" applyNumberFormat="1" applyFont="1" applyFill="1" applyBorder="1"/>
    <x:xf numFmtId="0" fontId="17" fillId="23" borderId="78" xfId="0" applyNumberFormat="1" applyFont="1" applyFill="1" applyBorder="1"/>
    <x:xf numFmtId="0" fontId="17" fillId="23" borderId="79" xfId="0" applyNumberFormat="1" applyFont="1" applyFill="1" applyBorder="1"/>
    <x:xf numFmtId="0" fontId="17" fillId="23" borderId="80" xfId="0" applyNumberFormat="1" applyFont="1" applyFill="1" applyBorder="1"/>
    <x:xf numFmtId="0" fontId="17" fillId="23" borderId="81" xfId="0" applyNumberFormat="1" applyFont="1" applyFill="1" applyBorder="1"/>
    <x:xf numFmtId="0" fontId="17" fillId="23" borderId="74" xfId="0" applyNumberFormat="1" applyFont="1" applyFill="1" applyBorder="1" applyAlignment="1">
      <x:alignment wrapText="1"/>
    </x:xf>
    <x:xf numFmtId="0" fontId="17" fillId="23" borderId="75" xfId="0" applyNumberFormat="1" applyFont="1" applyFill="1" applyBorder="1" applyAlignment="1">
      <x:alignment wrapText="1"/>
    </x:xf>
    <x:xf numFmtId="0" fontId="17" fillId="23" borderId="76" xfId="0" applyNumberFormat="1" applyFont="1" applyFill="1" applyBorder="1" applyAlignment="1">
      <x:alignment wrapText="1"/>
    </x:xf>
    <x:xf numFmtId="0" fontId="17" fillId="23" borderId="77" xfId="0" applyNumberFormat="1" applyFont="1" applyFill="1" applyBorder="1" applyAlignment="1">
      <x:alignment wrapText="1"/>
    </x:xf>
    <x:xf numFmtId="0" fontId="17" fillId="23" borderId="78" xfId="0" applyNumberFormat="1" applyFont="1" applyFill="1" applyBorder="1" applyAlignment="1">
      <x:alignment wrapText="1"/>
    </x:xf>
    <x:xf numFmtId="0" fontId="17" fillId="23" borderId="79" xfId="0" applyNumberFormat="1" applyFont="1" applyFill="1" applyBorder="1" applyAlignment="1">
      <x:alignment wrapText="1"/>
    </x:xf>
    <x:xf numFmtId="0" fontId="17" fillId="23" borderId="80" xfId="0" applyNumberFormat="1" applyFont="1" applyFill="1" applyBorder="1" applyAlignment="1">
      <x:alignment wrapText="1"/>
    </x:xf>
    <x:xf numFmtId="0" fontId="17" fillId="23" borderId="81" xfId="0" applyNumberFormat="1" applyFont="1" applyFill="1" applyBorder="1" applyAlignment="1">
      <x:alignment wrapText="1"/>
    </x:xf>
    <x:xf numFmtId="0" fontId="17" fillId="23" borderId="74" xfId="0" applyNumberFormat="1" applyFont="1" applyFill="1" applyBorder="1" applyAlignment="1">
      <x:alignment horizontal="center" wrapText="1"/>
    </x:xf>
    <x:xf numFmtId="0" fontId="17" fillId="23" borderId="75" xfId="0" applyNumberFormat="1" applyFont="1" applyFill="1" applyBorder="1" applyAlignment="1">
      <x:alignment horizontal="center" wrapText="1"/>
    </x:xf>
    <x:xf numFmtId="0" fontId="17" fillId="23" borderId="76" xfId="0" applyNumberFormat="1" applyFont="1" applyFill="1" applyBorder="1" applyAlignment="1">
      <x:alignment horizontal="center" wrapText="1"/>
    </x:xf>
    <x:xf numFmtId="0" fontId="17" fillId="23" borderId="77" xfId="0" applyNumberFormat="1" applyFont="1" applyFill="1" applyBorder="1" applyAlignment="1">
      <x:alignment horizontal="center" wrapText="1"/>
    </x:xf>
    <x:xf numFmtId="0" fontId="17" fillId="23" borderId="78" xfId="0" applyNumberFormat="1" applyFont="1" applyFill="1" applyBorder="1" applyAlignment="1">
      <x:alignment horizontal="center" wrapText="1"/>
    </x:xf>
    <x:xf numFmtId="0" fontId="17" fillId="23" borderId="79" xfId="0" applyNumberFormat="1" applyFont="1" applyFill="1" applyBorder="1" applyAlignment="1">
      <x:alignment horizontal="center" wrapText="1"/>
    </x:xf>
    <x:xf numFmtId="0" fontId="17" fillId="23" borderId="80" xfId="0" applyNumberFormat="1" applyFont="1" applyFill="1" applyBorder="1" applyAlignment="1">
      <x:alignment horizontal="center" wrapText="1"/>
    </x:xf>
    <x:xf numFmtId="0" fontId="17" fillId="23" borderId="81" xfId="0" applyNumberFormat="1" applyFont="1" applyFill="1" applyBorder="1" applyAlignment="1">
      <x:alignment horizontal="center" wrapText="1"/>
    </x:xf>
    <x:xf numFmtId="0" fontId="17" fillId="23" borderId="74" xfId="0" applyNumberFormat="1" applyFont="1" applyFill="1" applyBorder="1" applyAlignment="1">
      <x:alignment horizontal="center" vertical="center" wrapText="1"/>
    </x:xf>
    <x:xf numFmtId="0" fontId="17" fillId="23" borderId="75" xfId="0" applyNumberFormat="1" applyFont="1" applyFill="1" applyBorder="1" applyAlignment="1">
      <x:alignment horizontal="center" vertical="center" wrapText="1"/>
    </x:xf>
    <x:xf numFmtId="0" fontId="17" fillId="23" borderId="76" xfId="0" applyNumberFormat="1" applyFont="1" applyFill="1" applyBorder="1" applyAlignment="1">
      <x:alignment horizontal="center" vertical="center" wrapText="1"/>
    </x:xf>
    <x:xf numFmtId="0" fontId="17" fillId="23" borderId="77" xfId="0" applyNumberFormat="1" applyFont="1" applyFill="1" applyBorder="1" applyAlignment="1">
      <x:alignment horizontal="center" vertical="center" wrapText="1"/>
    </x:xf>
    <x:xf numFmtId="0" fontId="17" fillId="23" borderId="78" xfId="0" applyNumberFormat="1" applyFont="1" applyFill="1" applyBorder="1" applyAlignment="1">
      <x:alignment horizontal="center" vertical="center" wrapText="1"/>
    </x:xf>
    <x:xf numFmtId="0" fontId="17" fillId="23" borderId="79" xfId="0" applyNumberFormat="1" applyFont="1" applyFill="1" applyBorder="1" applyAlignment="1">
      <x:alignment horizontal="center" vertical="center" wrapText="1"/>
    </x:xf>
    <x:xf numFmtId="0" fontId="17" fillId="23" borderId="80" xfId="0" applyNumberFormat="1" applyFont="1" applyFill="1" applyBorder="1" applyAlignment="1">
      <x:alignment horizontal="center" vertical="center" wrapText="1"/>
    </x:xf>
    <x:xf numFmtId="0" fontId="17" fillId="23" borderId="81" xfId="0" applyNumberFormat="1" applyFont="1" applyFill="1" applyBorder="1" applyAlignment="1">
      <x:alignment horizontal="center" vertical="center" wrapText="1"/>
    </x:xf>
    <x:xf numFmtId="0" fontId="0" fillId="26" borderId="0" xfId="0" applyNumberFormat="1" applyFont="1" applyFill="1" applyBorder="1"/>
    <x:xf numFmtId="0" fontId="10" fillId="26" borderId="0" xfId="0" applyNumberFormat="1" applyFont="1" applyFill="1" applyBorder="1"/>
    <x:xf numFmtId="0" fontId="10" fillId="26" borderId="0" xfId="0" applyNumberFormat="1" applyFont="1" applyFill="1" applyBorder="1" applyAlignment="1">
      <x:alignment wrapText="1"/>
    </x:xf>
    <x:xf numFmtId="0" fontId="18" fillId="0" borderId="0" xfId="0" applyNumberFormat="1" applyFont="1" applyFill="1" applyBorder="1"/>
    <x:xf numFmtId="0" fontId="18" fillId="0" borderId="0" xfId="0" applyNumberFormat="1" applyFont="1" applyFill="1" applyBorder="1" applyAlignment="1">
      <x:alignment wrapText="1"/>
    </x:xf>
    <x:xf numFmtId="0" fontId="18" fillId="0" borderId="0" xfId="0" applyNumberFormat="1" applyFont="1" applyFill="1" applyBorder="1" applyAlignment="1">
      <x:alignment vertical="top" wrapText="1"/>
    </x:xf>
    <x:xf numFmtId="0" fontId="10" fillId="24" borderId="0" xfId="0" applyNumberFormat="1" applyFont="1" applyFill="1" applyBorder="1"/>
    <x:xf numFmtId="0" fontId="10" fillId="24" borderId="58" xfId="0" applyNumberFormat="1" applyFont="1" applyFill="1" applyBorder="1"/>
    <x:xf numFmtId="0" fontId="10" fillId="24" borderId="59" xfId="0" applyNumberFormat="1" applyFont="1" applyFill="1" applyBorder="1"/>
    <x:xf numFmtId="0" fontId="10" fillId="24" borderId="60" xfId="0" applyNumberFormat="1" applyFont="1" applyFill="1" applyBorder="1"/>
    <x:xf numFmtId="0" fontId="10" fillId="24" borderId="61" xfId="0" applyNumberFormat="1" applyFont="1" applyFill="1" applyBorder="1"/>
    <x:xf numFmtId="0" fontId="10" fillId="24" borderId="62" xfId="0" applyNumberFormat="1" applyFont="1" applyFill="1" applyBorder="1"/>
    <x:xf numFmtId="0" fontId="10" fillId="24" borderId="63" xfId="0" applyNumberFormat="1" applyFont="1" applyFill="1" applyBorder="1"/>
    <x:xf numFmtId="0" fontId="10" fillId="24" borderId="58" xfId="0" applyNumberFormat="1" applyFont="1" applyFill="1" applyBorder="1" applyAlignment="1">
      <x:alignment wrapText="1"/>
    </x:xf>
    <x:xf numFmtId="0" fontId="10" fillId="24" borderId="59" xfId="0" applyNumberFormat="1" applyFont="1" applyFill="1" applyBorder="1" applyAlignment="1">
      <x:alignment wrapText="1"/>
    </x:xf>
    <x:xf numFmtId="0" fontId="10" fillId="24" borderId="60" xfId="0" applyNumberFormat="1" applyFont="1" applyFill="1" applyBorder="1" applyAlignment="1">
      <x:alignment wrapText="1"/>
    </x:xf>
    <x:xf numFmtId="0" fontId="10" fillId="24" borderId="61" xfId="0" applyNumberFormat="1" applyFont="1" applyFill="1" applyBorder="1" applyAlignment="1">
      <x:alignment wrapText="1"/>
    </x:xf>
    <x:xf numFmtId="0" fontId="10" fillId="24" borderId="62" xfId="0" applyNumberFormat="1" applyFont="1" applyFill="1" applyBorder="1" applyAlignment="1">
      <x:alignment wrapText="1"/>
    </x:xf>
    <x:xf numFmtId="0" fontId="10" fillId="24" borderId="63" xfId="0" applyNumberFormat="1" applyFont="1" applyFill="1" applyBorder="1" applyAlignment="1">
      <x:alignment wrapText="1"/>
    </x:xf>
    <x:xf numFmtId="0" fontId="10" fillId="24" borderId="58" xfId="0" applyNumberFormat="1" applyFont="1" applyFill="1" applyBorder="1" applyAlignment="1">
      <x:alignment horizontal="center" wrapText="1"/>
    </x:xf>
    <x:xf numFmtId="0" fontId="10" fillId="24" borderId="59" xfId="0" applyNumberFormat="1" applyFont="1" applyFill="1" applyBorder="1" applyAlignment="1">
      <x:alignment horizontal="center" wrapText="1"/>
    </x:xf>
    <x:xf numFmtId="0" fontId="10" fillId="24" borderId="60" xfId="0" applyNumberFormat="1" applyFont="1" applyFill="1" applyBorder="1" applyAlignment="1">
      <x:alignment horizontal="center" wrapText="1"/>
    </x:xf>
    <x:xf numFmtId="0" fontId="10" fillId="24" borderId="61" xfId="0" applyNumberFormat="1" applyFont="1" applyFill="1" applyBorder="1" applyAlignment="1">
      <x:alignment horizontal="center" wrapText="1"/>
    </x:xf>
    <x:xf numFmtId="0" fontId="10" fillId="24" borderId="62" xfId="0" applyNumberFormat="1" applyFont="1" applyFill="1" applyBorder="1" applyAlignment="1">
      <x:alignment horizontal="center" wrapText="1"/>
    </x:xf>
    <x:xf numFmtId="0" fontId="10" fillId="24" borderId="63" xfId="0" applyNumberFormat="1" applyFont="1" applyFill="1" applyBorder="1" applyAlignment="1">
      <x:alignment horizontal="center" wrapText="1"/>
    </x:xf>
    <x:xf numFmtId="0" fontId="10" fillId="24" borderId="58" xfId="0" applyNumberFormat="1" applyFont="1" applyFill="1" applyBorder="1" applyAlignment="1">
      <x:alignment horizontal="center" vertical="center" wrapText="1"/>
    </x:xf>
    <x:xf numFmtId="0" fontId="10" fillId="24" borderId="59" xfId="0" applyNumberFormat="1" applyFont="1" applyFill="1" applyBorder="1" applyAlignment="1">
      <x:alignment horizontal="center" vertical="center" wrapText="1"/>
    </x:xf>
    <x:xf numFmtId="0" fontId="10" fillId="24" borderId="60" xfId="0" applyNumberFormat="1" applyFont="1" applyFill="1" applyBorder="1" applyAlignment="1">
      <x:alignment horizontal="center" vertical="center" wrapText="1"/>
    </x:xf>
    <x:xf numFmtId="0" fontId="10" fillId="24" borderId="61" xfId="0" applyNumberFormat="1" applyFont="1" applyFill="1" applyBorder="1" applyAlignment="1">
      <x:alignment horizontal="center" vertical="center" wrapText="1"/>
    </x:xf>
    <x:xf numFmtId="0" fontId="10" fillId="24" borderId="62" xfId="0" applyNumberFormat="1" applyFont="1" applyFill="1" applyBorder="1" applyAlignment="1">
      <x:alignment horizontal="center" vertical="center" wrapText="1"/>
    </x:xf>
    <x:xf numFmtId="0" fontId="10" fillId="24" borderId="63" xfId="0" applyNumberFormat="1" applyFont="1" applyFill="1" applyBorder="1" applyAlignment="1">
      <x:alignment horizontal="center" vertical="center" wrapText="1"/>
    </x:xf>
    <x:xf numFmtId="0" fontId="10" fillId="24" borderId="82" xfId="0" applyNumberFormat="1" applyFont="1" applyFill="1" applyBorder="1"/>
    <x:xf numFmtId="0" fontId="10" fillId="24" xfId="0" applyNumberFormat="1" applyFont="1" applyFill="1" applyBorder="0"/>
    <x:xf numFmtId="0" fontId="10" fillId="24" borderId="83" xfId="0" applyNumberFormat="1" applyFont="1" applyFill="1" applyBorder="1"/>
    <x:xf numFmtId="0" fontId="10" fillId="24" borderId="82" xfId="0" applyNumberFormat="1" applyFont="1" applyFill="1" applyBorder="1" applyAlignment="1">
      <x:alignment wrapText="1"/>
    </x:xf>
    <x:xf numFmtId="0" fontId="10" fillId="24" xfId="0" applyNumberFormat="1" applyFont="1" applyFill="1" applyBorder="0" applyAlignment="1">
      <x:alignment wrapText="1"/>
    </x:xf>
    <x:xf numFmtId="0" fontId="10" fillId="24" borderId="83" xfId="0" applyNumberFormat="1" applyFont="1" applyFill="1" applyBorder="1" applyAlignment="1">
      <x:alignment wrapText="1"/>
    </x:xf>
    <x:xf numFmtId="0" fontId="10" fillId="24" borderId="82" xfId="0" applyNumberFormat="1" applyFont="1" applyFill="1" applyBorder="1" applyAlignment="1">
      <x:alignment horizontal="center" wrapText="1"/>
    </x:xf>
    <x:xf numFmtId="0" fontId="10" fillId="24" xfId="0" applyNumberFormat="1" applyFont="1" applyFill="1" applyBorder="0" applyAlignment="1">
      <x:alignment horizontal="center" wrapText="1"/>
    </x:xf>
    <x:xf numFmtId="0" fontId="10" fillId="24" borderId="83" xfId="0" applyNumberFormat="1" applyFont="1" applyFill="1" applyBorder="1" applyAlignment="1">
      <x:alignment horizontal="center" wrapText="1"/>
    </x:xf>
    <x:xf numFmtId="0" fontId="10" fillId="24" borderId="82" xfId="0" applyNumberFormat="1" applyFont="1" applyFill="1" applyBorder="1" applyAlignment="1">
      <x:alignment horizontal="center" vertical="center" wrapText="1"/>
    </x:xf>
    <x:xf numFmtId="0" fontId="10" fillId="24" xfId="0" applyNumberFormat="1" applyFont="1" applyFill="1" applyBorder="0" applyAlignment="1">
      <x:alignment horizontal="center" vertical="center" wrapText="1"/>
    </x:xf>
    <x:xf numFmtId="0" fontId="10" fillId="24" borderId="83" xfId="0" applyNumberFormat="1" applyFont="1" applyFill="1" applyBorder="1" applyAlignment="1">
      <x:alignment horizontal="center" vertical="center" wrapText="1"/>
    </x:xf>
    <x:xf numFmtId="0" fontId="10" fillId="25" borderId="0" xfId="0" applyNumberFormat="1" applyFont="1" applyFill="1" applyBorder="1"/>
    <x:xf numFmtId="0" fontId="10" fillId="25" borderId="52" xfId="0" applyNumberFormat="1" applyFont="1" applyFill="1" applyBorder="1"/>
    <x:xf numFmtId="0" fontId="10" fillId="25" borderId="64" xfId="0" applyNumberFormat="1" applyFont="1" applyFill="1" applyBorder="1"/>
    <x:xf numFmtId="0" fontId="10" fillId="25" borderId="53" xfId="0" applyNumberFormat="1" applyFont="1" applyFill="1" applyBorder="1"/>
    <x:xf numFmtId="0" fontId="10" fillId="25" borderId="54" xfId="0" applyNumberFormat="1" applyFont="1" applyFill="1" applyBorder="1"/>
    <x:xf numFmtId="0" fontId="10" fillId="25" xfId="0" applyNumberFormat="1" applyFont="1" applyFill="1" applyBorder="0"/>
    <x:xf numFmtId="0" fontId="10" fillId="25" borderId="55" xfId="0" applyNumberFormat="1" applyFont="1" applyFill="1" applyBorder="1"/>
    <x:xf numFmtId="0" fontId="10" fillId="25" borderId="56" xfId="0" applyNumberFormat="1" applyFont="1" applyFill="1" applyBorder="1"/>
    <x:xf numFmtId="0" fontId="10" fillId="25" borderId="65" xfId="0" applyNumberFormat="1" applyFont="1" applyFill="1" applyBorder="1"/>
    <x:xf numFmtId="0" fontId="10" fillId="25" borderId="57" xfId="0" applyNumberFormat="1" applyFont="1" applyFill="1" applyBorder="1"/>
    <x:xf numFmtId="0" fontId="10" fillId="25" borderId="52" xfId="0" applyNumberFormat="1" applyFont="1" applyFill="1" applyBorder="1" applyAlignment="1">
      <x:alignment wrapText="1"/>
    </x:xf>
    <x:xf numFmtId="0" fontId="10" fillId="25" borderId="64" xfId="0" applyNumberFormat="1" applyFont="1" applyFill="1" applyBorder="1" applyAlignment="1">
      <x:alignment wrapText="1"/>
    </x:xf>
    <x:xf numFmtId="0" fontId="10" fillId="25" borderId="53" xfId="0" applyNumberFormat="1" applyFont="1" applyFill="1" applyBorder="1" applyAlignment="1">
      <x:alignment wrapText="1"/>
    </x:xf>
    <x:xf numFmtId="0" fontId="10" fillId="25" borderId="54" xfId="0" applyNumberFormat="1" applyFont="1" applyFill="1" applyBorder="1" applyAlignment="1">
      <x:alignment wrapText="1"/>
    </x:xf>
    <x:xf numFmtId="0" fontId="10" fillId="25" xfId="0" applyNumberFormat="1" applyFont="1" applyFill="1" applyBorder="0" applyAlignment="1">
      <x:alignment wrapText="1"/>
    </x:xf>
    <x:xf numFmtId="0" fontId="10" fillId="25" borderId="55" xfId="0" applyNumberFormat="1" applyFont="1" applyFill="1" applyBorder="1" applyAlignment="1">
      <x:alignment wrapText="1"/>
    </x:xf>
    <x:xf numFmtId="0" fontId="10" fillId="25" borderId="56" xfId="0" applyNumberFormat="1" applyFont="1" applyFill="1" applyBorder="1" applyAlignment="1">
      <x:alignment wrapText="1"/>
    </x:xf>
    <x:xf numFmtId="0" fontId="10" fillId="25" borderId="65" xfId="0" applyNumberFormat="1" applyFont="1" applyFill="1" applyBorder="1" applyAlignment="1">
      <x:alignment wrapText="1"/>
    </x:xf>
    <x:xf numFmtId="0" fontId="10" fillId="25" borderId="57" xfId="0" applyNumberFormat="1" applyFont="1" applyFill="1" applyBorder="1" applyAlignment="1">
      <x:alignment wrapText="1"/>
    </x:xf>
    <x:xf numFmtId="0" fontId="10" fillId="25" borderId="52" xfId="0" applyNumberFormat="1" applyFont="1" applyFill="1" applyBorder="1" applyAlignment="1">
      <x:alignment horizontal="center" wrapText="1"/>
    </x:xf>
    <x:xf numFmtId="0" fontId="10" fillId="25" borderId="64" xfId="0" applyNumberFormat="1" applyFont="1" applyFill="1" applyBorder="1" applyAlignment="1">
      <x:alignment horizontal="center" wrapText="1"/>
    </x:xf>
    <x:xf numFmtId="0" fontId="10" fillId="25" borderId="53" xfId="0" applyNumberFormat="1" applyFont="1" applyFill="1" applyBorder="1" applyAlignment="1">
      <x:alignment horizontal="center" wrapText="1"/>
    </x:xf>
    <x:xf numFmtId="0" fontId="10" fillId="25" borderId="54" xfId="0" applyNumberFormat="1" applyFont="1" applyFill="1" applyBorder="1" applyAlignment="1">
      <x:alignment horizontal="center" wrapText="1"/>
    </x:xf>
    <x:xf numFmtId="0" fontId="10" fillId="25" xfId="0" applyNumberFormat="1" applyFont="1" applyFill="1" applyBorder="0" applyAlignment="1">
      <x:alignment horizontal="center" wrapText="1"/>
    </x:xf>
    <x:xf numFmtId="0" fontId="10" fillId="25" borderId="55" xfId="0" applyNumberFormat="1" applyFont="1" applyFill="1" applyBorder="1" applyAlignment="1">
      <x:alignment horizontal="center" wrapText="1"/>
    </x:xf>
    <x:xf numFmtId="0" fontId="10" fillId="25" borderId="56" xfId="0" applyNumberFormat="1" applyFont="1" applyFill="1" applyBorder="1" applyAlignment="1">
      <x:alignment horizontal="center" wrapText="1"/>
    </x:xf>
    <x:xf numFmtId="0" fontId="10" fillId="25" borderId="65" xfId="0" applyNumberFormat="1" applyFont="1" applyFill="1" applyBorder="1" applyAlignment="1">
      <x:alignment horizontal="center" wrapText="1"/>
    </x:xf>
    <x:xf numFmtId="0" fontId="10" fillId="25" borderId="57" xfId="0" applyNumberFormat="1" applyFont="1" applyFill="1" applyBorder="1" applyAlignment="1">
      <x:alignment horizontal="center" wrapText="1"/>
    </x:xf>
    <x:xf numFmtId="0" fontId="10" fillId="25" borderId="52" xfId="0" applyNumberFormat="1" applyFont="1" applyFill="1" applyBorder="1" applyAlignment="1">
      <x:alignment horizontal="center" vertical="center" wrapText="1"/>
    </x:xf>
    <x:xf numFmtId="0" fontId="10" fillId="25" borderId="64" xfId="0" applyNumberFormat="1" applyFont="1" applyFill="1" applyBorder="1" applyAlignment="1">
      <x:alignment horizontal="center" vertical="center" wrapText="1"/>
    </x:xf>
    <x:xf numFmtId="0" fontId="10" fillId="25" borderId="53" xfId="0" applyNumberFormat="1" applyFont="1" applyFill="1" applyBorder="1" applyAlignment="1">
      <x:alignment horizontal="center" vertical="center" wrapText="1"/>
    </x:xf>
    <x:xf numFmtId="0" fontId="10" fillId="25" borderId="54" xfId="0" applyNumberFormat="1" applyFont="1" applyFill="1" applyBorder="1" applyAlignment="1">
      <x:alignment horizontal="center" vertical="center" wrapText="1"/>
    </x:xf>
    <x:xf numFmtId="0" fontId="10" fillId="25" xfId="0" applyNumberFormat="1" applyFont="1" applyFill="1" applyBorder="0" applyAlignment="1">
      <x:alignment horizontal="center" vertical="center" wrapText="1"/>
    </x:xf>
    <x:xf numFmtId="0" fontId="10" fillId="25" borderId="55" xfId="0" applyNumberFormat="1" applyFont="1" applyFill="1" applyBorder="1" applyAlignment="1">
      <x:alignment horizontal="center" vertical="center" wrapText="1"/>
    </x:xf>
    <x:xf numFmtId="0" fontId="10" fillId="25" borderId="56" xfId="0" applyNumberFormat="1" applyFont="1" applyFill="1" applyBorder="1" applyAlignment="1">
      <x:alignment horizontal="center" vertical="center" wrapText="1"/>
    </x:xf>
    <x:xf numFmtId="0" fontId="10" fillId="25" borderId="65" xfId="0" applyNumberFormat="1" applyFont="1" applyFill="1" applyBorder="1" applyAlignment="1">
      <x:alignment horizontal="center" vertical="center" wrapText="1"/>
    </x:xf>
    <x:xf numFmtId="0" fontId="10" fillId="25" borderId="57" xfId="0" applyNumberFormat="1" applyFont="1" applyFill="1" applyBorder="1" applyAlignment="1">
      <x:alignment horizontal="center" vertical="center" wrapText="1"/>
    </x:xf>
    <x:xf numFmtId="0" fontId="10" fillId="23" borderId="0" xfId="0" applyNumberFormat="1" applyFont="1" applyFill="1" applyBorder="1"/>
    <x:xf numFmtId="0" fontId="10" fillId="23" borderId="74" xfId="0" applyNumberFormat="1" applyFont="1" applyFill="1" applyBorder="1"/>
    <x:xf numFmtId="0" fontId="10" fillId="23" borderId="75" xfId="0" applyNumberFormat="1" applyFont="1" applyFill="1" applyBorder="1"/>
    <x:xf numFmtId="0" fontId="10" fillId="23" borderId="76" xfId="0" applyNumberFormat="1" applyFont="1" applyFill="1" applyBorder="1"/>
    <x:xf numFmtId="0" fontId="10" fillId="23" borderId="77" xfId="0" applyNumberFormat="1" applyFont="1" applyFill="1" applyBorder="1"/>
    <x:xf numFmtId="0" fontId="10" fillId="23" xfId="0" applyNumberFormat="1" applyFont="1" applyFill="1" applyBorder="0"/>
    <x:xf numFmtId="0" fontId="10" fillId="23" borderId="78" xfId="0" applyNumberFormat="1" applyFont="1" applyFill="1" applyBorder="1"/>
    <x:xf numFmtId="0" fontId="10" fillId="23" borderId="79" xfId="0" applyNumberFormat="1" applyFont="1" applyFill="1" applyBorder="1"/>
    <x:xf numFmtId="0" fontId="10" fillId="23" borderId="80" xfId="0" applyNumberFormat="1" applyFont="1" applyFill="1" applyBorder="1"/>
    <x:xf numFmtId="0" fontId="10" fillId="23" borderId="81" xfId="0" applyNumberFormat="1" applyFont="1" applyFill="1" applyBorder="1"/>
    <x:xf numFmtId="0" fontId="10" fillId="23" borderId="74" xfId="0" applyNumberFormat="1" applyFont="1" applyFill="1" applyBorder="1" applyAlignment="1">
      <x:alignment wrapText="1"/>
    </x:xf>
    <x:xf numFmtId="0" fontId="10" fillId="23" borderId="75" xfId="0" applyNumberFormat="1" applyFont="1" applyFill="1" applyBorder="1" applyAlignment="1">
      <x:alignment wrapText="1"/>
    </x:xf>
    <x:xf numFmtId="0" fontId="10" fillId="23" borderId="76" xfId="0" applyNumberFormat="1" applyFont="1" applyFill="1" applyBorder="1" applyAlignment="1">
      <x:alignment wrapText="1"/>
    </x:xf>
    <x:xf numFmtId="0" fontId="10" fillId="23" borderId="77" xfId="0" applyNumberFormat="1" applyFont="1" applyFill="1" applyBorder="1" applyAlignment="1">
      <x:alignment wrapText="1"/>
    </x:xf>
    <x:xf numFmtId="0" fontId="10" fillId="23" xfId="0" applyNumberFormat="1" applyFont="1" applyFill="1" applyBorder="0" applyAlignment="1">
      <x:alignment wrapText="1"/>
    </x:xf>
    <x:xf numFmtId="0" fontId="10" fillId="23" borderId="78" xfId="0" applyNumberFormat="1" applyFont="1" applyFill="1" applyBorder="1" applyAlignment="1">
      <x:alignment wrapText="1"/>
    </x:xf>
    <x:xf numFmtId="0" fontId="10" fillId="23" borderId="79" xfId="0" applyNumberFormat="1" applyFont="1" applyFill="1" applyBorder="1" applyAlignment="1">
      <x:alignment wrapText="1"/>
    </x:xf>
    <x:xf numFmtId="0" fontId="10" fillId="23" borderId="80" xfId="0" applyNumberFormat="1" applyFont="1" applyFill="1" applyBorder="1" applyAlignment="1">
      <x:alignment wrapText="1"/>
    </x:xf>
    <x:xf numFmtId="0" fontId="10" fillId="23" borderId="81" xfId="0" applyNumberFormat="1" applyFont="1" applyFill="1" applyBorder="1" applyAlignment="1">
      <x:alignment wrapText="1"/>
    </x:xf>
    <x:xf numFmtId="0" fontId="10" fillId="23" borderId="74" xfId="0" applyNumberFormat="1" applyFont="1" applyFill="1" applyBorder="1" applyAlignment="1">
      <x:alignment horizontal="center" wrapText="1"/>
    </x:xf>
    <x:xf numFmtId="0" fontId="10" fillId="23" borderId="75" xfId="0" applyNumberFormat="1" applyFont="1" applyFill="1" applyBorder="1" applyAlignment="1">
      <x:alignment horizontal="center" wrapText="1"/>
    </x:xf>
    <x:xf numFmtId="0" fontId="10" fillId="23" borderId="76" xfId="0" applyNumberFormat="1" applyFont="1" applyFill="1" applyBorder="1" applyAlignment="1">
      <x:alignment horizontal="center" wrapText="1"/>
    </x:xf>
    <x:xf numFmtId="0" fontId="10" fillId="23" borderId="77" xfId="0" applyNumberFormat="1" applyFont="1" applyFill="1" applyBorder="1" applyAlignment="1">
      <x:alignment horizontal="center" wrapText="1"/>
    </x:xf>
    <x:xf numFmtId="0" fontId="10" fillId="23" xfId="0" applyNumberFormat="1" applyFont="1" applyFill="1" applyBorder="0" applyAlignment="1">
      <x:alignment horizontal="center" wrapText="1"/>
    </x:xf>
    <x:xf numFmtId="0" fontId="10" fillId="23" borderId="78" xfId="0" applyNumberFormat="1" applyFont="1" applyFill="1" applyBorder="1" applyAlignment="1">
      <x:alignment horizontal="center" wrapText="1"/>
    </x:xf>
    <x:xf numFmtId="0" fontId="10" fillId="23" borderId="79" xfId="0" applyNumberFormat="1" applyFont="1" applyFill="1" applyBorder="1" applyAlignment="1">
      <x:alignment horizontal="center" wrapText="1"/>
    </x:xf>
    <x:xf numFmtId="0" fontId="10" fillId="23" borderId="80" xfId="0" applyNumberFormat="1" applyFont="1" applyFill="1" applyBorder="1" applyAlignment="1">
      <x:alignment horizontal="center" wrapText="1"/>
    </x:xf>
    <x:xf numFmtId="0" fontId="10" fillId="23" borderId="81" xfId="0" applyNumberFormat="1" applyFont="1" applyFill="1" applyBorder="1" applyAlignment="1">
      <x:alignment horizontal="center" wrapText="1"/>
    </x:xf>
    <x:xf numFmtId="0" fontId="10" fillId="23" borderId="74" xfId="0" applyNumberFormat="1" applyFont="1" applyFill="1" applyBorder="1" applyAlignment="1">
      <x:alignment horizontal="center" vertical="center" wrapText="1"/>
    </x:xf>
    <x:xf numFmtId="0" fontId="10" fillId="23" borderId="75" xfId="0" applyNumberFormat="1" applyFont="1" applyFill="1" applyBorder="1" applyAlignment="1">
      <x:alignment horizontal="center" vertical="center" wrapText="1"/>
    </x:xf>
    <x:xf numFmtId="0" fontId="10" fillId="23" borderId="76" xfId="0" applyNumberFormat="1" applyFont="1" applyFill="1" applyBorder="1" applyAlignment="1">
      <x:alignment horizontal="center" vertical="center" wrapText="1"/>
    </x:xf>
    <x:xf numFmtId="0" fontId="10" fillId="23" borderId="77" xfId="0" applyNumberFormat="1" applyFont="1" applyFill="1" applyBorder="1" applyAlignment="1">
      <x:alignment horizontal="center" vertical="center" wrapText="1"/>
    </x:xf>
    <x:xf numFmtId="0" fontId="10" fillId="23" xfId="0" applyNumberFormat="1" applyFont="1" applyFill="1" applyBorder="0" applyAlignment="1">
      <x:alignment horizontal="center" vertical="center" wrapText="1"/>
    </x:xf>
    <x:xf numFmtId="0" fontId="10" fillId="23" borderId="78" xfId="0" applyNumberFormat="1" applyFont="1" applyFill="1" applyBorder="1" applyAlignment="1">
      <x:alignment horizontal="center" vertical="center" wrapText="1"/>
    </x:xf>
    <x:xf numFmtId="0" fontId="10" fillId="23" borderId="79" xfId="0" applyNumberFormat="1" applyFont="1" applyFill="1" applyBorder="1" applyAlignment="1">
      <x:alignment horizontal="center" vertical="center" wrapText="1"/>
    </x:xf>
    <x:xf numFmtId="0" fontId="10" fillId="23" borderId="80" xfId="0" applyNumberFormat="1" applyFont="1" applyFill="1" applyBorder="1" applyAlignment="1">
      <x:alignment horizontal="center" vertical="center" wrapText="1"/>
    </x:xf>
    <x:xf numFmtId="0" fontId="10" fillId="23" borderId="81" xfId="0" applyNumberFormat="1" applyFont="1" applyFill="1" applyBorder="1" applyAlignment="1">
      <x:alignment horizontal="center" vertical="center" wrapText="1"/>
    </x:xf>
    <x:xf numFmtId="0" fontId="0" fillId="27" borderId="0" xfId="0" applyNumberFormat="1" applyFont="1" applyFill="1" applyBorder="1"/>
    <x:xf numFmtId="0" fontId="10" fillId="27" borderId="0" xfId="0" applyNumberFormat="1" applyFont="1" applyFill="1" applyBorder="1"/>
    <x:xf numFmtId="0" fontId="10" fillId="27" borderId="0" xfId="0" applyNumberFormat="1" applyFont="1" applyFill="1" applyBorder="1" applyAlignment="1">
      <x:alignment wrapText="1"/>
    </x:xf>
    <x:xf numFmtId="0" fontId="10" fillId="27" borderId="0" xfId="0" applyNumberFormat="1" applyFont="1" applyFill="1" applyBorder="1" applyAlignment="1">
      <x:alignment horizontal="center" wrapText="1"/>
    </x:xf>
    <x:xf numFmtId="0" fontId="0" fillId="28" borderId="0" xfId="0" applyNumberFormat="1" applyFont="1" applyFill="1" applyBorder="1"/>
    <x:xf numFmtId="0" fontId="10" fillId="28" borderId="0" xfId="0" applyNumberFormat="1" applyFont="1" applyFill="1" applyBorder="1"/>
    <x:xf numFmtId="0" fontId="10" fillId="28" borderId="84" xfId="0" applyNumberFormat="1" applyFont="1" applyFill="1" applyBorder="1"/>
    <x:xf numFmtId="0" fontId="10" fillId="28" borderId="85" xfId="0" applyNumberFormat="1" applyFont="1" applyFill="1" applyBorder="1"/>
    <x:xf numFmtId="0" fontId="10" fillId="28" borderId="86" xfId="0" applyNumberFormat="1" applyFont="1" applyFill="1" applyBorder="1"/>
    <x:xf numFmtId="0" fontId="10" fillId="28" borderId="87" xfId="0" applyNumberFormat="1" applyFont="1" applyFill="1" applyBorder="1"/>
    <x:xf numFmtId="0" fontId="10" fillId="28" xfId="0" applyNumberFormat="1" applyFont="1" applyFill="1" applyBorder="0"/>
    <x:xf numFmtId="0" fontId="10" fillId="28" borderId="88" xfId="0" applyNumberFormat="1" applyFont="1" applyFill="1" applyBorder="1"/>
    <x:xf numFmtId="0" fontId="10" fillId="28" borderId="89" xfId="0" applyNumberFormat="1" applyFont="1" applyFill="1" applyBorder="1"/>
    <x:xf numFmtId="0" fontId="10" fillId="28" borderId="90" xfId="0" applyNumberFormat="1" applyFont="1" applyFill="1" applyBorder="1"/>
    <x:xf numFmtId="0" fontId="10" fillId="28" borderId="91" xfId="0" applyNumberFormat="1" applyFont="1" applyFill="1" applyBorder="1"/>
    <x:xf numFmtId="0" fontId="10" fillId="28" borderId="84" xfId="0" applyNumberFormat="1" applyFont="1" applyFill="1" applyBorder="1" applyAlignment="1">
      <x:alignment wrapText="1"/>
    </x:xf>
    <x:xf numFmtId="0" fontId="10" fillId="28" borderId="85" xfId="0" applyNumberFormat="1" applyFont="1" applyFill="1" applyBorder="1" applyAlignment="1">
      <x:alignment wrapText="1"/>
    </x:xf>
    <x:xf numFmtId="0" fontId="10" fillId="28" borderId="86" xfId="0" applyNumberFormat="1" applyFont="1" applyFill="1" applyBorder="1" applyAlignment="1">
      <x:alignment wrapText="1"/>
    </x:xf>
    <x:xf numFmtId="0" fontId="10" fillId="28" borderId="87" xfId="0" applyNumberFormat="1" applyFont="1" applyFill="1" applyBorder="1" applyAlignment="1">
      <x:alignment wrapText="1"/>
    </x:xf>
    <x:xf numFmtId="0" fontId="10" fillId="28" xfId="0" applyNumberFormat="1" applyFont="1" applyFill="1" applyBorder="0" applyAlignment="1">
      <x:alignment wrapText="1"/>
    </x:xf>
    <x:xf numFmtId="0" fontId="10" fillId="28" borderId="88" xfId="0" applyNumberFormat="1" applyFont="1" applyFill="1" applyBorder="1" applyAlignment="1">
      <x:alignment wrapText="1"/>
    </x:xf>
    <x:xf numFmtId="0" fontId="10" fillId="28" borderId="89" xfId="0" applyNumberFormat="1" applyFont="1" applyFill="1" applyBorder="1" applyAlignment="1">
      <x:alignment wrapText="1"/>
    </x:xf>
    <x:xf numFmtId="0" fontId="10" fillId="28" borderId="90" xfId="0" applyNumberFormat="1" applyFont="1" applyFill="1" applyBorder="1" applyAlignment="1">
      <x:alignment wrapText="1"/>
    </x:xf>
    <x:xf numFmtId="0" fontId="10" fillId="28" borderId="91" xfId="0" applyNumberFormat="1" applyFont="1" applyFill="1" applyBorder="1" applyAlignment="1">
      <x:alignment wrapText="1"/>
    </x:xf>
    <x:xf numFmtId="0" fontId="10" fillId="28" borderId="84" xfId="0" applyNumberFormat="1" applyFont="1" applyFill="1" applyBorder="1" applyAlignment="1">
      <x:alignment horizontal="center" wrapText="1"/>
    </x:xf>
    <x:xf numFmtId="0" fontId="10" fillId="28" borderId="85" xfId="0" applyNumberFormat="1" applyFont="1" applyFill="1" applyBorder="1" applyAlignment="1">
      <x:alignment horizontal="center" wrapText="1"/>
    </x:xf>
    <x:xf numFmtId="0" fontId="10" fillId="28" borderId="86" xfId="0" applyNumberFormat="1" applyFont="1" applyFill="1" applyBorder="1" applyAlignment="1">
      <x:alignment horizontal="center" wrapText="1"/>
    </x:xf>
    <x:xf numFmtId="0" fontId="10" fillId="28" borderId="87" xfId="0" applyNumberFormat="1" applyFont="1" applyFill="1" applyBorder="1" applyAlignment="1">
      <x:alignment horizontal="center" wrapText="1"/>
    </x:xf>
    <x:xf numFmtId="0" fontId="10" fillId="28" xfId="0" applyNumberFormat="1" applyFont="1" applyFill="1" applyBorder="0" applyAlignment="1">
      <x:alignment horizontal="center" wrapText="1"/>
    </x:xf>
    <x:xf numFmtId="0" fontId="10" fillId="28" borderId="88" xfId="0" applyNumberFormat="1" applyFont="1" applyFill="1" applyBorder="1" applyAlignment="1">
      <x:alignment horizontal="center" wrapText="1"/>
    </x:xf>
    <x:xf numFmtId="0" fontId="10" fillId="28" borderId="89" xfId="0" applyNumberFormat="1" applyFont="1" applyFill="1" applyBorder="1" applyAlignment="1">
      <x:alignment horizontal="center" wrapText="1"/>
    </x:xf>
    <x:xf numFmtId="0" fontId="10" fillId="28" borderId="90" xfId="0" applyNumberFormat="1" applyFont="1" applyFill="1" applyBorder="1" applyAlignment="1">
      <x:alignment horizontal="center" wrapText="1"/>
    </x:xf>
    <x:xf numFmtId="0" fontId="10" fillId="28" borderId="91" xfId="0" applyNumberFormat="1" applyFont="1" applyFill="1" applyBorder="1" applyAlignment="1">
      <x:alignment horizontal="center" wrapText="1"/>
    </x:xf>
    <x:xf numFmtId="0" fontId="10" fillId="28" borderId="84" xfId="0" applyNumberFormat="1" applyFont="1" applyFill="1" applyBorder="1" applyAlignment="1">
      <x:alignment horizontal="center" vertical="center" wrapText="1"/>
    </x:xf>
    <x:xf numFmtId="0" fontId="10" fillId="28" borderId="85" xfId="0" applyNumberFormat="1" applyFont="1" applyFill="1" applyBorder="1" applyAlignment="1">
      <x:alignment horizontal="center" vertical="center" wrapText="1"/>
    </x:xf>
    <x:xf numFmtId="0" fontId="10" fillId="28" borderId="86" xfId="0" applyNumberFormat="1" applyFont="1" applyFill="1" applyBorder="1" applyAlignment="1">
      <x:alignment horizontal="center" vertical="center" wrapText="1"/>
    </x:xf>
    <x:xf numFmtId="0" fontId="10" fillId="28" borderId="87" xfId="0" applyNumberFormat="1" applyFont="1" applyFill="1" applyBorder="1" applyAlignment="1">
      <x:alignment horizontal="center" vertical="center" wrapText="1"/>
    </x:xf>
    <x:xf numFmtId="0" fontId="10" fillId="28" xfId="0" applyNumberFormat="1" applyFont="1" applyFill="1" applyBorder="0" applyAlignment="1">
      <x:alignment horizontal="center" vertical="center" wrapText="1"/>
    </x:xf>
    <x:xf numFmtId="0" fontId="10" fillId="28" borderId="88" xfId="0" applyNumberFormat="1" applyFont="1" applyFill="1" applyBorder="1" applyAlignment="1">
      <x:alignment horizontal="center" vertical="center" wrapText="1"/>
    </x:xf>
    <x:xf numFmtId="0" fontId="10" fillId="28" borderId="89" xfId="0" applyNumberFormat="1" applyFont="1" applyFill="1" applyBorder="1" applyAlignment="1">
      <x:alignment horizontal="center" vertical="center" wrapText="1"/>
    </x:xf>
    <x:xf numFmtId="0" fontId="10" fillId="28" borderId="90" xfId="0" applyNumberFormat="1" applyFont="1" applyFill="1" applyBorder="1" applyAlignment="1">
      <x:alignment horizontal="center" vertical="center" wrapText="1"/>
    </x:xf>
    <x:xf numFmtId="0" fontId="10" fillId="28" borderId="91" xfId="0" applyNumberFormat="1" applyFont="1" applyFill="1" applyBorder="1" applyAlignment="1">
      <x:alignment horizontal="center" vertical="center" wrapText="1"/>
    </x:xf>
    <x:xf numFmtId="0" fontId="0" fillId="29" borderId="0" xfId="0" applyNumberFormat="1" applyFont="1" applyFill="1" applyBorder="1"/>
    <x:xf numFmtId="0" fontId="10" fillId="29" borderId="0" xfId="0" applyNumberFormat="1" applyFont="1" applyFill="1" applyBorder="1"/>
    <x:xf numFmtId="0" fontId="10" fillId="29" borderId="92" xfId="0" applyNumberFormat="1" applyFont="1" applyFill="1" applyBorder="1"/>
    <x:xf numFmtId="0" fontId="10" fillId="29" borderId="93" xfId="0" applyNumberFormat="1" applyFont="1" applyFill="1" applyBorder="1"/>
    <x:xf numFmtId="0" fontId="10" fillId="29" borderId="94" xfId="0" applyNumberFormat="1" applyFont="1" applyFill="1" applyBorder="1"/>
    <x:xf numFmtId="0" fontId="10" fillId="29" borderId="95" xfId="0" applyNumberFormat="1" applyFont="1" applyFill="1" applyBorder="1"/>
    <x:xf numFmtId="0" fontId="10" fillId="29" xfId="0" applyNumberFormat="1" applyFont="1" applyFill="1" applyBorder="0"/>
    <x:xf numFmtId="0" fontId="10" fillId="29" borderId="96" xfId="0" applyNumberFormat="1" applyFont="1" applyFill="1" applyBorder="1"/>
    <x:xf numFmtId="0" fontId="10" fillId="29" borderId="97" xfId="0" applyNumberFormat="1" applyFont="1" applyFill="1" applyBorder="1"/>
    <x:xf numFmtId="0" fontId="10" fillId="29" borderId="98" xfId="0" applyNumberFormat="1" applyFont="1" applyFill="1" applyBorder="1"/>
    <x:xf numFmtId="0" fontId="10" fillId="29" borderId="99" xfId="0" applyNumberFormat="1" applyFont="1" applyFill="1" applyBorder="1"/>
    <x:xf numFmtId="0" fontId="10" fillId="29" borderId="92" xfId="0" applyNumberFormat="1" applyFont="1" applyFill="1" applyBorder="1" applyAlignment="1">
      <x:alignment wrapText="1"/>
    </x:xf>
    <x:xf numFmtId="0" fontId="10" fillId="29" borderId="93" xfId="0" applyNumberFormat="1" applyFont="1" applyFill="1" applyBorder="1" applyAlignment="1">
      <x:alignment wrapText="1"/>
    </x:xf>
    <x:xf numFmtId="0" fontId="10" fillId="29" borderId="94" xfId="0" applyNumberFormat="1" applyFont="1" applyFill="1" applyBorder="1" applyAlignment="1">
      <x:alignment wrapText="1"/>
    </x:xf>
    <x:xf numFmtId="0" fontId="10" fillId="29" borderId="95" xfId="0" applyNumberFormat="1" applyFont="1" applyFill="1" applyBorder="1" applyAlignment="1">
      <x:alignment wrapText="1"/>
    </x:xf>
    <x:xf numFmtId="0" fontId="10" fillId="29" xfId="0" applyNumberFormat="1" applyFont="1" applyFill="1" applyBorder="0" applyAlignment="1">
      <x:alignment wrapText="1"/>
    </x:xf>
    <x:xf numFmtId="0" fontId="10" fillId="29" borderId="96" xfId="0" applyNumberFormat="1" applyFont="1" applyFill="1" applyBorder="1" applyAlignment="1">
      <x:alignment wrapText="1"/>
    </x:xf>
    <x:xf numFmtId="0" fontId="10" fillId="29" borderId="97" xfId="0" applyNumberFormat="1" applyFont="1" applyFill="1" applyBorder="1" applyAlignment="1">
      <x:alignment wrapText="1"/>
    </x:xf>
    <x:xf numFmtId="0" fontId="10" fillId="29" borderId="98" xfId="0" applyNumberFormat="1" applyFont="1" applyFill="1" applyBorder="1" applyAlignment="1">
      <x:alignment wrapText="1"/>
    </x:xf>
    <x:xf numFmtId="0" fontId="10" fillId="29" borderId="99" xfId="0" applyNumberFormat="1" applyFont="1" applyFill="1" applyBorder="1" applyAlignment="1">
      <x:alignment wrapText="1"/>
    </x:xf>
    <x:xf numFmtId="0" fontId="10" fillId="29" borderId="92" xfId="0" applyNumberFormat="1" applyFont="1" applyFill="1" applyBorder="1" applyAlignment="1">
      <x:alignment horizontal="center" wrapText="1"/>
    </x:xf>
    <x:xf numFmtId="0" fontId="10" fillId="29" borderId="93" xfId="0" applyNumberFormat="1" applyFont="1" applyFill="1" applyBorder="1" applyAlignment="1">
      <x:alignment horizontal="center" wrapText="1"/>
    </x:xf>
    <x:xf numFmtId="0" fontId="10" fillId="29" borderId="94" xfId="0" applyNumberFormat="1" applyFont="1" applyFill="1" applyBorder="1" applyAlignment="1">
      <x:alignment horizontal="center" wrapText="1"/>
    </x:xf>
    <x:xf numFmtId="0" fontId="10" fillId="29" borderId="95" xfId="0" applyNumberFormat="1" applyFont="1" applyFill="1" applyBorder="1" applyAlignment="1">
      <x:alignment horizontal="center" wrapText="1"/>
    </x:xf>
    <x:xf numFmtId="0" fontId="10" fillId="29" xfId="0" applyNumberFormat="1" applyFont="1" applyFill="1" applyBorder="0" applyAlignment="1">
      <x:alignment horizontal="center" wrapText="1"/>
    </x:xf>
    <x:xf numFmtId="0" fontId="10" fillId="29" borderId="96" xfId="0" applyNumberFormat="1" applyFont="1" applyFill="1" applyBorder="1" applyAlignment="1">
      <x:alignment horizontal="center" wrapText="1"/>
    </x:xf>
    <x:xf numFmtId="0" fontId="10" fillId="29" borderId="97" xfId="0" applyNumberFormat="1" applyFont="1" applyFill="1" applyBorder="1" applyAlignment="1">
      <x:alignment horizontal="center" wrapText="1"/>
    </x:xf>
    <x:xf numFmtId="0" fontId="10" fillId="29" borderId="98" xfId="0" applyNumberFormat="1" applyFont="1" applyFill="1" applyBorder="1" applyAlignment="1">
      <x:alignment horizontal="center" wrapText="1"/>
    </x:xf>
    <x:xf numFmtId="0" fontId="10" fillId="29" borderId="99" xfId="0" applyNumberFormat="1" applyFont="1" applyFill="1" applyBorder="1" applyAlignment="1">
      <x:alignment horizontal="center" wrapText="1"/>
    </x:xf>
    <x:xf numFmtId="0" fontId="10" fillId="29" borderId="92" xfId="0" applyNumberFormat="1" applyFont="1" applyFill="1" applyBorder="1" applyAlignment="1">
      <x:alignment horizontal="center" vertical="center" wrapText="1"/>
    </x:xf>
    <x:xf numFmtId="0" fontId="10" fillId="29" borderId="93" xfId="0" applyNumberFormat="1" applyFont="1" applyFill="1" applyBorder="1" applyAlignment="1">
      <x:alignment horizontal="center" vertical="center" wrapText="1"/>
    </x:xf>
    <x:xf numFmtId="0" fontId="10" fillId="29" borderId="94" xfId="0" applyNumberFormat="1" applyFont="1" applyFill="1" applyBorder="1" applyAlignment="1">
      <x:alignment horizontal="center" vertical="center" wrapText="1"/>
    </x:xf>
    <x:xf numFmtId="0" fontId="10" fillId="29" borderId="95" xfId="0" applyNumberFormat="1" applyFont="1" applyFill="1" applyBorder="1" applyAlignment="1">
      <x:alignment horizontal="center" vertical="center" wrapText="1"/>
    </x:xf>
    <x:xf numFmtId="0" fontId="10" fillId="29" xfId="0" applyNumberFormat="1" applyFont="1" applyFill="1" applyBorder="0" applyAlignment="1">
      <x:alignment horizontal="center" vertical="center" wrapText="1"/>
    </x:xf>
    <x:xf numFmtId="0" fontId="10" fillId="29" borderId="96" xfId="0" applyNumberFormat="1" applyFont="1" applyFill="1" applyBorder="1" applyAlignment="1">
      <x:alignment horizontal="center" vertical="center" wrapText="1"/>
    </x:xf>
    <x:xf numFmtId="0" fontId="10" fillId="29" borderId="97" xfId="0" applyNumberFormat="1" applyFont="1" applyFill="1" applyBorder="1" applyAlignment="1">
      <x:alignment horizontal="center" vertical="center" wrapText="1"/>
    </x:xf>
    <x:xf numFmtId="0" fontId="10" fillId="29" borderId="98" xfId="0" applyNumberFormat="1" applyFont="1" applyFill="1" applyBorder="1" applyAlignment="1">
      <x:alignment horizontal="center" vertical="center" wrapText="1"/>
    </x:xf>
    <x:xf numFmtId="0" fontId="10" fillId="29" borderId="99" xfId="0" applyNumberFormat="1" applyFont="1" applyFill="1" applyBorder="1" applyAlignment="1">
      <x:alignment horizontal="center" vertical="center" wrapText="1"/>
    </x:xf>
    <x:xf numFmtId="0" fontId="10" fillId="26" borderId="100" xfId="0" applyNumberFormat="1" applyFont="1" applyFill="1" applyBorder="1" applyAlignment="1">
      <x:alignment wrapText="1"/>
    </x:xf>
    <x:xf numFmtId="0" fontId="18" fillId="0" borderId="100" xfId="0" applyNumberFormat="1" applyFont="1" applyFill="1" applyBorder="1" applyAlignment="1">
      <x:alignment vertical="top" wrapText="1"/>
    </x:xf>
    <x:xf numFmtId="0" fontId="10" fillId="26" borderId="100" xfId="0" applyNumberFormat="1" applyFont="1" applyFill="1" applyBorder="1"/>
    <x:xf numFmtId="0" fontId="1" fillId="21" borderId="0" xfId="0" applyNumberFormat="1" applyFont="1" applyFill="1" applyBorder="1" applyAlignment="1">
      <x:alignment vertical="center" wrapText="1"/>
    </x:xf>
    <x:xf numFmtId="0" fontId="4" fillId="21" borderId="0" xfId="0" applyNumberFormat="1" applyFont="1" applyFill="1" applyBorder="1" applyAlignment="1">
      <x:alignment vertical="center" wrapText="1"/>
    </x:xf>
    <x:xf numFmtId="0" fontId="14" fillId="0" borderId="0" xfId="0" applyNumberFormat="1" applyFont="1" applyFill="1" applyBorder="1" applyAlignment="1">
      <x:alignment horizontal="center" vertical="center" wrapText="1"/>
    </x:xf>
    <x:xf numFmtId="0" fontId="1" fillId="8" borderId="0" xfId="0" applyNumberFormat="1" applyFont="1" applyFill="1" applyBorder="1"/>
    <x:xf numFmtId="0" fontId="1" fillId="8" borderId="0" xfId="0" applyNumberFormat="1" applyFont="1" applyFill="1" applyBorder="1" applyAlignment="1">
      <x:alignment vertical="center"/>
    </x:xf>
    <x:xf numFmtId="0" fontId="4" fillId="8" borderId="0" xfId="0" applyNumberFormat="1" applyFont="1" applyFill="1" applyBorder="1" applyAlignment="1">
      <x:alignment vertical="center"/>
    </x:xf>
    <x:xf numFmtId="0" fontId="17" fillId="23" borderId="0" xfId="0" applyNumberFormat="1" applyFont="1" applyFill="1" applyBorder="1" applyAlignment="1">
      <x:alignment wrapText="1"/>
    </x:xf>
    <x:xf numFmtId="0" fontId="17" fillId="23" borderId="0" xfId="0" applyNumberFormat="1" applyFont="1" applyFill="1" applyBorder="1" applyAlignment="1">
      <x:alignment horizontal="center" wrapText="1"/>
    </x:xf>
    <x:xf numFmtId="0" fontId="17" fillId="23" borderId="0" xfId="0" applyNumberFormat="1" applyFont="1" applyFill="1" applyBorder="1" applyAlignment="1">
      <x:alignment horizontal="center" vertical="center" wrapText="1"/>
    </x:xf>
    <x:xf numFmtId="0" fontId="17" fillId="6" borderId="0" xfId="0" applyNumberFormat="1" applyFont="1" applyFill="1" applyBorder="1"/>
    <x:xf numFmtId="0" fontId="17" fillId="6" borderId="0" xfId="0" applyNumberFormat="1" applyFont="1" applyFill="1" applyBorder="1" applyAlignment="1">
      <x:alignment wrapText="1"/>
    </x:xf>
    <x:xf numFmtId="0" fontId="17" fillId="6" borderId="0" xfId="0" applyNumberFormat="1" applyFont="1" applyFill="1" applyBorder="1" applyAlignment="1">
      <x:alignment horizontal="center" wrapText="1"/>
    </x:xf>
    <x:xf numFmtId="0" fontId="17" fillId="6" borderId="0" xfId="0" applyNumberFormat="1" applyFont="1" applyFill="1" applyBorder="1" applyAlignment="1">
      <x:alignment horizontal="center" vertical="center" wrapText="1"/>
    </x:xf>
    <x:xf numFmtId="0" fontId="17" fillId="25" borderId="0" xfId="0" applyNumberFormat="1" applyFont="1" applyFill="1" applyBorder="1" applyAlignment="1">
      <x:alignment wrapText="1"/>
    </x:xf>
    <x:xf numFmtId="0" fontId="17" fillId="25" borderId="0" xfId="0" applyNumberFormat="1" applyFont="1" applyFill="1" applyBorder="1" applyAlignment="1">
      <x:alignment horizontal="center" wrapText="1"/>
    </x:xf>
    <x:xf numFmtId="0" fontId="17" fillId="25" borderId="0" xfId="0" applyNumberFormat="1" applyFont="1" applyFill="1" applyBorder="1" applyAlignment="1">
      <x:alignment horizontal="center" vertical="center" wrapText="1"/>
    </x:xf>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horizontal="center" wrapText="1"/>
    </x:xf>
    <x:xf numFmtId="0" fontId="10" fillId="6" borderId="0" xfId="0" applyNumberFormat="1" applyFont="1" applyFill="1" applyBorder="1" applyAlignment="1">
      <x:alignment horizontal="center" vertical="center" wrapText="1"/>
    </x:xf>
    <x:xf numFmtId="0" fontId="10" fillId="6" xfId="0" applyNumberFormat="1" applyFont="1" applyFill="1" applyBorder="0"/>
    <x:xf numFmtId="0" fontId="10" fillId="6" xfId="0" applyNumberFormat="1" applyFont="1" applyFill="1" applyBorder="0" applyAlignment="1">
      <x:alignment wrapText="1"/>
    </x:xf>
    <x:xf numFmtId="0" fontId="10" fillId="6" xfId="0" applyNumberFormat="1" applyFont="1" applyFill="1" applyBorder="0" applyAlignment="1">
      <x:alignment horizontal="center" wrapText="1"/>
    </x:xf>
    <x:xf numFmtId="0" fontId="10" fillId="6" xfId="0" applyNumberFormat="1" applyFont="1" applyFill="1" applyBorder="0" applyAlignment="1">
      <x:alignment horizontal="center" vertical="center" wrapText="1"/>
    </x:xf>
    <x:xf numFmtId="0" fontId="10" fillId="25" borderId="0" xfId="0" applyNumberFormat="1" applyFont="1" applyFill="1" applyBorder="1" applyAlignment="1">
      <x:alignment wrapText="1"/>
    </x:xf>
    <x:xf numFmtId="0" fontId="10" fillId="25" borderId="0" xfId="0" applyNumberFormat="1" applyFont="1" applyFill="1" applyBorder="1" applyAlignment="1">
      <x:alignment horizontal="center" wrapText="1"/>
    </x:xf>
    <x:xf numFmtId="0" fontId="10" fillId="25" borderId="0" xfId="0" applyNumberFormat="1" applyFont="1" applyFill="1" applyBorder="1" applyAlignment="1">
      <x:alignment horizontal="center" vertical="center" wrapText="1"/>
    </x:xf>
    <x:xf numFmtId="0" fontId="10" fillId="23" borderId="0" xfId="0" applyNumberFormat="1" applyFont="1" applyFill="1" applyBorder="1" applyAlignment="1">
      <x:alignment wrapText="1"/>
    </x:xf>
    <x:xf numFmtId="0" fontId="10" fillId="23" borderId="0" xfId="0" applyNumberFormat="1" applyFont="1" applyFill="1" applyBorder="1" applyAlignment="1">
      <x:alignment horizontal="center" wrapText="1"/>
    </x:xf>
    <x:xf numFmtId="0" fontId="10" fillId="23" borderId="0" xfId="0" applyNumberFormat="1" applyFont="1" applyFill="1" applyBorder="1" applyAlignment="1">
      <x:alignment horizontal="center" vertical="center" wrapText="1"/>
    </x:xf>
    <x:xf numFmtId="0" fontId="10" fillId="28" borderId="0" xfId="0" applyNumberFormat="1" applyFont="1" applyFill="1" applyBorder="1" applyAlignment="1">
      <x:alignment wrapText="1"/>
    </x:xf>
    <x:xf numFmtId="0" fontId="10" fillId="28" borderId="0" xfId="0" applyNumberFormat="1" applyFont="1" applyFill="1" applyBorder="1" applyAlignment="1">
      <x:alignment horizontal="center" wrapText="1"/>
    </x:xf>
    <x:xf numFmtId="0" fontId="10" fillId="28" borderId="0" xfId="0" applyNumberFormat="1" applyFont="1" applyFill="1" applyBorder="1" applyAlignment="1">
      <x:alignment horizontal="center" vertical="center" wrapText="1"/>
    </x:xf>
    <x:xf numFmtId="0" fontId="10" fillId="29" borderId="0" xfId="0" applyNumberFormat="1" applyFont="1" applyFill="1" applyBorder="1" applyAlignment="1">
      <x:alignment wrapText="1"/>
    </x:xf>
    <x:xf numFmtId="0" fontId="10" fillId="29" borderId="0" xfId="0" applyNumberFormat="1" applyFont="1" applyFill="1" applyBorder="1" applyAlignment="1">
      <x:alignment horizontal="center" wrapText="1"/>
    </x:xf>
    <x:xf numFmtId="0" fontId="10" fillId="29" borderId="0" xfId="0" applyNumberFormat="1" applyFont="1" applyFill="1" applyBorder="1" applyAlignment="1">
      <x:alignment horizontal="center" vertical="center" wrapText="1"/>
    </x:xf>
    <x:xf numFmtId="0" fontId="1" fillId="8"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0" fillId="30" borderId="0" xfId="0" applyNumberFormat="1" applyFont="1" applyFill="1" applyBorder="1"/>
    <x:xf numFmtId="0" fontId="6" fillId="30" borderId="0" xfId="0" applyNumberFormat="1" applyFont="1" applyFill="1" applyBorder="1"/>
    <x:xf numFmtId="0" fontId="6" fillId="30" borderId="0" xfId="0" applyNumberFormat="1" applyFont="1" applyFill="1" applyBorder="1" applyAlignment="1">
      <x:alignment wrapText="1"/>
    </x:xf>
    <x:xf numFmtId="0" fontId="0" fillId="31" borderId="0" xfId="0" applyNumberFormat="1" applyFont="1" applyFill="1" applyBorder="1"/>
    <x:xf numFmtId="0" fontId="19" fillId="31" borderId="0" xfId="0" applyNumberFormat="1" applyFont="1" applyFill="1" applyBorder="1"/>
    <x:xf numFmtId="0" fontId="19" fillId="31" borderId="0" xfId="0" applyNumberFormat="1" applyFont="1" applyFill="1" applyBorder="1" applyAlignment="1">
      <x:alignment vertical="center"/>
    </x:xf>
    <x:xf numFmtId="0" fontId="20" fillId="30" borderId="0" xfId="0" applyNumberFormat="1" applyFont="1" applyFill="1" applyBorder="1"/>
    <x:xf numFmtId="0" fontId="20" fillId="30" borderId="0" xfId="0" applyNumberFormat="1" applyFont="1" applyFill="1" applyBorder="1" applyAlignment="1">
      <x:alignment wrapText="1"/>
    </x:xf>
    <x:xf numFmtId="0" fontId="21" fillId="31" borderId="0" xfId="0" applyNumberFormat="1" applyFont="1" applyFill="1" applyBorder="1"/>
    <x:xf numFmtId="0" fontId="21" fillId="31" borderId="0" xfId="0" applyNumberFormat="1" applyFont="1" applyFill="1" applyBorder="1" applyAlignment="1">
      <x:alignment vertical="center"/>
    </x:xf>
    <x:xf numFmtId="0" fontId="10" fillId="30" borderId="0" xfId="0" applyNumberFormat="1" applyFont="1" applyFill="1" applyBorder="1"/>
    <x:xf numFmtId="0" fontId="10" fillId="30" borderId="0" xfId="0" applyNumberFormat="1" applyFont="1" applyFill="1" applyBorder="1" applyAlignment="1">
      <x:alignment horizontal="center"/>
    </x:xf>
    <x:xf numFmtId="0" fontId="10" fillId="30" borderId="0" xfId="0" applyNumberFormat="1" applyFont="1" applyFill="1" applyBorder="1" applyAlignment="1">
      <x:alignment horizontal="center" vertical="center"/>
    </x:xf>
    <x:xf numFmtId="0" fontId="10" fillId="30" borderId="0" xfId="0" applyNumberFormat="1" applyFont="1" applyFill="1" applyBorder="1" applyAlignment="1">
      <x:alignment horizontal="center" vertical="center" wrapText="1"/>
    </x:xf>
    <x:xf numFmtId="0" fontId="0" fillId="32" borderId="0" xfId="0" applyNumberFormat="1" applyFont="1" applyFill="1" applyBorder="1"/>
    <x:xf numFmtId="0" fontId="10" fillId="32" borderId="0" xfId="0" applyNumberFormat="1" applyFont="1" applyFill="1" applyBorder="1"/>
    <x:xf numFmtId="0" fontId="10" fillId="32" borderId="0" xfId="0" applyNumberFormat="1" applyFont="1" applyFill="1" applyBorder="1" applyAlignment="1">
      <x:alignment horizontal="center"/>
    </x:xf>
    <x:xf numFmtId="0" fontId="10" fillId="32" borderId="0" xfId="0" applyNumberFormat="1" applyFont="1" applyFill="1" applyBorder="1" applyAlignment="1">
      <x:alignment horizontal="center" vertical="center"/>
    </x:xf>
    <x:xf numFmtId="0" fontId="10" fillId="32" borderId="0" xfId="0" applyNumberFormat="1" applyFont="1" applyFill="1" applyBorder="1" applyAlignment="1">
      <x:alignment horizontal="center" vertical="center" wrapText="1"/>
    </x:xf>
    <x:xf numFmtId="0" fontId="22" fillId="0" borderId="0" xfId="0" applyNumberFormat="1" applyFont="1" applyFill="1" applyBorder="1"/>
    <x:xf numFmtId="0" fontId="22" fillId="30" borderId="0" xfId="0" applyNumberFormat="1" applyFont="1" applyFill="1" applyBorder="1" applyAlignment="1">
      <x:alignment horizontal="center" vertical="center" wrapText="1"/>
    </x:xf>
    <x:xf numFmtId="0" fontId="22" fillId="32" borderId="0" xfId="0" applyNumberFormat="1" applyFont="1" applyFill="1" applyBorder="1" applyAlignment="1">
      <x:alignment horizontal="center" vertical="center" wrapText="1"/>
    </x:xf>
    <x:xf numFmtId="0" fontId="22" fillId="0" borderId="0" xfId="0" applyNumberFormat="1" applyFont="1" applyFill="1" applyBorder="1" applyAlignment="1">
      <x:alignment horizontal="center"/>
    </x:xf>
    <x:xf numFmtId="0" fontId="0" fillId="33" borderId="0" xfId="0" applyNumberFormat="1" applyFont="1" applyFill="1" applyBorder="1"/>
    <x:xf numFmtId="0" fontId="9" fillId="33" borderId="0" xfId="0" applyNumberFormat="1" applyFont="1" applyFill="1" applyBorder="1"/>
    <x:xf numFmtId="0" fontId="9" fillId="33" borderId="0" xfId="0" applyNumberFormat="1" applyFont="1" applyFill="1" applyBorder="1" applyAlignment="1">
      <x:alignment vertical="top"/>
    </x:xf>
    <x:xf numFmtId="0" fontId="9" fillId="33" borderId="0" xfId="0" applyNumberFormat="1" applyFont="1" applyFill="1" applyBorder="1" applyAlignment="1">
      <x:alignment vertical="top" wrapText="1"/>
    </x:xf>
    <x:xf numFmtId="0" fontId="23" fillId="30" borderId="0" xfId="0" applyNumberFormat="1" applyFont="1" applyFill="1" applyBorder="1"/>
    <x:xf numFmtId="0" fontId="23" fillId="30" borderId="0" xfId="0" applyNumberFormat="1" applyFont="1" applyFill="1" applyBorder="1" applyAlignment="1">
      <x:alignment wrapText="1"/>
    </x:xf>
    <x:xf numFmtId="0" fontId="24" fillId="32" borderId="0" xfId="0" applyNumberFormat="1" applyFont="1" applyFill="1" applyBorder="1"/>
    <x:xf numFmtId="0" fontId="24" fillId="32" borderId="0" xfId="0" applyNumberFormat="1" applyFont="1" applyFill="1" applyBorder="1" applyAlignment="1">
      <x:alignment horizontal="center"/>
    </x:xf>
    <x:xf numFmtId="0" fontId="24" fillId="32" borderId="0" xfId="0" applyNumberFormat="1" applyFont="1" applyFill="1" applyBorder="1" applyAlignment="1">
      <x:alignment horizontal="center" vertical="center"/>
    </x:xf>
    <x:xf numFmtId="0" fontId="24" fillId="32" borderId="0" xfId="0" applyNumberFormat="1" applyFont="1" applyFill="1" applyBorder="1" applyAlignment="1">
      <x:alignment horizontal="center" vertical="center" wrapText="1"/>
    </x:xf>
    <x:xf numFmtId="0" fontId="9" fillId="30" borderId="0" xfId="0" applyNumberFormat="1" applyFont="1" applyFill="1" applyBorder="1"/>
    <x:xf numFmtId="0" fontId="9" fillId="30" borderId="0" xfId="0" applyNumberFormat="1" applyFont="1" applyFill="1" applyBorder="1" applyAlignment="1">
      <x:alignment vertical="center"/>
    </x:xf>
    <x:xf numFmtId="0" fontId="9" fillId="30" borderId="0" xfId="0" applyNumberFormat="1" applyFont="1" applyFill="1" applyBorder="1" applyAlignment="1">
      <x:alignment vertical="center" wrapText="1"/>
    </x:xf>
    <x:xf numFmtId="0" fontId="9" fillId="33" borderId="0" xfId="0" applyNumberFormat="1" applyFont="1" applyFill="1" applyBorder="1" applyAlignment="1">
      <x:alignment vertical="center"/>
    </x:xf>
    <x:xf numFmtId="0" fontId="9" fillId="33" borderId="0" xfId="0" applyNumberFormat="1" applyFont="1" applyFill="1" applyBorder="1" applyAlignment="1">
      <x:alignment vertical="center" wrapText="1"/>
    </x:xf>
    <x:xf numFmtId="0" fontId="0" fillId="34" borderId="0" xfId="0" applyNumberFormat="1" applyFont="1" applyFill="1" applyBorder="1"/>
    <x:xf numFmtId="0" fontId="24" fillId="34" borderId="0" xfId="0" applyNumberFormat="1" applyFont="1" applyFill="1" applyBorder="1"/>
    <x:xf numFmtId="0" fontId="24" fillId="34" borderId="0" xfId="0" applyNumberFormat="1" applyFont="1" applyFill="1" applyBorder="1" applyAlignment="1">
      <x:alignment horizontal="center"/>
    </x:xf>
    <x:xf numFmtId="0" fontId="9" fillId="34" borderId="0" xfId="0" applyNumberFormat="1" applyFont="1" applyFill="1" applyBorder="1"/>
    <x:xf numFmtId="0" fontId="9" fillId="34" borderId="0" xfId="0" applyNumberFormat="1" applyFont="1" applyFill="1" applyBorder="1" applyAlignment="1">
      <x:alignment vertical="top"/>
    </x:xf>
    <x:xf numFmtId="0" fontId="9" fillId="34" borderId="0" xfId="0" applyNumberFormat="1" applyFont="1" applyFill="1" applyBorder="1" applyAlignment="1">
      <x:alignment vertical="top" wrapText="1"/>
    </x:xf>
    <x:xf numFmtId="0" fontId="0" fillId="35" borderId="0" xfId="0" applyNumberFormat="1" applyFont="1" applyFill="1" applyBorder="1"/>
    <x:xf numFmtId="0" fontId="9" fillId="35" borderId="0" xfId="0" applyNumberFormat="1" applyFont="1" applyFill="1" applyBorder="1"/>
    <x:xf numFmtId="0" fontId="9" fillId="35" borderId="0" xfId="0" applyNumberFormat="1" applyFont="1" applyFill="1" applyBorder="1" applyAlignment="1">
      <x:alignment vertical="top"/>
    </x:xf>
    <x:xf numFmtId="0" fontId="9" fillId="35" borderId="0" xfId="0" applyNumberFormat="1" applyFont="1" applyFill="1" applyBorder="1" applyAlignment="1">
      <x:alignment vertical="top" wrapText="1"/>
    </x:xf>
    <x:xf numFmtId="0" fontId="19" fillId="31" borderId="0" xfId="0" applyNumberFormat="1" applyFont="1" applyFill="1" applyBorder="1" applyAlignment="1">
      <x:alignment vertical="top"/>
    </x:xf>
    <x:xf numFmtId="0" fontId="20" fillId="30" borderId="0" xfId="0" applyNumberFormat="1" applyFont="1" applyFill="1" applyBorder="1" applyAlignment="1">
      <x:alignment vertical="top" wrapText="1"/>
    </x:xf>
    <x:xf numFmtId="0" fontId="21" fillId="31" borderId="0" xfId="0" applyNumberFormat="1" applyFont="1" applyFill="1" applyBorder="1" applyAlignment="1">
      <x:alignment vertical="top"/>
    </x:xf>
    <x:xf numFmtId="0" fontId="10" fillId="30" borderId="0" xfId="0" applyNumberFormat="1" applyFont="1" applyFill="1" applyBorder="1" applyAlignment="1">
      <x:alignment horizontal="center" vertical="top" wrapText="1"/>
    </x:xf>
    <x:xf numFmtId="0" fontId="10" fillId="32" borderId="0" xfId="0" applyNumberFormat="1" applyFont="1" applyFill="1" applyBorder="1" applyAlignment="1">
      <x:alignment horizontal="center" vertical="top" wrapText="1"/>
    </x:xf>
    <x:xf numFmtId="0" fontId="22" fillId="0" borderId="0" xfId="0" applyNumberFormat="1" applyFont="1" applyFill="1" applyBorder="1" applyAlignment="1">
      <x:alignment horizontal="center" vertical="top"/>
    </x:xf>
    <x:xf numFmtId="0" fontId="22" fillId="30" borderId="0" xfId="0" applyNumberFormat="1" applyFont="1" applyFill="1" applyBorder="1" applyAlignment="1">
      <x:alignment horizontal="center" vertical="top" wrapText="1"/>
    </x:xf>
    <x:xf numFmtId="0" fontId="22" fillId="32" borderId="0" xfId="0" applyNumberFormat="1" applyFont="1" applyFill="1" applyBorder="1" applyAlignment="1">
      <x:alignment horizontal="center" vertical="top" wrapText="1"/>
    </x:xf>
    <x:xf numFmtId="0" fontId="23" fillId="30" borderId="0" xfId="0" applyNumberFormat="1" applyFont="1" applyFill="1" applyBorder="1" applyAlignment="1">
      <x:alignment vertical="top" wrapText="1"/>
    </x:xf>
    <x:xf numFmtId="0" fontId="24" fillId="32" borderId="0" xfId="0" applyNumberFormat="1" applyFont="1" applyFill="1" applyBorder="1" applyAlignment="1">
      <x:alignment horizontal="center" vertical="top" wrapText="1"/>
    </x:xf>
    <x:xf numFmtId="0" fontId="9" fillId="30" borderId="0" xfId="0" applyNumberFormat="1" applyFont="1" applyFill="1" applyBorder="1" applyAlignment="1">
      <x:alignment vertical="top" wrapText="1"/>
    </x:xf>
    <x:xf numFmtId="0" fontId="24" fillId="34" borderId="0" xfId="0" applyNumberFormat="1" applyFont="1" applyFill="1" applyBorder="1" applyAlignment="1">
      <x:alignment horizontal="center" vertical="top"/>
    </x:xf>
    <x:xf numFmtId="0" fontId="25" fillId="31" borderId="0" xfId="0" applyNumberFormat="1" applyFont="1" applyFill="1" applyBorder="1" applyAlignment="1">
      <x:alignment vertical="top"/>
    </x:xf>
    <x:xf numFmtId="0" fontId="26" fillId="30" borderId="0" xfId="0" applyNumberFormat="1" applyFont="1" applyFill="1" applyBorder="1" applyAlignment="1">
      <x:alignment vertical="top" wrapText="1"/>
    </x:xf>
    <x:xf numFmtId="0" fontId="26" fillId="0" borderId="0" xfId="0" applyNumberFormat="1" applyFont="1" applyFill="1" applyBorder="1" applyAlignment="1">
      <x:alignment vertical="top"/>
    </x:xf>
    <x:xf numFmtId="0" fontId="25" fillId="30" borderId="0" xfId="0" applyNumberFormat="1" applyFont="1" applyFill="1" applyBorder="1" applyAlignment="1">
      <x:alignment horizontal="center" vertical="top" wrapText="1"/>
    </x:xf>
    <x:xf numFmtId="0" fontId="25" fillId="32" borderId="0" xfId="0" applyNumberFormat="1" applyFont="1" applyFill="1" applyBorder="1" applyAlignment="1">
      <x:alignment horizontal="center" vertical="top" wrapText="1"/>
    </x:xf>
    <x:xf numFmtId="0" fontId="25" fillId="0" borderId="0" xfId="0" applyNumberFormat="1" applyFont="1" applyFill="1" applyBorder="1" applyAlignment="1">
      <x:alignment horizontal="center" vertical="top"/>
    </x:xf>
    <x:xf numFmtId="0" fontId="26" fillId="33" borderId="0" xfId="0" applyNumberFormat="1" applyFont="1" applyFill="1" applyBorder="1" applyAlignment="1">
      <x:alignment vertical="top" wrapText="1"/>
    </x:xf>
    <x:xf numFmtId="0" fontId="25" fillId="30" borderId="0" xfId="0" applyNumberFormat="1" applyFont="1" applyFill="1" applyBorder="1" applyAlignment="1">
      <x:alignment vertical="top" wrapText="1"/>
    </x:xf>
    <x:xf numFmtId="0" fontId="26" fillId="0" borderId="0" xfId="0" applyNumberFormat="1" applyFont="1" applyFill="1" applyBorder="1" applyAlignment="1">
      <x:alignment vertical="top" wrapText="1"/>
    </x:xf>
    <x:xf numFmtId="0" fontId="25" fillId="34" borderId="0" xfId="0" applyNumberFormat="1" applyFont="1" applyFill="1" applyBorder="1" applyAlignment="1">
      <x:alignment horizontal="center" vertical="top"/>
    </x:xf>
    <x:xf numFmtId="0" fontId="26" fillId="34" borderId="0" xfId="0" applyNumberFormat="1" applyFont="1" applyFill="1" applyBorder="1" applyAlignment="1">
      <x:alignment vertical="top" wrapText="1"/>
    </x:xf>
    <x:xf numFmtId="0" fontId="26" fillId="35" borderId="0" xfId="0" applyNumberFormat="1" applyFont="1" applyFill="1" applyBorder="1" applyAlignment="1">
      <x:alignment vertical="top" wrapText="1"/>
    </x:xf>
    <x:xf numFmtId="0" fontId="27" fillId="31" borderId="0" xfId="0" applyNumberFormat="1" applyFont="1" applyFill="1" applyBorder="1" applyAlignment="1">
      <x:alignment vertical="top"/>
    </x:xf>
    <x:xf numFmtId="0" fontId="28" fillId="31" borderId="0" xfId="0" applyNumberFormat="1" applyFont="1" applyFill="1" applyBorder="1" applyAlignment="1">
      <x:alignment vertical="top"/>
    </x:xf>
    <x:xf numFmtId="0" fontId="28" fillId="31" borderId="0" xfId="0" applyNumberFormat="1" applyFont="1" applyFill="1" applyBorder="1" applyAlignment="1">
      <x:alignment vertical="center"/>
    </x:xf>
    <x:xf numFmtId="0" fontId="25" fillId="30" borderId="101" xfId="0" applyNumberFormat="1" applyFont="1" applyFill="1" applyBorder="1" applyAlignment="1">
      <x:alignment vertical="top" wrapText="1"/>
    </x:xf>
    <x:xf numFmtId="0" fontId="26" fillId="0" borderId="101" xfId="0" applyNumberFormat="1" applyFont="1" applyFill="1" applyBorder="1" applyAlignment="1">
      <x:alignment vertical="top" wrapText="1"/>
    </x:xf>
    <x:xf numFmtId="0" fontId="29" fillId="30" borderId="101" xfId="0" applyNumberFormat="1" applyFont="1" applyFill="1" applyBorder="1" applyAlignment="1">
      <x:alignment vertical="top" wrapText="1"/>
    </x:xf>
    <x:xf numFmtId="0" fontId="19" fillId="8" borderId="0" xfId="0" applyNumberFormat="1" applyFont="1" applyFill="1" applyBorder="1"/>
    <x:xf numFmtId="0" fontId="19" fillId="8" borderId="0" xfId="0" applyNumberFormat="1" applyFont="1" applyFill="1" applyBorder="1" applyAlignment="1">
      <x:alignment vertical="center"/>
    </x:xf>
    <x:xf numFmtId="0" fontId="21" fillId="8" borderId="0" xfId="0" applyNumberFormat="1" applyFont="1" applyFill="1" applyBorder="1"/>
    <x:xf numFmtId="0" fontId="21" fillId="8" borderId="0" xfId="0" applyNumberFormat="1" applyFont="1" applyFill="1" applyBorder="1" applyAlignment="1">
      <x:alignment vertical="center"/>
    </x:xf>
    <x:xf numFmtId="0" fontId="19" fillId="8" borderId="0" xfId="0" applyNumberFormat="1" applyFont="1" applyFill="1" applyBorder="1" applyAlignment="1">
      <x:alignment vertical="top"/>
    </x:xf>
    <x:xf numFmtId="0" fontId="21" fillId="8" borderId="0" xfId="0" applyNumberFormat="1" applyFont="1" applyFill="1" applyBorder="1" applyAlignment="1">
      <x:alignment vertical="top"/>
    </x:xf>
    <x:xf numFmtId="0" fontId="25" fillId="8" borderId="0" xfId="0" applyNumberFormat="1" applyFont="1" applyFill="1" applyBorder="1" applyAlignment="1">
      <x:alignment vertical="top"/>
    </x:xf>
    <x:xf numFmtId="0" fontId="27" fillId="8" borderId="0" xfId="0" applyNumberFormat="1" applyFont="1" applyFill="1" applyBorder="1" applyAlignment="1">
      <x:alignment vertical="top"/>
    </x:xf>
    <x:xf numFmtId="0" fontId="28" fillId="8" borderId="0" xfId="0" applyNumberFormat="1" applyFont="1" applyFill="1" applyBorder="1" applyAlignment="1">
      <x:alignment vertical="top"/>
    </x:xf>
    <x:xf numFmtId="0" fontId="28" fillId="8" borderId="0" xfId="0" applyNumberFormat="1" applyFont="1" applyFill="1" applyBorder="1" applyAlignment="1">
      <x:alignment vertical="center"/>
    </x:xf>
    <x:xf numFmtId="0" fontId="29" fillId="30" borderId="0" xfId="0" applyNumberFormat="1" applyFont="1" applyFill="1" applyBorder="1" applyAlignment="1">
      <x:alignment vertical="top" wrapText="1"/>
    </x:xf>
    <x:xf numFmtId="0" fontId="0" fillId="36" borderId="0" xfId="0" applyNumberFormat="1" applyFont="1" applyFill="1" applyBorder="1"/>
    <x:xf numFmtId="0" fontId="30" fillId="36" borderId="0" xfId="0" applyNumberFormat="1" applyFont="1" applyFill="1" applyBorder="1"/>
    <x:xf numFmtId="0" fontId="30" fillId="36" borderId="0" xfId="0" applyNumberFormat="1" applyFont="1" applyFill="1" applyBorder="1" applyAlignment="1">
      <x:alignment wrapText="1"/>
    </x:xf>
    <x:xf numFmtId="0" fontId="0" fillId="37" borderId="0" xfId="0" applyNumberFormat="1" applyFont="1" applyFill="1" applyBorder="1"/>
    <x:xf numFmtId="0" fontId="31" fillId="37" borderId="0" xfId="0" applyNumberFormat="1" applyFont="1" applyFill="1" applyBorder="1"/>
    <x:xf numFmtId="0" fontId="31" fillId="37" borderId="102" xfId="0" applyNumberFormat="1" applyFont="1" applyFill="1" applyBorder="1"/>
    <x:xf numFmtId="0" fontId="31" fillId="37" borderId="102" xfId="0" applyNumberFormat="1" applyFont="1" applyFill="1" applyBorder="1" applyAlignment="1">
      <x:alignment vertical="center"/>
    </x:xf>
    <x:xf numFmtId="0" fontId="20" fillId="36" borderId="0" xfId="0" applyNumberFormat="1" applyFont="1" applyFill="1" applyBorder="1"/>
    <x:xf numFmtId="0" fontId="20" fillId="36" borderId="0" xfId="0" applyNumberFormat="1" applyFont="1" applyFill="1" applyBorder="1" applyAlignment="1">
      <x:alignment wrapText="1"/>
    </x:xf>
    <x:xf numFmtId="0" fontId="0" fillId="38" borderId="0" xfId="0" applyNumberFormat="1" applyFont="1" applyFill="1" applyBorder="1"/>
    <x:xf numFmtId="0" fontId="21" fillId="38" borderId="0" xfId="0" applyNumberFormat="1" applyFont="1" applyFill="1" applyBorder="1"/>
    <x:xf numFmtId="0" fontId="21" fillId="38" borderId="0" xfId="0" applyNumberFormat="1" applyFont="1" applyFill="1" applyBorder="1" applyAlignment="1">
      <x:alignment vertical="center"/>
    </x:xf>
    <x:xf numFmtId="0" fontId="32" fillId="37" borderId="0" xfId="0" applyNumberFormat="1" applyFont="1" applyFill="1" applyBorder="1"/>
    <x:xf numFmtId="0" fontId="32" fillId="37" borderId="103" xfId="0" applyNumberFormat="1" applyFont="1" applyFill="1" applyBorder="1"/>
    <x:xf numFmtId="0" fontId="32" fillId="37" borderId="104" xfId="0" applyNumberFormat="1" applyFont="1" applyFill="1" applyBorder="1"/>
    <x:xf numFmtId="0" fontId="32" fillId="37" borderId="105" xfId="0" applyNumberFormat="1" applyFont="1" applyFill="1" applyBorder="1"/>
    <x:xf numFmtId="0" fontId="32" fillId="37" borderId="106" xfId="0" applyNumberFormat="1" applyFont="1" applyFill="1" applyBorder="1"/>
    <x:xf numFmtId="0" fontId="32" fillId="37" borderId="107" xfId="0" applyNumberFormat="1" applyFont="1" applyFill="1" applyBorder="1"/>
    <x:xf numFmtId="0" fontId="32" fillId="37" borderId="108" xfId="0" applyNumberFormat="1" applyFont="1" applyFill="1" applyBorder="1"/>
    <x:xf numFmtId="0" fontId="32" fillId="37" borderId="103" xfId="0" applyNumberFormat="1" applyFont="1" applyFill="1" applyBorder="1" applyAlignment="1">
      <x:alignment wrapText="1"/>
    </x:xf>
    <x:xf numFmtId="0" fontId="32" fillId="37" borderId="104" xfId="0" applyNumberFormat="1" applyFont="1" applyFill="1" applyBorder="1" applyAlignment="1">
      <x:alignment wrapText="1"/>
    </x:xf>
    <x:xf numFmtId="0" fontId="32" fillId="37" borderId="105" xfId="0" applyNumberFormat="1" applyFont="1" applyFill="1" applyBorder="1" applyAlignment="1">
      <x:alignment wrapText="1"/>
    </x:xf>
    <x:xf numFmtId="0" fontId="32" fillId="37" borderId="106" xfId="0" applyNumberFormat="1" applyFont="1" applyFill="1" applyBorder="1" applyAlignment="1">
      <x:alignment wrapText="1"/>
    </x:xf>
    <x:xf numFmtId="0" fontId="32" fillId="37" borderId="107" xfId="0" applyNumberFormat="1" applyFont="1" applyFill="1" applyBorder="1" applyAlignment="1">
      <x:alignment wrapText="1"/>
    </x:xf>
    <x:xf numFmtId="0" fontId="32" fillId="37" borderId="108" xfId="0" applyNumberFormat="1" applyFont="1" applyFill="1" applyBorder="1" applyAlignment="1">
      <x:alignment wrapText="1"/>
    </x:xf>
    <x:xf numFmtId="0" fontId="32" fillId="37" borderId="103" xfId="0" applyNumberFormat="1" applyFont="1" applyFill="1" applyBorder="1" applyAlignment="1">
      <x:alignment horizontal="center" wrapText="1"/>
    </x:xf>
    <x:xf numFmtId="0" fontId="32" fillId="37" borderId="104" xfId="0" applyNumberFormat="1" applyFont="1" applyFill="1" applyBorder="1" applyAlignment="1">
      <x:alignment horizontal="center" wrapText="1"/>
    </x:xf>
    <x:xf numFmtId="0" fontId="32" fillId="37" borderId="105" xfId="0" applyNumberFormat="1" applyFont="1" applyFill="1" applyBorder="1" applyAlignment="1">
      <x:alignment horizontal="center" wrapText="1"/>
    </x:xf>
    <x:xf numFmtId="0" fontId="32" fillId="37" borderId="106" xfId="0" applyNumberFormat="1" applyFont="1" applyFill="1" applyBorder="1" applyAlignment="1">
      <x:alignment horizontal="center" wrapText="1"/>
    </x:xf>
    <x:xf numFmtId="0" fontId="32" fillId="37" borderId="107" xfId="0" applyNumberFormat="1" applyFont="1" applyFill="1" applyBorder="1" applyAlignment="1">
      <x:alignment horizontal="center" wrapText="1"/>
    </x:xf>
    <x:xf numFmtId="0" fontId="32" fillId="37" borderId="108" xfId="0" applyNumberFormat="1" applyFont="1" applyFill="1" applyBorder="1" applyAlignment="1">
      <x:alignment horizontal="center" wrapText="1"/>
    </x:xf>
    <x:xf numFmtId="0" fontId="32" fillId="37" borderId="103" xfId="0" applyNumberFormat="1" applyFont="1" applyFill="1" applyBorder="1" applyAlignment="1">
      <x:alignment horizontal="center" vertical="center" wrapText="1"/>
    </x:xf>
    <x:xf numFmtId="0" fontId="32" fillId="37" borderId="104" xfId="0" applyNumberFormat="1" applyFont="1" applyFill="1" applyBorder="1" applyAlignment="1">
      <x:alignment horizontal="center" vertical="center" wrapText="1"/>
    </x:xf>
    <x:xf numFmtId="0" fontId="32" fillId="37" borderId="105" xfId="0" applyNumberFormat="1" applyFont="1" applyFill="1" applyBorder="1" applyAlignment="1">
      <x:alignment horizontal="center" vertical="center" wrapText="1"/>
    </x:xf>
    <x:xf numFmtId="0" fontId="32" fillId="37" borderId="106" xfId="0" applyNumberFormat="1" applyFont="1" applyFill="1" applyBorder="1" applyAlignment="1">
      <x:alignment horizontal="center" vertical="center" wrapText="1"/>
    </x:xf>
    <x:xf numFmtId="0" fontId="32" fillId="37" borderId="107" xfId="0" applyNumberFormat="1" applyFont="1" applyFill="1" applyBorder="1" applyAlignment="1">
      <x:alignment horizontal="center" vertical="center" wrapText="1"/>
    </x:xf>
    <x:xf numFmtId="0" fontId="32" fillId="37" borderId="108" xfId="0" applyNumberFormat="1" applyFont="1" applyFill="1" applyBorder="1" applyAlignment="1">
      <x:alignment horizontal="center" vertical="center" wrapText="1"/>
    </x:xf>
    <x:xf numFmtId="0" fontId="22" fillId="0" borderId="0" xfId="0" applyNumberFormat="1" applyFont="1" applyFill="1" applyBorder="1" applyAlignment="1">
      <x:alignment horizontal="center" vertical="center"/>
    </x:xf>
    <x:xf numFmtId="0" fontId="0" fillId="39" borderId="0" xfId="0" applyNumberFormat="1" applyFont="1" applyFill="1" applyBorder="1"/>
    <x:xf numFmtId="0" fontId="32" fillId="39" borderId="0" xfId="0" applyNumberFormat="1" applyFont="1" applyFill="1" applyBorder="1"/>
    <x:xf numFmtId="0" fontId="32" fillId="39" borderId="103" xfId="0" applyNumberFormat="1" applyFont="1" applyFill="1" applyBorder="1"/>
    <x:xf numFmtId="0" fontId="32" fillId="39" borderId="104" xfId="0" applyNumberFormat="1" applyFont="1" applyFill="1" applyBorder="1"/>
    <x:xf numFmtId="0" fontId="32" fillId="39" borderId="105" xfId="0" applyNumberFormat="1" applyFont="1" applyFill="1" applyBorder="1"/>
    <x:xf numFmtId="0" fontId="32" fillId="39" borderId="106" xfId="0" applyNumberFormat="1" applyFont="1" applyFill="1" applyBorder="1"/>
    <x:xf numFmtId="0" fontId="32" fillId="39" borderId="107" xfId="0" applyNumberFormat="1" applyFont="1" applyFill="1" applyBorder="1"/>
    <x:xf numFmtId="0" fontId="32" fillId="39" borderId="108" xfId="0" applyNumberFormat="1" applyFont="1" applyFill="1" applyBorder="1"/>
    <x:xf numFmtId="0" fontId="32" fillId="39" borderId="103" xfId="0" applyNumberFormat="1" applyFont="1" applyFill="1" applyBorder="1" applyAlignment="1">
      <x:alignment wrapText="1"/>
    </x:xf>
    <x:xf numFmtId="0" fontId="32" fillId="39" borderId="104" xfId="0" applyNumberFormat="1" applyFont="1" applyFill="1" applyBorder="1" applyAlignment="1">
      <x:alignment wrapText="1"/>
    </x:xf>
    <x:xf numFmtId="0" fontId="32" fillId="39" borderId="105" xfId="0" applyNumberFormat="1" applyFont="1" applyFill="1" applyBorder="1" applyAlignment="1">
      <x:alignment wrapText="1"/>
    </x:xf>
    <x:xf numFmtId="0" fontId="32" fillId="39" borderId="106" xfId="0" applyNumberFormat="1" applyFont="1" applyFill="1" applyBorder="1" applyAlignment="1">
      <x:alignment wrapText="1"/>
    </x:xf>
    <x:xf numFmtId="0" fontId="32" fillId="39" borderId="107" xfId="0" applyNumberFormat="1" applyFont="1" applyFill="1" applyBorder="1" applyAlignment="1">
      <x:alignment wrapText="1"/>
    </x:xf>
    <x:xf numFmtId="0" fontId="32" fillId="39" borderId="108" xfId="0" applyNumberFormat="1" applyFont="1" applyFill="1" applyBorder="1" applyAlignment="1">
      <x:alignment wrapText="1"/>
    </x:xf>
    <x:xf numFmtId="0" fontId="32" fillId="39" borderId="103" xfId="0" applyNumberFormat="1" applyFont="1" applyFill="1" applyBorder="1" applyAlignment="1">
      <x:alignment horizontal="center" wrapText="1"/>
    </x:xf>
    <x:xf numFmtId="0" fontId="32" fillId="39" borderId="104" xfId="0" applyNumberFormat="1" applyFont="1" applyFill="1" applyBorder="1" applyAlignment="1">
      <x:alignment horizontal="center" wrapText="1"/>
    </x:xf>
    <x:xf numFmtId="0" fontId="32" fillId="39" borderId="105" xfId="0" applyNumberFormat="1" applyFont="1" applyFill="1" applyBorder="1" applyAlignment="1">
      <x:alignment horizontal="center" wrapText="1"/>
    </x:xf>
    <x:xf numFmtId="0" fontId="32" fillId="39" borderId="106" xfId="0" applyNumberFormat="1" applyFont="1" applyFill="1" applyBorder="1" applyAlignment="1">
      <x:alignment horizontal="center" wrapText="1"/>
    </x:xf>
    <x:xf numFmtId="0" fontId="32" fillId="39" borderId="107" xfId="0" applyNumberFormat="1" applyFont="1" applyFill="1" applyBorder="1" applyAlignment="1">
      <x:alignment horizontal="center" wrapText="1"/>
    </x:xf>
    <x:xf numFmtId="0" fontId="32" fillId="39" borderId="108" xfId="0" applyNumberFormat="1" applyFont="1" applyFill="1" applyBorder="1" applyAlignment="1">
      <x:alignment horizontal="center" wrapText="1"/>
    </x:xf>
    <x:xf numFmtId="0" fontId="32" fillId="39" borderId="103" xfId="0" applyNumberFormat="1" applyFont="1" applyFill="1" applyBorder="1" applyAlignment="1">
      <x:alignment horizontal="center" vertical="center" wrapText="1"/>
    </x:xf>
    <x:xf numFmtId="0" fontId="32" fillId="39" borderId="104" xfId="0" applyNumberFormat="1" applyFont="1" applyFill="1" applyBorder="1" applyAlignment="1">
      <x:alignment horizontal="center" vertical="center" wrapText="1"/>
    </x:xf>
    <x:xf numFmtId="0" fontId="32" fillId="39" borderId="105" xfId="0" applyNumberFormat="1" applyFont="1" applyFill="1" applyBorder="1" applyAlignment="1">
      <x:alignment horizontal="center" vertical="center" wrapText="1"/>
    </x:xf>
    <x:xf numFmtId="0" fontId="32" fillId="39" borderId="106" xfId="0" applyNumberFormat="1" applyFont="1" applyFill="1" applyBorder="1" applyAlignment="1">
      <x:alignment horizontal="center" vertical="center" wrapText="1"/>
    </x:xf>
    <x:xf numFmtId="0" fontId="32" fillId="39" borderId="107" xfId="0" applyNumberFormat="1" applyFont="1" applyFill="1" applyBorder="1" applyAlignment="1">
      <x:alignment horizontal="center" vertical="center" wrapText="1"/>
    </x:xf>
    <x:xf numFmtId="0" fontId="32" fillId="39" borderId="108" xfId="0" applyNumberFormat="1" applyFont="1" applyFill="1" applyBorder="1" applyAlignment="1">
      <x:alignment horizontal="center" vertical="center" wrapText="1"/>
    </x:xf>
    <x:xf numFmtId="0" fontId="0" fillId="40" borderId="0" xfId="0" applyNumberFormat="1" applyFont="1" applyFill="1" applyBorder="1"/>
    <x:xf numFmtId="0" fontId="32" fillId="40" borderId="0" xfId="0" applyNumberFormat="1" applyFont="1" applyFill="1" applyBorder="1"/>
    <x:xf numFmtId="0" fontId="32" fillId="40" borderId="109" xfId="0" applyNumberFormat="1" applyFont="1" applyFill="1" applyBorder="1"/>
    <x:xf numFmtId="0" fontId="32" fillId="40" borderId="110" xfId="0" applyNumberFormat="1" applyFont="1" applyFill="1" applyBorder="1"/>
    <x:xf numFmtId="0" fontId="32" fillId="40" borderId="111" xfId="0" applyNumberFormat="1" applyFont="1" applyFill="1" applyBorder="1"/>
    <x:xf numFmtId="0" fontId="32" fillId="40" borderId="112" xfId="0" applyNumberFormat="1" applyFont="1" applyFill="1" applyBorder="1"/>
    <x:xf numFmtId="0" fontId="32" fillId="40" borderId="113" xfId="0" applyNumberFormat="1" applyFont="1" applyFill="1" applyBorder="1"/>
    <x:xf numFmtId="0" fontId="32" fillId="40" borderId="114" xfId="0" applyNumberFormat="1" applyFont="1" applyFill="1" applyBorder="1"/>
    <x:xf numFmtId="0" fontId="32" fillId="40" borderId="109" xfId="0" applyNumberFormat="1" applyFont="1" applyFill="1" applyBorder="1" applyAlignment="1">
      <x:alignment wrapText="1"/>
    </x:xf>
    <x:xf numFmtId="0" fontId="32" fillId="40" borderId="110" xfId="0" applyNumberFormat="1" applyFont="1" applyFill="1" applyBorder="1" applyAlignment="1">
      <x:alignment wrapText="1"/>
    </x:xf>
    <x:xf numFmtId="0" fontId="32" fillId="40" borderId="111" xfId="0" applyNumberFormat="1" applyFont="1" applyFill="1" applyBorder="1" applyAlignment="1">
      <x:alignment wrapText="1"/>
    </x:xf>
    <x:xf numFmtId="0" fontId="32" fillId="40" borderId="112" xfId="0" applyNumberFormat="1" applyFont="1" applyFill="1" applyBorder="1" applyAlignment="1">
      <x:alignment wrapText="1"/>
    </x:xf>
    <x:xf numFmtId="0" fontId="32" fillId="40" borderId="113" xfId="0" applyNumberFormat="1" applyFont="1" applyFill="1" applyBorder="1" applyAlignment="1">
      <x:alignment wrapText="1"/>
    </x:xf>
    <x:xf numFmtId="0" fontId="32" fillId="40" borderId="114" xfId="0" applyNumberFormat="1" applyFont="1" applyFill="1" applyBorder="1" applyAlignment="1">
      <x:alignment wrapText="1"/>
    </x:xf>
    <x:xf numFmtId="0" fontId="32" fillId="40" borderId="109" xfId="0" applyNumberFormat="1" applyFont="1" applyFill="1" applyBorder="1" applyAlignment="1">
      <x:alignment horizontal="center" wrapText="1"/>
    </x:xf>
    <x:xf numFmtId="0" fontId="32" fillId="40" borderId="110" xfId="0" applyNumberFormat="1" applyFont="1" applyFill="1" applyBorder="1" applyAlignment="1">
      <x:alignment horizontal="center" wrapText="1"/>
    </x:xf>
    <x:xf numFmtId="0" fontId="32" fillId="40" borderId="111" xfId="0" applyNumberFormat="1" applyFont="1" applyFill="1" applyBorder="1" applyAlignment="1">
      <x:alignment horizontal="center" wrapText="1"/>
    </x:xf>
    <x:xf numFmtId="0" fontId="32" fillId="40" borderId="112" xfId="0" applyNumberFormat="1" applyFont="1" applyFill="1" applyBorder="1" applyAlignment="1">
      <x:alignment horizontal="center" wrapText="1"/>
    </x:xf>
    <x:xf numFmtId="0" fontId="32" fillId="40" borderId="113" xfId="0" applyNumberFormat="1" applyFont="1" applyFill="1" applyBorder="1" applyAlignment="1">
      <x:alignment horizontal="center" wrapText="1"/>
    </x:xf>
    <x:xf numFmtId="0" fontId="32" fillId="40" borderId="114" xfId="0" applyNumberFormat="1" applyFont="1" applyFill="1" applyBorder="1" applyAlignment="1">
      <x:alignment horizontal="center" wrapText="1"/>
    </x:xf>
    <x:xf numFmtId="0" fontId="32" fillId="40" borderId="109" xfId="0" applyNumberFormat="1" applyFont="1" applyFill="1" applyBorder="1" applyAlignment="1">
      <x:alignment horizontal="center" vertical="center" wrapText="1"/>
    </x:xf>
    <x:xf numFmtId="0" fontId="32" fillId="40" borderId="110" xfId="0" applyNumberFormat="1" applyFont="1" applyFill="1" applyBorder="1" applyAlignment="1">
      <x:alignment horizontal="center" vertical="center" wrapText="1"/>
    </x:xf>
    <x:xf numFmtId="0" fontId="32" fillId="40" borderId="111" xfId="0" applyNumberFormat="1" applyFont="1" applyFill="1" applyBorder="1" applyAlignment="1">
      <x:alignment horizontal="center" vertical="center" wrapText="1"/>
    </x:xf>
    <x:xf numFmtId="0" fontId="32" fillId="40" borderId="112" xfId="0" applyNumberFormat="1" applyFont="1" applyFill="1" applyBorder="1" applyAlignment="1">
      <x:alignment horizontal="center" vertical="center" wrapText="1"/>
    </x:xf>
    <x:xf numFmtId="0" fontId="32" fillId="40" borderId="113" xfId="0" applyNumberFormat="1" applyFont="1" applyFill="1" applyBorder="1" applyAlignment="1">
      <x:alignment horizontal="center" vertical="center" wrapText="1"/>
    </x:xf>
    <x:xf numFmtId="0" fontId="32" fillId="40" borderId="114" xfId="0" applyNumberFormat="1" applyFont="1" applyFill="1" applyBorder="1" applyAlignment="1">
      <x:alignment horizontal="center" vertical="center" wrapText="1"/>
    </x:xf>
    <x:xf numFmtId="0" fontId="32" fillId="37" borderId="115" xfId="0" applyNumberFormat="1" applyFont="1" applyFill="1" applyBorder="1"/>
    <x:xf numFmtId="0" fontId="32" fillId="37" xfId="0" applyNumberFormat="1" applyFont="1" applyFill="1" applyBorder="0"/>
    <x:xf numFmtId="0" fontId="32" fillId="37" borderId="102" xfId="0" applyNumberFormat="1" applyFont="1" applyFill="1" applyBorder="1"/>
    <x:xf numFmtId="0" fontId="32" fillId="37" borderId="115" xfId="0" applyNumberFormat="1" applyFont="1" applyFill="1" applyBorder="1" applyAlignment="1">
      <x:alignment wrapText="1"/>
    </x:xf>
    <x:xf numFmtId="0" fontId="32" fillId="37" xfId="0" applyNumberFormat="1" applyFont="1" applyFill="1" applyBorder="0" applyAlignment="1">
      <x:alignment wrapText="1"/>
    </x:xf>
    <x:xf numFmtId="0" fontId="32" fillId="37" borderId="102" xfId="0" applyNumberFormat="1" applyFont="1" applyFill="1" applyBorder="1" applyAlignment="1">
      <x:alignment wrapText="1"/>
    </x:xf>
    <x:xf numFmtId="0" fontId="32" fillId="37" borderId="115" xfId="0" applyNumberFormat="1" applyFont="1" applyFill="1" applyBorder="1" applyAlignment="1">
      <x:alignment horizontal="center" wrapText="1"/>
    </x:xf>
    <x:xf numFmtId="0" fontId="32" fillId="37" xfId="0" applyNumberFormat="1" applyFont="1" applyFill="1" applyBorder="0" applyAlignment="1">
      <x:alignment horizontal="center" wrapText="1"/>
    </x:xf>
    <x:xf numFmtId="0" fontId="32" fillId="37" borderId="102" xfId="0" applyNumberFormat="1" applyFont="1" applyFill="1" applyBorder="1" applyAlignment="1">
      <x:alignment horizontal="center" wrapText="1"/>
    </x:xf>
    <x:xf numFmtId="0" fontId="32" fillId="37" borderId="115" xfId="0" applyNumberFormat="1" applyFont="1" applyFill="1" applyBorder="1" applyAlignment="1">
      <x:alignment horizontal="center" vertical="center" wrapText="1"/>
    </x:xf>
    <x:xf numFmtId="0" fontId="32" fillId="37" xfId="0" applyNumberFormat="1" applyFont="1" applyFill="1" applyBorder="0" applyAlignment="1">
      <x:alignment horizontal="center" vertical="center" wrapText="1"/>
    </x:xf>
    <x:xf numFmtId="0" fontId="32" fillId="37" borderId="102" xfId="0" applyNumberFormat="1" applyFont="1" applyFill="1" applyBorder="1" applyAlignment="1">
      <x:alignment horizontal="center" vertical="center" wrapText="1"/>
    </x:xf>
    <x:xf numFmtId="0" fontId="33" fillId="36" borderId="0" xfId="0" applyNumberFormat="1" applyFont="1" applyFill="1" applyBorder="1"/>
    <x:xf numFmtId="0" fontId="0" fillId="41" borderId="0" xfId="0" applyNumberFormat="1" applyFont="1" applyFill="1" applyBorder="1"/>
    <x:xf numFmtId="0" fontId="32" fillId="41" borderId="0" xfId="0" applyNumberFormat="1" applyFont="1" applyFill="1" applyBorder="1"/>
    <x:xf numFmtId="0" fontId="32" fillId="41" borderId="103" xfId="0" applyNumberFormat="1" applyFont="1" applyFill="1" applyBorder="1"/>
    <x:xf numFmtId="0" fontId="32" fillId="41" borderId="115" xfId="0" applyNumberFormat="1" applyFont="1" applyFill="1" applyBorder="1"/>
    <x:xf numFmtId="0" fontId="32" fillId="41" borderId="104" xfId="0" applyNumberFormat="1" applyFont="1" applyFill="1" applyBorder="1"/>
    <x:xf numFmtId="0" fontId="32" fillId="41" borderId="105" xfId="0" applyNumberFormat="1" applyFont="1" applyFill="1" applyBorder="1"/>
    <x:xf numFmtId="0" fontId="32" fillId="41" xfId="0" applyNumberFormat="1" applyFont="1" applyFill="1" applyBorder="0"/>
    <x:xf numFmtId="0" fontId="32" fillId="41" borderId="106" xfId="0" applyNumberFormat="1" applyFont="1" applyFill="1" applyBorder="1"/>
    <x:xf numFmtId="0" fontId="32" fillId="41" borderId="107" xfId="0" applyNumberFormat="1" applyFont="1" applyFill="1" applyBorder="1"/>
    <x:xf numFmtId="0" fontId="32" fillId="41" borderId="102" xfId="0" applyNumberFormat="1" applyFont="1" applyFill="1" applyBorder="1"/>
    <x:xf numFmtId="0" fontId="32" fillId="41" borderId="108" xfId="0" applyNumberFormat="1" applyFont="1" applyFill="1" applyBorder="1"/>
    <x:xf numFmtId="0" fontId="32" fillId="41" borderId="103" xfId="0" applyNumberFormat="1" applyFont="1" applyFill="1" applyBorder="1" applyAlignment="1">
      <x:alignment wrapText="1"/>
    </x:xf>
    <x:xf numFmtId="0" fontId="32" fillId="41" borderId="115" xfId="0" applyNumberFormat="1" applyFont="1" applyFill="1" applyBorder="1" applyAlignment="1">
      <x:alignment wrapText="1"/>
    </x:xf>
    <x:xf numFmtId="0" fontId="32" fillId="41" borderId="104" xfId="0" applyNumberFormat="1" applyFont="1" applyFill="1" applyBorder="1" applyAlignment="1">
      <x:alignment wrapText="1"/>
    </x:xf>
    <x:xf numFmtId="0" fontId="32" fillId="41" borderId="105" xfId="0" applyNumberFormat="1" applyFont="1" applyFill="1" applyBorder="1" applyAlignment="1">
      <x:alignment wrapText="1"/>
    </x:xf>
    <x:xf numFmtId="0" fontId="32" fillId="41" xfId="0" applyNumberFormat="1" applyFont="1" applyFill="1" applyBorder="0" applyAlignment="1">
      <x:alignment wrapText="1"/>
    </x:xf>
    <x:xf numFmtId="0" fontId="32" fillId="41" borderId="106" xfId="0" applyNumberFormat="1" applyFont="1" applyFill="1" applyBorder="1" applyAlignment="1">
      <x:alignment wrapText="1"/>
    </x:xf>
    <x:xf numFmtId="0" fontId="32" fillId="41" borderId="107" xfId="0" applyNumberFormat="1" applyFont="1" applyFill="1" applyBorder="1" applyAlignment="1">
      <x:alignment wrapText="1"/>
    </x:xf>
    <x:xf numFmtId="0" fontId="32" fillId="41" borderId="102" xfId="0" applyNumberFormat="1" applyFont="1" applyFill="1" applyBorder="1" applyAlignment="1">
      <x:alignment wrapText="1"/>
    </x:xf>
    <x:xf numFmtId="0" fontId="32" fillId="41" borderId="108" xfId="0" applyNumberFormat="1" applyFont="1" applyFill="1" applyBorder="1" applyAlignment="1">
      <x:alignment wrapText="1"/>
    </x:xf>
    <x:xf numFmtId="0" fontId="32" fillId="41" borderId="103" xfId="0" applyNumberFormat="1" applyFont="1" applyFill="1" applyBorder="1" applyAlignment="1">
      <x:alignment horizontal="center" wrapText="1"/>
    </x:xf>
    <x:xf numFmtId="0" fontId="32" fillId="41" borderId="115" xfId="0" applyNumberFormat="1" applyFont="1" applyFill="1" applyBorder="1" applyAlignment="1">
      <x:alignment horizontal="center" wrapText="1"/>
    </x:xf>
    <x:xf numFmtId="0" fontId="32" fillId="41" borderId="104" xfId="0" applyNumberFormat="1" applyFont="1" applyFill="1" applyBorder="1" applyAlignment="1">
      <x:alignment horizontal="center" wrapText="1"/>
    </x:xf>
    <x:xf numFmtId="0" fontId="32" fillId="41" borderId="105" xfId="0" applyNumberFormat="1" applyFont="1" applyFill="1" applyBorder="1" applyAlignment="1">
      <x:alignment horizontal="center" wrapText="1"/>
    </x:xf>
    <x:xf numFmtId="0" fontId="32" fillId="41" xfId="0" applyNumberFormat="1" applyFont="1" applyFill="1" applyBorder="0" applyAlignment="1">
      <x:alignment horizontal="center" wrapText="1"/>
    </x:xf>
    <x:xf numFmtId="0" fontId="32" fillId="41" borderId="106" xfId="0" applyNumberFormat="1" applyFont="1" applyFill="1" applyBorder="1" applyAlignment="1">
      <x:alignment horizontal="center" wrapText="1"/>
    </x:xf>
    <x:xf numFmtId="0" fontId="32" fillId="41" borderId="107" xfId="0" applyNumberFormat="1" applyFont="1" applyFill="1" applyBorder="1" applyAlignment="1">
      <x:alignment horizontal="center" wrapText="1"/>
    </x:xf>
    <x:xf numFmtId="0" fontId="32" fillId="41" borderId="102" xfId="0" applyNumberFormat="1" applyFont="1" applyFill="1" applyBorder="1" applyAlignment="1">
      <x:alignment horizontal="center" wrapText="1"/>
    </x:xf>
    <x:xf numFmtId="0" fontId="32" fillId="41" borderId="108" xfId="0" applyNumberFormat="1" applyFont="1" applyFill="1" applyBorder="1" applyAlignment="1">
      <x:alignment horizontal="center" wrapText="1"/>
    </x:xf>
    <x:xf numFmtId="0" fontId="32" fillId="41" borderId="103" xfId="0" applyNumberFormat="1" applyFont="1" applyFill="1" applyBorder="1" applyAlignment="1">
      <x:alignment horizontal="center" vertical="center" wrapText="1"/>
    </x:xf>
    <x:xf numFmtId="0" fontId="32" fillId="41" borderId="115" xfId="0" applyNumberFormat="1" applyFont="1" applyFill="1" applyBorder="1" applyAlignment="1">
      <x:alignment horizontal="center" vertical="center" wrapText="1"/>
    </x:xf>
    <x:xf numFmtId="0" fontId="32" fillId="41" borderId="104" xfId="0" applyNumberFormat="1" applyFont="1" applyFill="1" applyBorder="1" applyAlignment="1">
      <x:alignment horizontal="center" vertical="center" wrapText="1"/>
    </x:xf>
    <x:xf numFmtId="0" fontId="32" fillId="41" borderId="105" xfId="0" applyNumberFormat="1" applyFont="1" applyFill="1" applyBorder="1" applyAlignment="1">
      <x:alignment horizontal="center" vertical="center" wrapText="1"/>
    </x:xf>
    <x:xf numFmtId="0" fontId="32" fillId="41" xfId="0" applyNumberFormat="1" applyFont="1" applyFill="1" applyBorder="0" applyAlignment="1">
      <x:alignment horizontal="center" vertical="center" wrapText="1"/>
    </x:xf>
    <x:xf numFmtId="0" fontId="32" fillId="41" borderId="106" xfId="0" applyNumberFormat="1" applyFont="1" applyFill="1" applyBorder="1" applyAlignment="1">
      <x:alignment horizontal="center" vertical="center" wrapText="1"/>
    </x:xf>
    <x:xf numFmtId="0" fontId="32" fillId="41" borderId="107" xfId="0" applyNumberFormat="1" applyFont="1" applyFill="1" applyBorder="1" applyAlignment="1">
      <x:alignment horizontal="center" vertical="center" wrapText="1"/>
    </x:xf>
    <x:xf numFmtId="0" fontId="32" fillId="41" borderId="102" xfId="0" applyNumberFormat="1" applyFont="1" applyFill="1" applyBorder="1" applyAlignment="1">
      <x:alignment horizontal="center" vertical="center" wrapText="1"/>
    </x:xf>
    <x:xf numFmtId="0" fontId="32" fillId="41" borderId="108" xfId="0" applyNumberFormat="1" applyFont="1" applyFill="1" applyBorder="1" applyAlignment="1">
      <x:alignment horizontal="center" vertical="center" wrapText="1"/>
    </x:xf>
    <x:xf numFmtId="0" fontId="34" fillId="36" borderId="0" xfId="0" applyNumberFormat="1" applyFont="1" applyFill="1" applyBorder="1"/>
    <x:xf numFmtId="0" fontId="34" fillId="36" borderId="0" xfId="0" applyNumberFormat="1" applyFont="1" applyFill="1" applyBorder="1" applyAlignment="1">
      <x:alignment wrapText="1"/>
    </x:xf>
    <x:xf numFmtId="0" fontId="35" fillId="41" borderId="0" xfId="0" applyNumberFormat="1" applyFont="1" applyFill="1" applyBorder="1"/>
    <x:xf numFmtId="0" fontId="35" fillId="41" borderId="103" xfId="0" applyNumberFormat="1" applyFont="1" applyFill="1" applyBorder="1"/>
    <x:xf numFmtId="0" fontId="35" fillId="41" borderId="115" xfId="0" applyNumberFormat="1" applyFont="1" applyFill="1" applyBorder="1"/>
    <x:xf numFmtId="0" fontId="35" fillId="41" borderId="104" xfId="0" applyNumberFormat="1" applyFont="1" applyFill="1" applyBorder="1"/>
    <x:xf numFmtId="0" fontId="35" fillId="41" borderId="105" xfId="0" applyNumberFormat="1" applyFont="1" applyFill="1" applyBorder="1"/>
    <x:xf numFmtId="0" fontId="35" fillId="41" xfId="0" applyNumberFormat="1" applyFont="1" applyFill="1" applyBorder="0"/>
    <x:xf numFmtId="0" fontId="35" fillId="41" borderId="106" xfId="0" applyNumberFormat="1" applyFont="1" applyFill="1" applyBorder="1"/>
    <x:xf numFmtId="0" fontId="35" fillId="41" borderId="107" xfId="0" applyNumberFormat="1" applyFont="1" applyFill="1" applyBorder="1"/>
    <x:xf numFmtId="0" fontId="35" fillId="41" borderId="102" xfId="0" applyNumberFormat="1" applyFont="1" applyFill="1" applyBorder="1"/>
    <x:xf numFmtId="0" fontId="35" fillId="41" borderId="108" xfId="0" applyNumberFormat="1" applyFont="1" applyFill="1" applyBorder="1"/>
    <x:xf numFmtId="0" fontId="35" fillId="41" borderId="103" xfId="0" applyNumberFormat="1" applyFont="1" applyFill="1" applyBorder="1" applyAlignment="1">
      <x:alignment wrapText="1"/>
    </x:xf>
    <x:xf numFmtId="0" fontId="35" fillId="41" borderId="115" xfId="0" applyNumberFormat="1" applyFont="1" applyFill="1" applyBorder="1" applyAlignment="1">
      <x:alignment wrapText="1"/>
    </x:xf>
    <x:xf numFmtId="0" fontId="35" fillId="41" borderId="104" xfId="0" applyNumberFormat="1" applyFont="1" applyFill="1" applyBorder="1" applyAlignment="1">
      <x:alignment wrapText="1"/>
    </x:xf>
    <x:xf numFmtId="0" fontId="35" fillId="41" borderId="105" xfId="0" applyNumberFormat="1" applyFont="1" applyFill="1" applyBorder="1" applyAlignment="1">
      <x:alignment wrapText="1"/>
    </x:xf>
    <x:xf numFmtId="0" fontId="35" fillId="41" xfId="0" applyNumberFormat="1" applyFont="1" applyFill="1" applyBorder="0" applyAlignment="1">
      <x:alignment wrapText="1"/>
    </x:xf>
    <x:xf numFmtId="0" fontId="35" fillId="41" borderId="106" xfId="0" applyNumberFormat="1" applyFont="1" applyFill="1" applyBorder="1" applyAlignment="1">
      <x:alignment wrapText="1"/>
    </x:xf>
    <x:xf numFmtId="0" fontId="35" fillId="41" borderId="107" xfId="0" applyNumberFormat="1" applyFont="1" applyFill="1" applyBorder="1" applyAlignment="1">
      <x:alignment wrapText="1"/>
    </x:xf>
    <x:xf numFmtId="0" fontId="35" fillId="41" borderId="102" xfId="0" applyNumberFormat="1" applyFont="1" applyFill="1" applyBorder="1" applyAlignment="1">
      <x:alignment wrapText="1"/>
    </x:xf>
    <x:xf numFmtId="0" fontId="35" fillId="41" borderId="108" xfId="0" applyNumberFormat="1" applyFont="1" applyFill="1" applyBorder="1" applyAlignment="1">
      <x:alignment wrapText="1"/>
    </x:xf>
    <x:xf numFmtId="0" fontId="35" fillId="41" borderId="103" xfId="0" applyNumberFormat="1" applyFont="1" applyFill="1" applyBorder="1" applyAlignment="1">
      <x:alignment vertical="top" wrapText="1"/>
    </x:xf>
    <x:xf numFmtId="0" fontId="35" fillId="41" borderId="115" xfId="0" applyNumberFormat="1" applyFont="1" applyFill="1" applyBorder="1" applyAlignment="1">
      <x:alignment vertical="top" wrapText="1"/>
    </x:xf>
    <x:xf numFmtId="0" fontId="35" fillId="41" borderId="104" xfId="0" applyNumberFormat="1" applyFont="1" applyFill="1" applyBorder="1" applyAlignment="1">
      <x:alignment vertical="top" wrapText="1"/>
    </x:xf>
    <x:xf numFmtId="0" fontId="35" fillId="41" borderId="105" xfId="0" applyNumberFormat="1" applyFont="1" applyFill="1" applyBorder="1" applyAlignment="1">
      <x:alignment vertical="top" wrapText="1"/>
    </x:xf>
    <x:xf numFmtId="0" fontId="35" fillId="41" xfId="0" applyNumberFormat="1" applyFont="1" applyFill="1" applyBorder="0" applyAlignment="1">
      <x:alignment vertical="top" wrapText="1"/>
    </x:xf>
    <x:xf numFmtId="0" fontId="35" fillId="41" borderId="106" xfId="0" applyNumberFormat="1" applyFont="1" applyFill="1" applyBorder="1" applyAlignment="1">
      <x:alignment vertical="top" wrapText="1"/>
    </x:xf>
    <x:xf numFmtId="0" fontId="35" fillId="41" borderId="107" xfId="0" applyNumberFormat="1" applyFont="1" applyFill="1" applyBorder="1" applyAlignment="1">
      <x:alignment vertical="top" wrapText="1"/>
    </x:xf>
    <x:xf numFmtId="0" fontId="35" fillId="41" borderId="102" xfId="0" applyNumberFormat="1" applyFont="1" applyFill="1" applyBorder="1" applyAlignment="1">
      <x:alignment vertical="top" wrapText="1"/>
    </x:xf>
    <x:xf numFmtId="0" fontId="35" fillId="41" borderId="108" xfId="0" applyNumberFormat="1" applyFont="1" applyFill="1" applyBorder="1" applyAlignment="1">
      <x:alignment vertical="top" wrapText="1"/>
    </x:xf>
    <x:xf numFmtId="0" fontId="36" fillId="37" borderId="0" xfId="0" applyNumberFormat="1" applyFont="1" applyFill="1" applyBorder="1"/>
    <x:xf numFmtId="0" fontId="36" fillId="37" borderId="102" xfId="0" applyNumberFormat="1" applyFont="1" applyFill="1" applyBorder="1"/>
    <x:xf numFmtId="0" fontId="37" fillId="38" borderId="0" xfId="0" applyNumberFormat="1" applyFont="1" applyFill="1" applyBorder="1"/>
    <x:xf numFmtId="0" fontId="37" fillId="38" borderId="0" xfId="0" applyNumberFormat="1" applyFont="1" applyFill="1" applyBorder="1" applyAlignment="1">
      <x:alignment wrapText="1"/>
    </x:xf>
    <x:xf numFmtId="0" fontId="32" fillId="39" borderId="115" xfId="0" applyNumberFormat="1" applyFont="1" applyFill="1" applyBorder="1"/>
    <x:xf numFmtId="0" fontId="32" fillId="39" xfId="0" applyNumberFormat="1" applyFont="1" applyFill="1" applyBorder="0"/>
    <x:xf numFmtId="0" fontId="32" fillId="39" borderId="102" xfId="0" applyNumberFormat="1" applyFont="1" applyFill="1" applyBorder="1"/>
    <x:xf numFmtId="0" fontId="32" fillId="39" borderId="115" xfId="0" applyNumberFormat="1" applyFont="1" applyFill="1" applyBorder="1" applyAlignment="1">
      <x:alignment wrapText="1"/>
    </x:xf>
    <x:xf numFmtId="0" fontId="32" fillId="39" xfId="0" applyNumberFormat="1" applyFont="1" applyFill="1" applyBorder="0" applyAlignment="1">
      <x:alignment wrapText="1"/>
    </x:xf>
    <x:xf numFmtId="0" fontId="32" fillId="39" borderId="102" xfId="0" applyNumberFormat="1" applyFont="1" applyFill="1" applyBorder="1" applyAlignment="1">
      <x:alignment wrapText="1"/>
    </x:xf>
    <x:xf numFmtId="0" fontId="32" fillId="39" borderId="115" xfId="0" applyNumberFormat="1" applyFont="1" applyFill="1" applyBorder="1" applyAlignment="1">
      <x:alignment horizontal="center" wrapText="1"/>
    </x:xf>
    <x:xf numFmtId="0" fontId="32" fillId="39" xfId="0" applyNumberFormat="1" applyFont="1" applyFill="1" applyBorder="0" applyAlignment="1">
      <x:alignment horizontal="center" wrapText="1"/>
    </x:xf>
    <x:xf numFmtId="0" fontId="32" fillId="39" borderId="102" xfId="0" applyNumberFormat="1" applyFont="1" applyFill="1" applyBorder="1" applyAlignment="1">
      <x:alignment horizontal="center" wrapText="1"/>
    </x:xf>
    <x:xf numFmtId="0" fontId="32" fillId="39" borderId="115" xfId="0" applyNumberFormat="1" applyFont="1" applyFill="1" applyBorder="1" applyAlignment="1">
      <x:alignment horizontal="center" vertical="center" wrapText="1"/>
    </x:xf>
    <x:xf numFmtId="0" fontId="32" fillId="39" xfId="0" applyNumberFormat="1" applyFont="1" applyFill="1" applyBorder="0" applyAlignment="1">
      <x:alignment horizontal="center" vertical="center" wrapText="1"/>
    </x:xf>
    <x:xf numFmtId="0" fontId="32" fillId="39" borderId="102" xfId="0" applyNumberFormat="1" applyFont="1" applyFill="1" applyBorder="1" applyAlignment="1">
      <x:alignment horizontal="center" vertical="center" wrapText="1"/>
    </x:xf>
    <x:xf numFmtId="0" fontId="32" fillId="40" borderId="116" xfId="0" applyNumberFormat="1" applyFont="1" applyFill="1" applyBorder="1"/>
    <x:xf numFmtId="0" fontId="32" fillId="40" xfId="0" applyNumberFormat="1" applyFont="1" applyFill="1" applyBorder="0"/>
    <x:xf numFmtId="0" fontId="32" fillId="40" borderId="117" xfId="0" applyNumberFormat="1" applyFont="1" applyFill="1" applyBorder="1"/>
    <x:xf numFmtId="0" fontId="32" fillId="40" borderId="116" xfId="0" applyNumberFormat="1" applyFont="1" applyFill="1" applyBorder="1" applyAlignment="1">
      <x:alignment wrapText="1"/>
    </x:xf>
    <x:xf numFmtId="0" fontId="32" fillId="40" xfId="0" applyNumberFormat="1" applyFont="1" applyFill="1" applyBorder="0" applyAlignment="1">
      <x:alignment wrapText="1"/>
    </x:xf>
    <x:xf numFmtId="0" fontId="32" fillId="40" borderId="117" xfId="0" applyNumberFormat="1" applyFont="1" applyFill="1" applyBorder="1" applyAlignment="1">
      <x:alignment wrapText="1"/>
    </x:xf>
    <x:xf numFmtId="0" fontId="32" fillId="40" borderId="116" xfId="0" applyNumberFormat="1" applyFont="1" applyFill="1" applyBorder="1" applyAlignment="1">
      <x:alignment horizontal="center" wrapText="1"/>
    </x:xf>
    <x:xf numFmtId="0" fontId="32" fillId="40" xfId="0" applyNumberFormat="1" applyFont="1" applyFill="1" applyBorder="0" applyAlignment="1">
      <x:alignment horizontal="center" wrapText="1"/>
    </x:xf>
    <x:xf numFmtId="0" fontId="32" fillId="40" borderId="117" xfId="0" applyNumberFormat="1" applyFont="1" applyFill="1" applyBorder="1" applyAlignment="1">
      <x:alignment horizontal="center" wrapText="1"/>
    </x:xf>
    <x:xf numFmtId="0" fontId="32" fillId="40" borderId="116" xfId="0" applyNumberFormat="1" applyFont="1" applyFill="1" applyBorder="1" applyAlignment="1">
      <x:alignment horizontal="center" vertical="center" wrapText="1"/>
    </x:xf>
    <x:xf numFmtId="0" fontId="32" fillId="40" xfId="0" applyNumberFormat="1" applyFont="1" applyFill="1" applyBorder="0" applyAlignment="1">
      <x:alignment horizontal="center" vertical="center" wrapText="1"/>
    </x:xf>
    <x:xf numFmtId="0" fontId="32" fillId="40" borderId="117" xfId="0" applyNumberFormat="1" applyFont="1" applyFill="1" applyBorder="1" applyAlignment="1">
      <x:alignment horizontal="center" vertical="center" wrapText="1"/>
    </x:xf>
    <x:xf numFmtId="0" fontId="38" fillId="36" borderId="0" xfId="0" applyNumberFormat="1" applyFont="1" applyFill="1" applyBorder="1"/>
    <x:xf numFmtId="0" fontId="33" fillId="0" borderId="0" xfId="0" applyNumberFormat="1" applyFont="1" applyFill="1" applyBorder="1" applyAlignment="1">
      <x:alignment wrapText="1"/>
    </x:xf>
    <x:xf numFmtId="0" fontId="34" fillId="36" borderId="118" xfId="0" applyNumberFormat="1" applyFont="1" applyFill="1" applyBorder="1" applyAlignment="1">
      <x:alignment wrapText="1"/>
    </x:xf>
    <x:xf numFmtId="0" fontId="34" fillId="36" borderId="119" xfId="0" applyNumberFormat="1" applyFont="1" applyFill="1" applyBorder="1" applyAlignment="1">
      <x:alignment wrapText="1"/>
    </x:xf>
    <x:xf numFmtId="0" fontId="34" fillId="36" borderId="120" xfId="0" applyNumberFormat="1" applyFont="1" applyFill="1" applyBorder="1" applyAlignment="1">
      <x:alignment wrapText="1"/>
    </x:xf>
    <x:xf numFmtId="0" fontId="0" fillId="0" borderId="118" xfId="0" applyNumberFormat="1" applyFont="1" applyFill="1" applyBorder="1" applyAlignment="1">
      <x:alignment wrapText="1"/>
    </x:xf>
    <x:xf numFmtId="0" fontId="0" fillId="0" borderId="119" xfId="0" applyNumberFormat="1" applyFont="1" applyFill="1" applyBorder="1" applyAlignment="1">
      <x:alignment wrapText="1"/>
    </x:xf>
    <x:xf numFmtId="0" fontId="0" fillId="0" borderId="120" xfId="0" applyNumberFormat="1" applyFont="1" applyFill="1" applyBorder="1" applyAlignment="1">
      <x:alignment wrapText="1"/>
    </x:xf>
    <x:xf numFmtId="0" fontId="21" fillId="36" borderId="0" xfId="0" applyNumberFormat="1" applyFont="1" applyFill="1" applyBorder="1"/>
    <x:xf numFmtId="0" fontId="35" fillId="41" borderId="121" xfId="0" applyNumberFormat="1" applyFont="1" applyFill="1" applyBorder="1" applyAlignment="1">
      <x:alignment vertical="top" wrapText="1"/>
    </x:xf>
    <x:xf numFmtId="0" fontId="35" fillId="41" borderId="119" xfId="0" applyNumberFormat="1" applyFont="1" applyFill="1" applyBorder="1" applyAlignment="1">
      <x:alignment vertical="top" wrapText="1"/>
    </x:xf>
    <x:xf numFmtId="0" fontId="35" fillId="41" borderId="120" xfId="0" applyNumberFormat="1" applyFont="1" applyFill="1" applyBorder="1" applyAlignment="1">
      <x:alignment vertical="top" wrapText="1"/>
    </x:xf>
    <x:xf numFmtId="0" fontId="0" fillId="38" borderId="0" xfId="0" applyNumberFormat="1" applyFont="1" applyFill="1" applyBorder="1" applyAlignment="1">
      <x:alignment wrapText="1"/>
    </x:xf>
    <x:xf numFmtId="0" fontId="35" fillId="38" borderId="107" xfId="0" applyNumberFormat="1" applyFont="1" applyFill="1" applyBorder="1" applyAlignment="1">
      <x:alignment vertical="top" wrapText="1"/>
    </x:xf>
    <x:xf numFmtId="0" fontId="35" fillId="38" borderId="102" xfId="0" applyNumberFormat="1" applyFont="1" applyFill="1" applyBorder="1" applyAlignment="1">
      <x:alignment vertical="top" wrapText="1"/>
    </x:xf>
    <x:xf numFmtId="0" fontId="35" fillId="38" borderId="108" xfId="0" applyNumberFormat="1" applyFont="1" applyFill="1" applyBorder="1" applyAlignment="1">
      <x:alignment vertical="top" wrapText="1"/>
    </x:xf>
    <x:xf numFmtId="0" fontId="21" fillId="38" borderId="0" xfId="0" applyNumberFormat="1" applyFont="1" applyFill="1" applyBorder="1" applyAlignment="1">
      <x:alignment wrapText="1"/>
    </x:xf>
    <x:xf numFmtId="0" fontId="21" fillId="38" borderId="107" xfId="0" applyNumberFormat="1" applyFont="1" applyFill="1" applyBorder="1" applyAlignment="1">
      <x:alignment vertical="top" wrapText="1"/>
    </x:xf>
    <x:xf numFmtId="0" fontId="21" fillId="38" borderId="102" xfId="0" applyNumberFormat="1" applyFont="1" applyFill="1" applyBorder="1" applyAlignment="1">
      <x:alignment vertical="top" wrapText="1"/>
    </x:xf>
    <x:xf numFmtId="0" fontId="21" fillId="38" borderId="108" xfId="0" applyNumberFormat="1" applyFont="1" applyFill="1" applyBorder="1" applyAlignment="1">
      <x:alignment vertical="top" wrapText="1"/>
    </x:xf>
    <x:xf numFmtId="0" fontId="31" fillId="14" borderId="0" xfId="0" applyNumberFormat="1" applyFont="1" applyFill="1" applyBorder="1"/>
    <x:xf numFmtId="0" fontId="31" fillId="14" borderId="0" xfId="0" applyNumberFormat="1" applyFont="1" applyFill="1" applyBorder="1" applyAlignment="1">
      <x:alignment vertical="center"/>
    </x:xf>
    <x:xf numFmtId="0" fontId="21" fillId="5" borderId="0" xfId="0" applyNumberFormat="1" applyFont="1" applyFill="1" applyBorder="1"/>
    <x:xf numFmtId="0" fontId="21" fillId="5" borderId="0" xfId="0" applyNumberFormat="1" applyFont="1" applyFill="1" applyBorder="1" applyAlignment="1">
      <x:alignment vertical="center"/>
    </x:xf>
    <x:xf numFmtId="0" fontId="32" fillId="14" borderId="0" xfId="0" applyNumberFormat="1" applyFont="1" applyFill="1" applyBorder="1"/>
    <x:xf numFmtId="0" fontId="32" fillId="14" borderId="0" xfId="0" applyNumberFormat="1" applyFont="1" applyFill="1" applyBorder="1" applyAlignment="1">
      <x:alignment wrapText="1"/>
    </x:xf>
    <x:xf numFmtId="0" fontId="32" fillId="14" borderId="0" xfId="0" applyNumberFormat="1" applyFont="1" applyFill="1" applyBorder="1" applyAlignment="1">
      <x:alignment horizontal="center" wrapText="1"/>
    </x:xf>
    <x:xf numFmtId="0" fontId="32" fillId="14" borderId="0" xfId="0" applyNumberFormat="1" applyFont="1" applyFill="1" applyBorder="1" applyAlignment="1">
      <x:alignment horizontal="center" vertical="center" wrapText="1"/>
    </x:xf>
    <x:xf numFmtId="0" fontId="32" fillId="35" borderId="0" xfId="0" applyNumberFormat="1" applyFont="1" applyFill="1" applyBorder="1"/>
    <x:xf numFmtId="0" fontId="32" fillId="35" borderId="0" xfId="0" applyNumberFormat="1" applyFont="1" applyFill="1" applyBorder="1" applyAlignment="1">
      <x:alignment wrapText="1"/>
    </x:xf>
    <x:xf numFmtId="0" fontId="32" fillId="35" borderId="0" xfId="0" applyNumberFormat="1" applyFont="1" applyFill="1" applyBorder="1" applyAlignment="1">
      <x:alignment horizontal="center" wrapText="1"/>
    </x:xf>
    <x:xf numFmtId="0" fontId="32" fillId="35" borderId="0" xfId="0" applyNumberFormat="1" applyFont="1" applyFill="1" applyBorder="1" applyAlignment="1">
      <x:alignment horizontal="center" vertical="center" wrapText="1"/>
    </x:xf>
    <x:xf numFmtId="0" fontId="32" fillId="40" borderId="0" xfId="0" applyNumberFormat="1" applyFont="1" applyFill="1" applyBorder="1" applyAlignment="1">
      <x:alignment wrapText="1"/>
    </x:xf>
    <x:xf numFmtId="0" fontId="32" fillId="40" borderId="0" xfId="0" applyNumberFormat="1" applyFont="1" applyFill="1" applyBorder="1" applyAlignment="1">
      <x:alignment horizontal="center" wrapText="1"/>
    </x:xf>
    <x:xf numFmtId="0" fontId="32" fillId="40" borderId="0" xfId="0" applyNumberFormat="1" applyFont="1" applyFill="1" applyBorder="1" applyAlignment="1">
      <x:alignment horizontal="center" vertical="center" wrapText="1"/>
    </x:xf>
    <x:xf numFmtId="0" fontId="32" fillId="14" xfId="0" applyNumberFormat="1" applyFont="1" applyFill="1" applyBorder="0"/>
    <x:xf numFmtId="0" fontId="32" fillId="14" xfId="0" applyNumberFormat="1" applyFont="1" applyFill="1" applyBorder="0" applyAlignment="1">
      <x:alignment wrapText="1"/>
    </x:xf>
    <x:xf numFmtId="0" fontId="32" fillId="14" xfId="0" applyNumberFormat="1" applyFont="1" applyFill="1" applyBorder="0" applyAlignment="1">
      <x:alignment horizontal="center" wrapText="1"/>
    </x:xf>
    <x:xf numFmtId="0" fontId="32" fillId="14" xfId="0" applyNumberFormat="1" applyFont="1" applyFill="1" applyBorder="0" applyAlignment="1">
      <x:alignment horizontal="center" vertical="center" wrapText="1"/>
    </x:xf>
    <x:xf numFmtId="0" fontId="32" fillId="23" borderId="0" xfId="0" applyNumberFormat="1" applyFont="1" applyFill="1" applyBorder="1"/>
    <x:xf numFmtId="0" fontId="32" fillId="23" xfId="0" applyNumberFormat="1" applyFont="1" applyFill="1" applyBorder="0"/>
    <x:xf numFmtId="0" fontId="32" fillId="23" borderId="0" xfId="0" applyNumberFormat="1" applyFont="1" applyFill="1" applyBorder="1" applyAlignment="1">
      <x:alignment wrapText="1"/>
    </x:xf>
    <x:xf numFmtId="0" fontId="32" fillId="23" xfId="0" applyNumberFormat="1" applyFont="1" applyFill="1" applyBorder="0" applyAlignment="1">
      <x:alignment wrapText="1"/>
    </x:xf>
    <x:xf numFmtId="0" fontId="32" fillId="23" borderId="0" xfId="0" applyNumberFormat="1" applyFont="1" applyFill="1" applyBorder="1" applyAlignment="1">
      <x:alignment horizontal="center" wrapText="1"/>
    </x:xf>
    <x:xf numFmtId="0" fontId="32" fillId="23" xfId="0" applyNumberFormat="1" applyFont="1" applyFill="1" applyBorder="0" applyAlignment="1">
      <x:alignment horizontal="center" wrapText="1"/>
    </x:xf>
    <x:xf numFmtId="0" fontId="32" fillId="23" borderId="0" xfId="0" applyNumberFormat="1" applyFont="1" applyFill="1" applyBorder="1" applyAlignment="1">
      <x:alignment horizontal="center" vertical="center" wrapText="1"/>
    </x:xf>
    <x:xf numFmtId="0" fontId="32" fillId="23" xfId="0" applyNumberFormat="1" applyFont="1" applyFill="1" applyBorder="0" applyAlignment="1">
      <x:alignment horizontal="center" vertical="center" wrapText="1"/>
    </x:xf>
    <x:xf numFmtId="0" fontId="35" fillId="23" borderId="0" xfId="0" applyNumberFormat="1" applyFont="1" applyFill="1" applyBorder="1"/>
    <x:xf numFmtId="0" fontId="35" fillId="23" xfId="0" applyNumberFormat="1" applyFont="1" applyFill="1" applyBorder="0"/>
    <x:xf numFmtId="0" fontId="35" fillId="23" borderId="0" xfId="0" applyNumberFormat="1" applyFont="1" applyFill="1" applyBorder="1" applyAlignment="1">
      <x:alignment wrapText="1"/>
    </x:xf>
    <x:xf numFmtId="0" fontId="35" fillId="23" xfId="0" applyNumberFormat="1" applyFont="1" applyFill="1" applyBorder="0" applyAlignment="1">
      <x:alignment wrapText="1"/>
    </x:xf>
    <x:xf numFmtId="0" fontId="35" fillId="23" borderId="0" xfId="0" applyNumberFormat="1" applyFont="1" applyFill="1" applyBorder="1" applyAlignment="1">
      <x:alignment vertical="top" wrapText="1"/>
    </x:xf>
    <x:xf numFmtId="0" fontId="35" fillId="23" xfId="0" applyNumberFormat="1" applyFont="1" applyFill="1" applyBorder="0" applyAlignment="1">
      <x:alignment vertical="top" wrapText="1"/>
    </x:xf>
    <x:xf numFmtId="0" fontId="36" fillId="14" borderId="0" xfId="0" applyNumberFormat="1" applyFont="1" applyFill="1" applyBorder="1"/>
    <x:xf numFmtId="0" fontId="37" fillId="5" borderId="0" xfId="0" applyNumberFormat="1" applyFont="1" applyFill="1" applyBorder="1"/>
    <x:xf numFmtId="0" fontId="37" fillId="5" borderId="0" xfId="0" applyNumberFormat="1" applyFont="1" applyFill="1" applyBorder="1" applyAlignment="1">
      <x:alignment wrapText="1"/>
    </x:xf>
    <x:xf numFmtId="0" fontId="32" fillId="35" xfId="0" applyNumberFormat="1" applyFont="1" applyFill="1" applyBorder="0"/>
    <x:xf numFmtId="0" fontId="32" fillId="35" xfId="0" applyNumberFormat="1" applyFont="1" applyFill="1" applyBorder="0" applyAlignment="1">
      <x:alignment wrapText="1"/>
    </x:xf>
    <x:xf numFmtId="0" fontId="32" fillId="35" xfId="0" applyNumberFormat="1" applyFont="1" applyFill="1" applyBorder="0" applyAlignment="1">
      <x:alignment horizontal="center" wrapText="1"/>
    </x:xf>
    <x:xf numFmtId="0" fontId="32" fillId="35" xfId="0" applyNumberFormat="1" applyFont="1" applyFill="1" applyBorder="0" applyAlignment="1">
      <x:alignment horizontal="center" vertical="center" wrapText="1"/>
    </x:xf>
    <x:xf numFmtId="0" fontId="0" fillId="5" borderId="0" xfId="0" applyNumberFormat="1" applyFont="1" applyFill="1" applyBorder="1" applyAlignment="1">
      <x:alignment wrapText="1"/>
    </x:xf>
    <x:xf numFmtId="0" fontId="35" fillId="5" borderId="0" xfId="0" applyNumberFormat="1" applyFont="1" applyFill="1" applyBorder="1" applyAlignment="1">
      <x:alignment vertical="top" wrapText="1"/>
    </x:xf>
    <x:xf numFmtId="0" fontId="21" fillId="5" borderId="0" xfId="0" applyNumberFormat="1" applyFont="1" applyFill="1" applyBorder="1" applyAlignment="1">
      <x:alignment wrapText="1"/>
    </x:xf>
    <x:xf numFmtId="0" fontId="21" fillId="5" borderId="0" xfId="0" applyNumberFormat="1" applyFont="1" applyFill="1" applyBorder="1" applyAlignment="1">
      <x:alignment vertical="top" wrapText="1"/>
    </x:xf>
    <x:xf numFmtId="0" fontId="0" fillId="42" borderId="0" xfId="0" applyNumberFormat="1" applyFont="1" applyFill="1" applyBorder="1"/>
    <x:xf numFmtId="0" fontId="30" fillId="42" borderId="0" xfId="0" applyNumberFormat="1" applyFont="1" applyFill="1" applyBorder="1"/>
    <x:xf numFmtId="0" fontId="30" fillId="42" borderId="0" xfId="0" applyNumberFormat="1" applyFont="1" applyFill="1" applyBorder="1" applyAlignment="1">
      <x:alignment wrapText="1"/>
    </x:xf>
    <x:xf numFmtId="0" fontId="0" fillId="43" borderId="0" xfId="0" applyNumberFormat="1" applyFont="1" applyFill="1" applyBorder="1"/>
    <x:xf numFmtId="0" fontId="31" fillId="43" borderId="0" xfId="0" applyNumberFormat="1" applyFont="1" applyFill="1" applyBorder="1"/>
    <x:xf numFmtId="0" fontId="31" fillId="43" borderId="122" xfId="0" applyNumberFormat="1" applyFont="1" applyFill="1" applyBorder="1"/>
    <x:xf numFmtId="0" fontId="31" fillId="43" borderId="122" xfId="0" applyNumberFormat="1" applyFont="1" applyFill="1" applyBorder="1" applyAlignment="1">
      <x:alignment vertical="center"/>
    </x:xf>
    <x:xf numFmtId="0" fontId="20" fillId="42" borderId="0" xfId="0" applyNumberFormat="1" applyFont="1" applyFill="1" applyBorder="1"/>
    <x:xf numFmtId="0" fontId="20" fillId="42" borderId="0" xfId="0" applyNumberFormat="1" applyFont="1" applyFill="1" applyBorder="1" applyAlignment="1">
      <x:alignment wrapText="1"/>
    </x:xf>
    <x:xf numFmtId="0" fontId="0" fillId="44" borderId="0" xfId="0" applyNumberFormat="1" applyFont="1" applyFill="1" applyBorder="1"/>
    <x:xf numFmtId="0" fontId="21" fillId="44" borderId="0" xfId="0" applyNumberFormat="1" applyFont="1" applyFill="1" applyBorder="1"/>
    <x:xf numFmtId="0" fontId="0" fillId="45" borderId="0" xfId="0" applyNumberFormat="1" applyFont="1" applyFill="1" applyBorder="1"/>
    <x:xf numFmtId="0" fontId="32" fillId="45" borderId="0" xfId="0" applyNumberFormat="1" applyFont="1" applyFill="1" applyBorder="1"/>
    <x:xf numFmtId="0" fontId="32" fillId="45" borderId="123" xfId="0" applyNumberFormat="1" applyFont="1" applyFill="1" applyBorder="1"/>
    <x:xf numFmtId="0" fontId="32" fillId="45" borderId="124" xfId="0" applyNumberFormat="1" applyFont="1" applyFill="1" applyBorder="1"/>
    <x:xf numFmtId="0" fontId="32" fillId="45" borderId="125" xfId="0" applyNumberFormat="1" applyFont="1" applyFill="1" applyBorder="1"/>
    <x:xf numFmtId="0" fontId="32" fillId="45" borderId="126" xfId="0" applyNumberFormat="1" applyFont="1" applyFill="1" applyBorder="1"/>
    <x:xf numFmtId="0" fontId="32" fillId="45" xfId="0" applyNumberFormat="1" applyFont="1" applyFill="1" applyBorder="0"/>
    <x:xf numFmtId="0" fontId="32" fillId="45" borderId="127" xfId="0" applyNumberFormat="1" applyFont="1" applyFill="1" applyBorder="1"/>
    <x:xf numFmtId="0" fontId="32" fillId="45" borderId="128" xfId="0" applyNumberFormat="1" applyFont="1" applyFill="1" applyBorder="1"/>
    <x:xf numFmtId="0" fontId="32" fillId="45" borderId="122" xfId="0" applyNumberFormat="1" applyFont="1" applyFill="1" applyBorder="1"/>
    <x:xf numFmtId="0" fontId="32" fillId="45" borderId="129" xfId="0" applyNumberFormat="1" applyFont="1" applyFill="1" applyBorder="1"/>
    <x:xf numFmtId="0" fontId="32" fillId="45" borderId="123" xfId="0" applyNumberFormat="1" applyFont="1" applyFill="1" applyBorder="1" applyAlignment="1">
      <x:alignment wrapText="1"/>
    </x:xf>
    <x:xf numFmtId="0" fontId="32" fillId="45" borderId="124" xfId="0" applyNumberFormat="1" applyFont="1" applyFill="1" applyBorder="1" applyAlignment="1">
      <x:alignment wrapText="1"/>
    </x:xf>
    <x:xf numFmtId="0" fontId="32" fillId="45" borderId="125" xfId="0" applyNumberFormat="1" applyFont="1" applyFill="1" applyBorder="1" applyAlignment="1">
      <x:alignment wrapText="1"/>
    </x:xf>
    <x:xf numFmtId="0" fontId="32" fillId="45" borderId="126" xfId="0" applyNumberFormat="1" applyFont="1" applyFill="1" applyBorder="1" applyAlignment="1">
      <x:alignment wrapText="1"/>
    </x:xf>
    <x:xf numFmtId="0" fontId="32" fillId="45" xfId="0" applyNumberFormat="1" applyFont="1" applyFill="1" applyBorder="0" applyAlignment="1">
      <x:alignment wrapText="1"/>
    </x:xf>
    <x:xf numFmtId="0" fontId="32" fillId="45" borderId="127" xfId="0" applyNumberFormat="1" applyFont="1" applyFill="1" applyBorder="1" applyAlignment="1">
      <x:alignment wrapText="1"/>
    </x:xf>
    <x:xf numFmtId="0" fontId="32" fillId="45" borderId="128" xfId="0" applyNumberFormat="1" applyFont="1" applyFill="1" applyBorder="1" applyAlignment="1">
      <x:alignment wrapText="1"/>
    </x:xf>
    <x:xf numFmtId="0" fontId="32" fillId="45" borderId="122" xfId="0" applyNumberFormat="1" applyFont="1" applyFill="1" applyBorder="1" applyAlignment="1">
      <x:alignment wrapText="1"/>
    </x:xf>
    <x:xf numFmtId="0" fontId="32" fillId="45" borderId="129" xfId="0" applyNumberFormat="1" applyFont="1" applyFill="1" applyBorder="1" applyAlignment="1">
      <x:alignment wrapText="1"/>
    </x:xf>
    <x:xf numFmtId="0" fontId="32" fillId="45" borderId="123" xfId="0" applyNumberFormat="1" applyFont="1" applyFill="1" applyBorder="1" applyAlignment="1">
      <x:alignment horizontal="center" wrapText="1"/>
    </x:xf>
    <x:xf numFmtId="0" fontId="32" fillId="45" borderId="124" xfId="0" applyNumberFormat="1" applyFont="1" applyFill="1" applyBorder="1" applyAlignment="1">
      <x:alignment horizontal="center" wrapText="1"/>
    </x:xf>
    <x:xf numFmtId="0" fontId="32" fillId="45" borderId="125" xfId="0" applyNumberFormat="1" applyFont="1" applyFill="1" applyBorder="1" applyAlignment="1">
      <x:alignment horizontal="center" wrapText="1"/>
    </x:xf>
    <x:xf numFmtId="0" fontId="32" fillId="45" borderId="126" xfId="0" applyNumberFormat="1" applyFont="1" applyFill="1" applyBorder="1" applyAlignment="1">
      <x:alignment horizontal="center" wrapText="1"/>
    </x:xf>
    <x:xf numFmtId="0" fontId="32" fillId="45" xfId="0" applyNumberFormat="1" applyFont="1" applyFill="1" applyBorder="0" applyAlignment="1">
      <x:alignment horizontal="center" wrapText="1"/>
    </x:xf>
    <x:xf numFmtId="0" fontId="32" fillId="45" borderId="127" xfId="0" applyNumberFormat="1" applyFont="1" applyFill="1" applyBorder="1" applyAlignment="1">
      <x:alignment horizontal="center" wrapText="1"/>
    </x:xf>
    <x:xf numFmtId="0" fontId="32" fillId="45" borderId="128" xfId="0" applyNumberFormat="1" applyFont="1" applyFill="1" applyBorder="1" applyAlignment="1">
      <x:alignment horizontal="center" wrapText="1"/>
    </x:xf>
    <x:xf numFmtId="0" fontId="32" fillId="45" borderId="122" xfId="0" applyNumberFormat="1" applyFont="1" applyFill="1" applyBorder="1" applyAlignment="1">
      <x:alignment horizontal="center" wrapText="1"/>
    </x:xf>
    <x:xf numFmtId="0" fontId="32" fillId="45" borderId="129" xfId="0" applyNumberFormat="1" applyFont="1" applyFill="1" applyBorder="1" applyAlignment="1">
      <x:alignment horizontal="center" wrapText="1"/>
    </x:xf>
    <x:xf numFmtId="0" fontId="32" fillId="45" borderId="123" xfId="0" applyNumberFormat="1" applyFont="1" applyFill="1" applyBorder="1" applyAlignment="1">
      <x:alignment horizontal="center" vertical="center" wrapText="1"/>
    </x:xf>
    <x:xf numFmtId="0" fontId="32" fillId="45" borderId="124" xfId="0" applyNumberFormat="1" applyFont="1" applyFill="1" applyBorder="1" applyAlignment="1">
      <x:alignment horizontal="center" vertical="center" wrapText="1"/>
    </x:xf>
    <x:xf numFmtId="0" fontId="32" fillId="45" borderId="125" xfId="0" applyNumberFormat="1" applyFont="1" applyFill="1" applyBorder="1" applyAlignment="1">
      <x:alignment horizontal="center" vertical="center" wrapText="1"/>
    </x:xf>
    <x:xf numFmtId="0" fontId="32" fillId="45" borderId="126" xfId="0" applyNumberFormat="1" applyFont="1" applyFill="1" applyBorder="1" applyAlignment="1">
      <x:alignment horizontal="center" vertical="center" wrapText="1"/>
    </x:xf>
    <x:xf numFmtId="0" fontId="32" fillId="45" xfId="0" applyNumberFormat="1" applyFont="1" applyFill="1" applyBorder="0" applyAlignment="1">
      <x:alignment horizontal="center" vertical="center" wrapText="1"/>
    </x:xf>
    <x:xf numFmtId="0" fontId="32" fillId="45" borderId="127" xfId="0" applyNumberFormat="1" applyFont="1" applyFill="1" applyBorder="1" applyAlignment="1">
      <x:alignment horizontal="center" vertical="center" wrapText="1"/>
    </x:xf>
    <x:xf numFmtId="0" fontId="32" fillId="45" borderId="128" xfId="0" applyNumberFormat="1" applyFont="1" applyFill="1" applyBorder="1" applyAlignment="1">
      <x:alignment horizontal="center" vertical="center" wrapText="1"/>
    </x:xf>
    <x:xf numFmtId="0" fontId="32" fillId="45" borderId="122" xfId="0" applyNumberFormat="1" applyFont="1" applyFill="1" applyBorder="1" applyAlignment="1">
      <x:alignment horizontal="center" vertical="center" wrapText="1"/>
    </x:xf>
    <x:xf numFmtId="0" fontId="32" fillId="45" borderId="129" xfId="0" applyNumberFormat="1" applyFont="1" applyFill="1" applyBorder="1" applyAlignment="1">
      <x:alignment horizontal="center" vertical="center" wrapText="1"/>
    </x:xf>
    <x:xf numFmtId="0" fontId="32" fillId="43" borderId="0" xfId="0" applyNumberFormat="1" applyFont="1" applyFill="1" applyBorder="1"/>
    <x:xf numFmtId="0" fontId="32" fillId="43" borderId="123" xfId="0" applyNumberFormat="1" applyFont="1" applyFill="1" applyBorder="1"/>
    <x:xf numFmtId="0" fontId="32" fillId="43" borderId="124" xfId="0" applyNumberFormat="1" applyFont="1" applyFill="1" applyBorder="1"/>
    <x:xf numFmtId="0" fontId="32" fillId="43" borderId="125" xfId="0" applyNumberFormat="1" applyFont="1" applyFill="1" applyBorder="1"/>
    <x:xf numFmtId="0" fontId="32" fillId="43" borderId="126" xfId="0" applyNumberFormat="1" applyFont="1" applyFill="1" applyBorder="1"/>
    <x:xf numFmtId="0" fontId="32" fillId="43" xfId="0" applyNumberFormat="1" applyFont="1" applyFill="1" applyBorder="0"/>
    <x:xf numFmtId="0" fontId="32" fillId="43" borderId="127" xfId="0" applyNumberFormat="1" applyFont="1" applyFill="1" applyBorder="1"/>
    <x:xf numFmtId="0" fontId="32" fillId="43" borderId="128" xfId="0" applyNumberFormat="1" applyFont="1" applyFill="1" applyBorder="1"/>
    <x:xf numFmtId="0" fontId="32" fillId="43" borderId="122" xfId="0" applyNumberFormat="1" applyFont="1" applyFill="1" applyBorder="1"/>
    <x:xf numFmtId="0" fontId="32" fillId="43" borderId="129" xfId="0" applyNumberFormat="1" applyFont="1" applyFill="1" applyBorder="1"/>
    <x:xf numFmtId="0" fontId="32" fillId="43" borderId="123" xfId="0" applyNumberFormat="1" applyFont="1" applyFill="1" applyBorder="1" applyAlignment="1">
      <x:alignment wrapText="1"/>
    </x:xf>
    <x:xf numFmtId="0" fontId="32" fillId="43" borderId="124" xfId="0" applyNumberFormat="1" applyFont="1" applyFill="1" applyBorder="1" applyAlignment="1">
      <x:alignment wrapText="1"/>
    </x:xf>
    <x:xf numFmtId="0" fontId="32" fillId="43" borderId="125" xfId="0" applyNumberFormat="1" applyFont="1" applyFill="1" applyBorder="1" applyAlignment="1">
      <x:alignment wrapText="1"/>
    </x:xf>
    <x:xf numFmtId="0" fontId="32" fillId="43" borderId="126" xfId="0" applyNumberFormat="1" applyFont="1" applyFill="1" applyBorder="1" applyAlignment="1">
      <x:alignment wrapText="1"/>
    </x:xf>
    <x:xf numFmtId="0" fontId="32" fillId="43" xfId="0" applyNumberFormat="1" applyFont="1" applyFill="1" applyBorder="0" applyAlignment="1">
      <x:alignment wrapText="1"/>
    </x:xf>
    <x:xf numFmtId="0" fontId="32" fillId="43" borderId="127" xfId="0" applyNumberFormat="1" applyFont="1" applyFill="1" applyBorder="1" applyAlignment="1">
      <x:alignment wrapText="1"/>
    </x:xf>
    <x:xf numFmtId="0" fontId="32" fillId="43" borderId="128" xfId="0" applyNumberFormat="1" applyFont="1" applyFill="1" applyBorder="1" applyAlignment="1">
      <x:alignment wrapText="1"/>
    </x:xf>
    <x:xf numFmtId="0" fontId="32" fillId="43" borderId="122" xfId="0" applyNumberFormat="1" applyFont="1" applyFill="1" applyBorder="1" applyAlignment="1">
      <x:alignment wrapText="1"/>
    </x:xf>
    <x:xf numFmtId="0" fontId="32" fillId="43" borderId="129" xfId="0" applyNumberFormat="1" applyFont="1" applyFill="1" applyBorder="1" applyAlignment="1">
      <x:alignment wrapText="1"/>
    </x:xf>
    <x:xf numFmtId="0" fontId="32" fillId="43" borderId="123" xfId="0" applyNumberFormat="1" applyFont="1" applyFill="1" applyBorder="1" applyAlignment="1">
      <x:alignment horizontal="center" wrapText="1"/>
    </x:xf>
    <x:xf numFmtId="0" fontId="32" fillId="43" borderId="124" xfId="0" applyNumberFormat="1" applyFont="1" applyFill="1" applyBorder="1" applyAlignment="1">
      <x:alignment horizontal="center" wrapText="1"/>
    </x:xf>
    <x:xf numFmtId="0" fontId="32" fillId="43" borderId="125" xfId="0" applyNumberFormat="1" applyFont="1" applyFill="1" applyBorder="1" applyAlignment="1">
      <x:alignment horizontal="center" wrapText="1"/>
    </x:xf>
    <x:xf numFmtId="0" fontId="32" fillId="43" borderId="126" xfId="0" applyNumberFormat="1" applyFont="1" applyFill="1" applyBorder="1" applyAlignment="1">
      <x:alignment horizontal="center" wrapText="1"/>
    </x:xf>
    <x:xf numFmtId="0" fontId="32" fillId="43" xfId="0" applyNumberFormat="1" applyFont="1" applyFill="1" applyBorder="0" applyAlignment="1">
      <x:alignment horizontal="center" wrapText="1"/>
    </x:xf>
    <x:xf numFmtId="0" fontId="32" fillId="43" borderId="127" xfId="0" applyNumberFormat="1" applyFont="1" applyFill="1" applyBorder="1" applyAlignment="1">
      <x:alignment horizontal="center" wrapText="1"/>
    </x:xf>
    <x:xf numFmtId="0" fontId="32" fillId="43" borderId="128" xfId="0" applyNumberFormat="1" applyFont="1" applyFill="1" applyBorder="1" applyAlignment="1">
      <x:alignment horizontal="center" wrapText="1"/>
    </x:xf>
    <x:xf numFmtId="0" fontId="32" fillId="43" borderId="122" xfId="0" applyNumberFormat="1" applyFont="1" applyFill="1" applyBorder="1" applyAlignment="1">
      <x:alignment horizontal="center" wrapText="1"/>
    </x:xf>
    <x:xf numFmtId="0" fontId="32" fillId="43" borderId="129" xfId="0" applyNumberFormat="1" applyFont="1" applyFill="1" applyBorder="1" applyAlignment="1">
      <x:alignment horizontal="center" wrapText="1"/>
    </x:xf>
    <x:xf numFmtId="0" fontId="32" fillId="43" borderId="123" xfId="0" applyNumberFormat="1" applyFont="1" applyFill="1" applyBorder="1" applyAlignment="1">
      <x:alignment horizontal="center" vertical="center" wrapText="1"/>
    </x:xf>
    <x:xf numFmtId="0" fontId="32" fillId="43" borderId="124" xfId="0" applyNumberFormat="1" applyFont="1" applyFill="1" applyBorder="1" applyAlignment="1">
      <x:alignment horizontal="center" vertical="center" wrapText="1"/>
    </x:xf>
    <x:xf numFmtId="0" fontId="32" fillId="43" borderId="125" xfId="0" applyNumberFormat="1" applyFont="1" applyFill="1" applyBorder="1" applyAlignment="1">
      <x:alignment horizontal="center" vertical="center" wrapText="1"/>
    </x:xf>
    <x:xf numFmtId="0" fontId="32" fillId="43" borderId="126" xfId="0" applyNumberFormat="1" applyFont="1" applyFill="1" applyBorder="1" applyAlignment="1">
      <x:alignment horizontal="center" vertical="center" wrapText="1"/>
    </x:xf>
    <x:xf numFmtId="0" fontId="32" fillId="43" xfId="0" applyNumberFormat="1" applyFont="1" applyFill="1" applyBorder="0" applyAlignment="1">
      <x:alignment horizontal="center" vertical="center" wrapText="1"/>
    </x:xf>
    <x:xf numFmtId="0" fontId="32" fillId="43" borderId="127" xfId="0" applyNumberFormat="1" applyFont="1" applyFill="1" applyBorder="1" applyAlignment="1">
      <x:alignment horizontal="center" vertical="center" wrapText="1"/>
    </x:xf>
    <x:xf numFmtId="0" fontId="32" fillId="43" borderId="128" xfId="0" applyNumberFormat="1" applyFont="1" applyFill="1" applyBorder="1" applyAlignment="1">
      <x:alignment horizontal="center" vertical="center" wrapText="1"/>
    </x:xf>
    <x:xf numFmtId="0" fontId="32" fillId="43" borderId="122" xfId="0" applyNumberFormat="1" applyFont="1" applyFill="1" applyBorder="1" applyAlignment="1">
      <x:alignment horizontal="center" vertical="center" wrapText="1"/>
    </x:xf>
    <x:xf numFmtId="0" fontId="32" fillId="43" borderId="129" xfId="0" applyNumberFormat="1" applyFont="1" applyFill="1" applyBorder="1" applyAlignment="1">
      <x:alignment horizontal="center" vertical="center" wrapText="1"/>
    </x:xf>
    <x:xf numFmtId="0" fontId="0" fillId="46" borderId="0" xfId="0" applyNumberFormat="1" applyFont="1" applyFill="1" applyBorder="1"/>
    <x:xf numFmtId="0" fontId="32" fillId="46" borderId="0" xfId="0" applyNumberFormat="1" applyFont="1" applyFill="1" applyBorder="1"/>
    <x:xf numFmtId="0" fontId="32" fillId="46" borderId="130" xfId="0" applyNumberFormat="1" applyFont="1" applyFill="1" applyBorder="1"/>
    <x:xf numFmtId="0" fontId="32" fillId="46" borderId="131" xfId="0" applyNumberFormat="1" applyFont="1" applyFill="1" applyBorder="1"/>
    <x:xf numFmtId="0" fontId="32" fillId="46" borderId="132" xfId="0" applyNumberFormat="1" applyFont="1" applyFill="1" applyBorder="1"/>
    <x:xf numFmtId="0" fontId="32" fillId="46" borderId="133" xfId="0" applyNumberFormat="1" applyFont="1" applyFill="1" applyBorder="1"/>
    <x:xf numFmtId="0" fontId="32" fillId="46" xfId="0" applyNumberFormat="1" applyFont="1" applyFill="1" applyBorder="0"/>
    <x:xf numFmtId="0" fontId="32" fillId="46" borderId="134" xfId="0" applyNumberFormat="1" applyFont="1" applyFill="1" applyBorder="1"/>
    <x:xf numFmtId="0" fontId="32" fillId="46" borderId="135" xfId="0" applyNumberFormat="1" applyFont="1" applyFill="1" applyBorder="1"/>
    <x:xf numFmtId="0" fontId="32" fillId="46" borderId="136" xfId="0" applyNumberFormat="1" applyFont="1" applyFill="1" applyBorder="1"/>
    <x:xf numFmtId="0" fontId="32" fillId="46" borderId="137" xfId="0" applyNumberFormat="1" applyFont="1" applyFill="1" applyBorder="1"/>
    <x:xf numFmtId="0" fontId="32" fillId="46" borderId="130" xfId="0" applyNumberFormat="1" applyFont="1" applyFill="1" applyBorder="1" applyAlignment="1">
      <x:alignment wrapText="1"/>
    </x:xf>
    <x:xf numFmtId="0" fontId="32" fillId="46" borderId="131" xfId="0" applyNumberFormat="1" applyFont="1" applyFill="1" applyBorder="1" applyAlignment="1">
      <x:alignment wrapText="1"/>
    </x:xf>
    <x:xf numFmtId="0" fontId="32" fillId="46" borderId="132" xfId="0" applyNumberFormat="1" applyFont="1" applyFill="1" applyBorder="1" applyAlignment="1">
      <x:alignment wrapText="1"/>
    </x:xf>
    <x:xf numFmtId="0" fontId="32" fillId="46" borderId="133" xfId="0" applyNumberFormat="1" applyFont="1" applyFill="1" applyBorder="1" applyAlignment="1">
      <x:alignment wrapText="1"/>
    </x:xf>
    <x:xf numFmtId="0" fontId="32" fillId="46" xfId="0" applyNumberFormat="1" applyFont="1" applyFill="1" applyBorder="0" applyAlignment="1">
      <x:alignment wrapText="1"/>
    </x:xf>
    <x:xf numFmtId="0" fontId="32" fillId="46" borderId="134" xfId="0" applyNumberFormat="1" applyFont="1" applyFill="1" applyBorder="1" applyAlignment="1">
      <x:alignment wrapText="1"/>
    </x:xf>
    <x:xf numFmtId="0" fontId="32" fillId="46" borderId="135" xfId="0" applyNumberFormat="1" applyFont="1" applyFill="1" applyBorder="1" applyAlignment="1">
      <x:alignment wrapText="1"/>
    </x:xf>
    <x:xf numFmtId="0" fontId="32" fillId="46" borderId="136" xfId="0" applyNumberFormat="1" applyFont="1" applyFill="1" applyBorder="1" applyAlignment="1">
      <x:alignment wrapText="1"/>
    </x:xf>
    <x:xf numFmtId="0" fontId="32" fillId="46" borderId="137" xfId="0" applyNumberFormat="1" applyFont="1" applyFill="1" applyBorder="1" applyAlignment="1">
      <x:alignment wrapText="1"/>
    </x:xf>
    <x:xf numFmtId="0" fontId="32" fillId="46" borderId="130" xfId="0" applyNumberFormat="1" applyFont="1" applyFill="1" applyBorder="1" applyAlignment="1">
      <x:alignment horizontal="center" wrapText="1"/>
    </x:xf>
    <x:xf numFmtId="0" fontId="32" fillId="46" borderId="131" xfId="0" applyNumberFormat="1" applyFont="1" applyFill="1" applyBorder="1" applyAlignment="1">
      <x:alignment horizontal="center" wrapText="1"/>
    </x:xf>
    <x:xf numFmtId="0" fontId="32" fillId="46" borderId="132" xfId="0" applyNumberFormat="1" applyFont="1" applyFill="1" applyBorder="1" applyAlignment="1">
      <x:alignment horizontal="center" wrapText="1"/>
    </x:xf>
    <x:xf numFmtId="0" fontId="32" fillId="46" borderId="133" xfId="0" applyNumberFormat="1" applyFont="1" applyFill="1" applyBorder="1" applyAlignment="1">
      <x:alignment horizontal="center" wrapText="1"/>
    </x:xf>
    <x:xf numFmtId="0" fontId="32" fillId="46" xfId="0" applyNumberFormat="1" applyFont="1" applyFill="1" applyBorder="0" applyAlignment="1">
      <x:alignment horizontal="center" wrapText="1"/>
    </x:xf>
    <x:xf numFmtId="0" fontId="32" fillId="46" borderId="134" xfId="0" applyNumberFormat="1" applyFont="1" applyFill="1" applyBorder="1" applyAlignment="1">
      <x:alignment horizontal="center" wrapText="1"/>
    </x:xf>
    <x:xf numFmtId="0" fontId="32" fillId="46" borderId="135" xfId="0" applyNumberFormat="1" applyFont="1" applyFill="1" applyBorder="1" applyAlignment="1">
      <x:alignment horizontal="center" wrapText="1"/>
    </x:xf>
    <x:xf numFmtId="0" fontId="32" fillId="46" borderId="136" xfId="0" applyNumberFormat="1" applyFont="1" applyFill="1" applyBorder="1" applyAlignment="1">
      <x:alignment horizontal="center" wrapText="1"/>
    </x:xf>
    <x:xf numFmtId="0" fontId="32" fillId="46" borderId="137" xfId="0" applyNumberFormat="1" applyFont="1" applyFill="1" applyBorder="1" applyAlignment="1">
      <x:alignment horizontal="center" wrapText="1"/>
    </x:xf>
    <x:xf numFmtId="0" fontId="32" fillId="46" borderId="130" xfId="0" applyNumberFormat="1" applyFont="1" applyFill="1" applyBorder="1" applyAlignment="1">
      <x:alignment horizontal="center" vertical="center" wrapText="1"/>
    </x:xf>
    <x:xf numFmtId="0" fontId="32" fillId="46" borderId="131" xfId="0" applyNumberFormat="1" applyFont="1" applyFill="1" applyBorder="1" applyAlignment="1">
      <x:alignment horizontal="center" vertical="center" wrapText="1"/>
    </x:xf>
    <x:xf numFmtId="0" fontId="32" fillId="46" borderId="132" xfId="0" applyNumberFormat="1" applyFont="1" applyFill="1" applyBorder="1" applyAlignment="1">
      <x:alignment horizontal="center" vertical="center" wrapText="1"/>
    </x:xf>
    <x:xf numFmtId="0" fontId="32" fillId="46" borderId="133" xfId="0" applyNumberFormat="1" applyFont="1" applyFill="1" applyBorder="1" applyAlignment="1">
      <x:alignment horizontal="center" vertical="center" wrapText="1"/>
    </x:xf>
    <x:xf numFmtId="0" fontId="32" fillId="46" xfId="0" applyNumberFormat="1" applyFont="1" applyFill="1" applyBorder="0" applyAlignment="1">
      <x:alignment horizontal="center" vertical="center" wrapText="1"/>
    </x:xf>
    <x:xf numFmtId="0" fontId="32" fillId="46" borderId="134" xfId="0" applyNumberFormat="1" applyFont="1" applyFill="1" applyBorder="1" applyAlignment="1">
      <x:alignment horizontal="center" vertical="center" wrapText="1"/>
    </x:xf>
    <x:xf numFmtId="0" fontId="32" fillId="46" borderId="135" xfId="0" applyNumberFormat="1" applyFont="1" applyFill="1" applyBorder="1" applyAlignment="1">
      <x:alignment horizontal="center" vertical="center" wrapText="1"/>
    </x:xf>
    <x:xf numFmtId="0" fontId="32" fillId="46" borderId="136" xfId="0" applyNumberFormat="1" applyFont="1" applyFill="1" applyBorder="1" applyAlignment="1">
      <x:alignment horizontal="center" vertical="center" wrapText="1"/>
    </x:xf>
    <x:xf numFmtId="0" fontId="32" fillId="46" borderId="137" xfId="0" applyNumberFormat="1" applyFont="1" applyFill="1" applyBorder="1" applyAlignment="1">
      <x:alignment horizontal="center" vertical="center" wrapText="1"/>
    </x:xf>
    <x:xf numFmtId="0" fontId="35" fillId="46" borderId="0" xfId="0" applyNumberFormat="1" applyFont="1" applyFill="1" applyBorder="1"/>
    <x:xf numFmtId="0" fontId="35" fillId="46" borderId="0" xfId="0" applyNumberFormat="1" applyFont="1" applyFill="1" applyBorder="1" applyAlignment="1">
      <x:alignment wrapText="1"/>
    </x:xf>
    <x:xf numFmtId="0" fontId="35" fillId="46" borderId="0" xfId="0" applyNumberFormat="1" applyFont="1" applyFill="1" applyBorder="1" applyAlignment="1">
      <x:alignment vertical="top" wrapText="1"/>
    </x:xf>
    <x:xf numFmtId="0" fontId="0" fillId="47" borderId="0" xfId="0" applyNumberFormat="1" applyFont="1" applyFill="1" applyBorder="1"/>
    <x:xf numFmtId="0" fontId="35" fillId="47" borderId="0" xfId="0" applyNumberFormat="1" applyFont="1" applyFill="1" applyBorder="1"/>
    <x:xf numFmtId="0" fontId="35" fillId="47" borderId="0" xfId="0" applyNumberFormat="1" applyFont="1" applyFill="1" applyBorder="1" applyAlignment="1">
      <x:alignment wrapText="1"/>
    </x:xf>
    <x:xf numFmtId="0" fontId="35" fillId="47" borderId="0" xfId="0" applyNumberFormat="1" applyFont="1" applyFill="1" applyBorder="1" applyAlignment="1">
      <x:alignment vertical="top" wrapText="1"/>
    </x:xf>
    <x:xf numFmtId="0" fontId="35" fillId="42" borderId="0" xfId="0" applyNumberFormat="1" applyFont="1" applyFill="1" applyBorder="1"/>
    <x:xf numFmtId="0" fontId="35" fillId="42" borderId="0" xfId="0" applyNumberFormat="1" applyFont="1" applyFill="1" applyBorder="1" applyAlignment="1">
      <x:alignment wrapText="1"/>
    </x:xf>
    <x:xf numFmtId="0" fontId="35" fillId="42" borderId="0" xfId="0" applyNumberFormat="1" applyFont="1" applyFill="1" applyBorder="1" applyAlignment="1">
      <x:alignment vertical="center" wrapText="1"/>
    </x:xf>
    <x:xf numFmtId="0" fontId="34" fillId="42" borderId="0" xfId="0" applyNumberFormat="1" applyFont="1" applyFill="1" applyBorder="1"/>
    <x:xf numFmtId="0" fontId="34" fillId="42" borderId="0" xfId="0" applyNumberFormat="1" applyFont="1" applyFill="1" applyBorder="1" applyAlignment="1">
      <x:alignment wrapText="1"/>
    </x:xf>
    <x:xf numFmtId="0" fontId="34" fillId="42" borderId="138" xfId="0" applyNumberFormat="1" applyFont="1" applyFill="1" applyBorder="1" applyAlignment="1">
      <x:alignment wrapText="1"/>
    </x:xf>
    <x:xf numFmtId="0" fontId="34" fillId="42" borderId="139" xfId="0" applyNumberFormat="1" applyFont="1" applyFill="1" applyBorder="1" applyAlignment="1">
      <x:alignment wrapText="1"/>
    </x:xf>
    <x:xf numFmtId="0" fontId="34" fillId="42" borderId="140" xfId="0" applyNumberFormat="1" applyFont="1" applyFill="1" applyBorder="1" applyAlignment="1">
      <x:alignment wrapText="1"/>
    </x:xf>
    <x:xf numFmtId="0" fontId="0" fillId="0" borderId="138" xfId="0" applyNumberFormat="1" applyFont="1" applyFill="1" applyBorder="1" applyAlignment="1">
      <x:alignment wrapText="1"/>
    </x:xf>
    <x:xf numFmtId="0" fontId="0" fillId="0" borderId="139" xfId="0" applyNumberFormat="1" applyFont="1" applyFill="1" applyBorder="1" applyAlignment="1">
      <x:alignment wrapText="1"/>
    </x:xf>
    <x:xf numFmtId="0" fontId="0" fillId="0" borderId="140" xfId="0" applyNumberFormat="1" applyFont="1" applyFill="1" applyBorder="1" applyAlignment="1">
      <x:alignment wrapText="1"/>
    </x:xf>
    <x:xf numFmtId="0" fontId="39" fillId="47" borderId="0" xfId="0" applyNumberFormat="1" applyFont="1" applyFill="1" applyBorder="1"/>
    <x:xf numFmtId="0" fontId="39" fillId="47" borderId="130" xfId="0" applyNumberFormat="1" applyFont="1" applyFill="1" applyBorder="1"/>
    <x:xf numFmtId="0" fontId="39" fillId="47" borderId="131" xfId="0" applyNumberFormat="1" applyFont="1" applyFill="1" applyBorder="1"/>
    <x:xf numFmtId="0" fontId="39" fillId="47" borderId="132" xfId="0" applyNumberFormat="1" applyFont="1" applyFill="1" applyBorder="1"/>
    <x:xf numFmtId="0" fontId="39" fillId="47" borderId="133" xfId="0" applyNumberFormat="1" applyFont="1" applyFill="1" applyBorder="1"/>
    <x:xf numFmtId="0" fontId="39" fillId="47" xfId="0" applyNumberFormat="1" applyFont="1" applyFill="1" applyBorder="0"/>
    <x:xf numFmtId="0" fontId="39" fillId="47" borderId="134" xfId="0" applyNumberFormat="1" applyFont="1" applyFill="1" applyBorder="1"/>
    <x:xf numFmtId="0" fontId="39" fillId="47" borderId="135" xfId="0" applyNumberFormat="1" applyFont="1" applyFill="1" applyBorder="1"/>
    <x:xf numFmtId="0" fontId="39" fillId="47" borderId="136" xfId="0" applyNumberFormat="1" applyFont="1" applyFill="1" applyBorder="1"/>
    <x:xf numFmtId="0" fontId="39" fillId="47" borderId="137" xfId="0" applyNumberFormat="1" applyFont="1" applyFill="1" applyBorder="1"/>
    <x:xf numFmtId="0" fontId="39" fillId="47" borderId="130" xfId="0" applyNumberFormat="1" applyFont="1" applyFill="1" applyBorder="1" applyAlignment="1">
      <x:alignment wrapText="1"/>
    </x:xf>
    <x:xf numFmtId="0" fontId="39" fillId="47" borderId="131" xfId="0" applyNumberFormat="1" applyFont="1" applyFill="1" applyBorder="1" applyAlignment="1">
      <x:alignment wrapText="1"/>
    </x:xf>
    <x:xf numFmtId="0" fontId="39" fillId="47" borderId="132" xfId="0" applyNumberFormat="1" applyFont="1" applyFill="1" applyBorder="1" applyAlignment="1">
      <x:alignment wrapText="1"/>
    </x:xf>
    <x:xf numFmtId="0" fontId="39" fillId="47" borderId="133" xfId="0" applyNumberFormat="1" applyFont="1" applyFill="1" applyBorder="1" applyAlignment="1">
      <x:alignment wrapText="1"/>
    </x:xf>
    <x:xf numFmtId="0" fontId="39" fillId="47" xfId="0" applyNumberFormat="1" applyFont="1" applyFill="1" applyBorder="0" applyAlignment="1">
      <x:alignment wrapText="1"/>
    </x:xf>
    <x:xf numFmtId="0" fontId="39" fillId="47" borderId="134" xfId="0" applyNumberFormat="1" applyFont="1" applyFill="1" applyBorder="1" applyAlignment="1">
      <x:alignment wrapText="1"/>
    </x:xf>
    <x:xf numFmtId="0" fontId="39" fillId="47" borderId="135" xfId="0" applyNumberFormat="1" applyFont="1" applyFill="1" applyBorder="1" applyAlignment="1">
      <x:alignment wrapText="1"/>
    </x:xf>
    <x:xf numFmtId="0" fontId="39" fillId="47" borderId="136" xfId="0" applyNumberFormat="1" applyFont="1" applyFill="1" applyBorder="1" applyAlignment="1">
      <x:alignment wrapText="1"/>
    </x:xf>
    <x:xf numFmtId="0" fontId="39" fillId="47" borderId="137" xfId="0" applyNumberFormat="1" applyFont="1" applyFill="1" applyBorder="1" applyAlignment="1">
      <x:alignment wrapText="1"/>
    </x:xf>
    <x:xf numFmtId="0" fontId="39" fillId="47" borderId="130" xfId="0" applyNumberFormat="1" applyFont="1" applyFill="1" applyBorder="1" applyAlignment="1">
      <x:alignment horizontal="center" wrapText="1"/>
    </x:xf>
    <x:xf numFmtId="0" fontId="39" fillId="47" borderId="131" xfId="0" applyNumberFormat="1" applyFont="1" applyFill="1" applyBorder="1" applyAlignment="1">
      <x:alignment horizontal="center" wrapText="1"/>
    </x:xf>
    <x:xf numFmtId="0" fontId="39" fillId="47" borderId="132" xfId="0" applyNumberFormat="1" applyFont="1" applyFill="1" applyBorder="1" applyAlignment="1">
      <x:alignment horizontal="center" wrapText="1"/>
    </x:xf>
    <x:xf numFmtId="0" fontId="39" fillId="47" borderId="133" xfId="0" applyNumberFormat="1" applyFont="1" applyFill="1" applyBorder="1" applyAlignment="1">
      <x:alignment horizontal="center" wrapText="1"/>
    </x:xf>
    <x:xf numFmtId="0" fontId="39" fillId="47" xfId="0" applyNumberFormat="1" applyFont="1" applyFill="1" applyBorder="0" applyAlignment="1">
      <x:alignment horizontal="center" wrapText="1"/>
    </x:xf>
    <x:xf numFmtId="0" fontId="39" fillId="47" borderId="134" xfId="0" applyNumberFormat="1" applyFont="1" applyFill="1" applyBorder="1" applyAlignment="1">
      <x:alignment horizontal="center" wrapText="1"/>
    </x:xf>
    <x:xf numFmtId="0" fontId="39" fillId="47" borderId="135" xfId="0" applyNumberFormat="1" applyFont="1" applyFill="1" applyBorder="1" applyAlignment="1">
      <x:alignment horizontal="center" wrapText="1"/>
    </x:xf>
    <x:xf numFmtId="0" fontId="39" fillId="47" borderId="136" xfId="0" applyNumberFormat="1" applyFont="1" applyFill="1" applyBorder="1" applyAlignment="1">
      <x:alignment horizontal="center" wrapText="1"/>
    </x:xf>
    <x:xf numFmtId="0" fontId="39" fillId="47" borderId="137" xfId="0" applyNumberFormat="1" applyFont="1" applyFill="1" applyBorder="1" applyAlignment="1">
      <x:alignment horizontal="center" wrapText="1"/>
    </x:xf>
    <x:xf numFmtId="0" fontId="39" fillId="47" borderId="130" xfId="0" applyNumberFormat="1" applyFont="1" applyFill="1" applyBorder="1" applyAlignment="1">
      <x:alignment horizontal="center" vertical="center" wrapText="1"/>
    </x:xf>
    <x:xf numFmtId="0" fontId="39" fillId="47" borderId="131" xfId="0" applyNumberFormat="1" applyFont="1" applyFill="1" applyBorder="1" applyAlignment="1">
      <x:alignment horizontal="center" vertical="center" wrapText="1"/>
    </x:xf>
    <x:xf numFmtId="0" fontId="39" fillId="47" borderId="132" xfId="0" applyNumberFormat="1" applyFont="1" applyFill="1" applyBorder="1" applyAlignment="1">
      <x:alignment horizontal="center" vertical="center" wrapText="1"/>
    </x:xf>
    <x:xf numFmtId="0" fontId="39" fillId="47" borderId="133" xfId="0" applyNumberFormat="1" applyFont="1" applyFill="1" applyBorder="1" applyAlignment="1">
      <x:alignment horizontal="center" vertical="center" wrapText="1"/>
    </x:xf>
    <x:xf numFmtId="0" fontId="39" fillId="47" xfId="0" applyNumberFormat="1" applyFont="1" applyFill="1" applyBorder="0" applyAlignment="1">
      <x:alignment horizontal="center" vertical="center" wrapText="1"/>
    </x:xf>
    <x:xf numFmtId="0" fontId="39" fillId="47" borderId="134" xfId="0" applyNumberFormat="1" applyFont="1" applyFill="1" applyBorder="1" applyAlignment="1">
      <x:alignment horizontal="center" vertical="center" wrapText="1"/>
    </x:xf>
    <x:xf numFmtId="0" fontId="39" fillId="47" borderId="135" xfId="0" applyNumberFormat="1" applyFont="1" applyFill="1" applyBorder="1" applyAlignment="1">
      <x:alignment horizontal="center" vertical="center" wrapText="1"/>
    </x:xf>
    <x:xf numFmtId="0" fontId="39" fillId="47" borderId="136" xfId="0" applyNumberFormat="1" applyFont="1" applyFill="1" applyBorder="1" applyAlignment="1">
      <x:alignment horizontal="center" vertical="center" wrapText="1"/>
    </x:xf>
    <x:xf numFmtId="0" fontId="39" fillId="47" borderId="137" xfId="0" applyNumberFormat="1" applyFont="1" applyFill="1" applyBorder="1" applyAlignment="1">
      <x:alignment horizontal="center" vertical="center" wrapText="1"/>
    </x:xf>
    <x:xf numFmtId="0" fontId="32" fillId="47" borderId="0" xfId="0" applyNumberFormat="1" applyFont="1" applyFill="1" applyBorder="1"/>
    <x:xf numFmtId="0" fontId="32" fillId="47" borderId="130" xfId="0" applyNumberFormat="1" applyFont="1" applyFill="1" applyBorder="1"/>
    <x:xf numFmtId="0" fontId="32" fillId="47" borderId="132" xfId="0" applyNumberFormat="1" applyFont="1" applyFill="1" applyBorder="1"/>
    <x:xf numFmtId="0" fontId="32" fillId="47" borderId="133" xfId="0" applyNumberFormat="1" applyFont="1" applyFill="1" applyBorder="1"/>
    <x:xf numFmtId="0" fontId="32" fillId="47" borderId="134" xfId="0" applyNumberFormat="1" applyFont="1" applyFill="1" applyBorder="1"/>
    <x:xf numFmtId="0" fontId="32" fillId="47" borderId="135" xfId="0" applyNumberFormat="1" applyFont="1" applyFill="1" applyBorder="1"/>
    <x:xf numFmtId="0" fontId="32" fillId="47" borderId="137" xfId="0" applyNumberFormat="1" applyFont="1" applyFill="1" applyBorder="1"/>
    <x:xf numFmtId="0" fontId="32" fillId="47" borderId="130" xfId="0" applyNumberFormat="1" applyFont="1" applyFill="1" applyBorder="1" applyAlignment="1">
      <x:alignment wrapText="1"/>
    </x:xf>
    <x:xf numFmtId="0" fontId="32" fillId="47" borderId="132" xfId="0" applyNumberFormat="1" applyFont="1" applyFill="1" applyBorder="1" applyAlignment="1">
      <x:alignment wrapText="1"/>
    </x:xf>
    <x:xf numFmtId="0" fontId="32" fillId="47" borderId="133" xfId="0" applyNumberFormat="1" applyFont="1" applyFill="1" applyBorder="1" applyAlignment="1">
      <x:alignment wrapText="1"/>
    </x:xf>
    <x:xf numFmtId="0" fontId="32" fillId="47" borderId="134" xfId="0" applyNumberFormat="1" applyFont="1" applyFill="1" applyBorder="1" applyAlignment="1">
      <x:alignment wrapText="1"/>
    </x:xf>
    <x:xf numFmtId="0" fontId="32" fillId="47" borderId="135" xfId="0" applyNumberFormat="1" applyFont="1" applyFill="1" applyBorder="1" applyAlignment="1">
      <x:alignment wrapText="1"/>
    </x:xf>
    <x:xf numFmtId="0" fontId="32" fillId="47" borderId="137" xfId="0" applyNumberFormat="1" applyFont="1" applyFill="1" applyBorder="1" applyAlignment="1">
      <x:alignment wrapText="1"/>
    </x:xf>
    <x:xf numFmtId="0" fontId="32" fillId="47" borderId="130" xfId="0" applyNumberFormat="1" applyFont="1" applyFill="1" applyBorder="1" applyAlignment="1">
      <x:alignment horizontal="center" wrapText="1"/>
    </x:xf>
    <x:xf numFmtId="0" fontId="32" fillId="47" borderId="132" xfId="0" applyNumberFormat="1" applyFont="1" applyFill="1" applyBorder="1" applyAlignment="1">
      <x:alignment horizontal="center" wrapText="1"/>
    </x:xf>
    <x:xf numFmtId="0" fontId="32" fillId="47" borderId="133" xfId="0" applyNumberFormat="1" applyFont="1" applyFill="1" applyBorder="1" applyAlignment="1">
      <x:alignment horizontal="center" wrapText="1"/>
    </x:xf>
    <x:xf numFmtId="0" fontId="32" fillId="47" borderId="134" xfId="0" applyNumberFormat="1" applyFont="1" applyFill="1" applyBorder="1" applyAlignment="1">
      <x:alignment horizontal="center" wrapText="1"/>
    </x:xf>
    <x:xf numFmtId="0" fontId="32" fillId="47" borderId="135" xfId="0" applyNumberFormat="1" applyFont="1" applyFill="1" applyBorder="1" applyAlignment="1">
      <x:alignment horizontal="center" wrapText="1"/>
    </x:xf>
    <x:xf numFmtId="0" fontId="32" fillId="47" borderId="137" xfId="0" applyNumberFormat="1" applyFont="1" applyFill="1" applyBorder="1" applyAlignment="1">
      <x:alignment horizontal="center" wrapText="1"/>
    </x:xf>
    <x:xf numFmtId="0" fontId="32" fillId="47" borderId="130" xfId="0" applyNumberFormat="1" applyFont="1" applyFill="1" applyBorder="1" applyAlignment="1">
      <x:alignment horizontal="center" vertical="center" wrapText="1"/>
    </x:xf>
    <x:xf numFmtId="0" fontId="32" fillId="47" borderId="132" xfId="0" applyNumberFormat="1" applyFont="1" applyFill="1" applyBorder="1" applyAlignment="1">
      <x:alignment horizontal="center" vertical="center" wrapText="1"/>
    </x:xf>
    <x:xf numFmtId="0" fontId="32" fillId="47" borderId="133" xfId="0" applyNumberFormat="1" applyFont="1" applyFill="1" applyBorder="1" applyAlignment="1">
      <x:alignment horizontal="center" vertical="center" wrapText="1"/>
    </x:xf>
    <x:xf numFmtId="0" fontId="32" fillId="47" borderId="134" xfId="0" applyNumberFormat="1" applyFont="1" applyFill="1" applyBorder="1" applyAlignment="1">
      <x:alignment horizontal="center" vertical="center" wrapText="1"/>
    </x:xf>
    <x:xf numFmtId="0" fontId="32" fillId="47" borderId="135" xfId="0" applyNumberFormat="1" applyFont="1" applyFill="1" applyBorder="1" applyAlignment="1">
      <x:alignment horizontal="center" vertical="center" wrapText="1"/>
    </x:xf>
    <x:xf numFmtId="0" fontId="32" fillId="47" borderId="137" xfId="0" applyNumberFormat="1" applyFont="1" applyFill="1" applyBorder="1" applyAlignment="1">
      <x:alignment horizontal="center" vertical="center" wrapText="1"/>
    </x:xf>
    <x:xf numFmtId="0" fontId="35" fillId="46" borderId="0" xfId="0" applyNumberFormat="1" applyFont="1" applyFill="1" applyBorder="1" applyAlignment="1">
      <x:alignment vertical="center" wrapText="1"/>
    </x:xf>
    <x:xf numFmtId="0" fontId="35" fillId="45" borderId="0" xfId="0" applyNumberFormat="1" applyFont="1" applyFill="1" applyBorder="1"/>
    <x:xf numFmtId="0" fontId="35" fillId="45" borderId="0" xfId="0" applyNumberFormat="1" applyFont="1" applyFill="1" applyBorder="1" applyAlignment="1">
      <x:alignment wrapText="1"/>
    </x:xf>
    <x:xf numFmtId="0" fontId="35" fillId="45" borderId="0" xfId="0" applyNumberFormat="1" applyFont="1" applyFill="1" applyBorder="1" applyAlignment="1">
      <x:alignment horizontal="center" wrapText="1"/>
    </x:xf>
    <x:xf numFmtId="0" fontId="35" fillId="45" borderId="0" xfId="0" applyNumberFormat="1" applyFont="1" applyFill="1" applyBorder="1" applyAlignment="1">
      <x:alignment horizontal="center" vertical="center" wrapText="1"/>
    </x:xf>
    <x:xf numFmtId="0" fontId="40" fillId="43" borderId="122" xfId="0" applyNumberFormat="1" applyFont="1" applyFill="1" applyBorder="1" applyAlignment="1">
      <x:alignment vertical="center"/>
    </x:xf>
    <x:xf numFmtId="0" fontId="41" fillId="42" borderId="0" xfId="0" applyNumberFormat="1" applyFont="1" applyFill="1" applyBorder="1" applyAlignment="1">
      <x:alignment wrapText="1"/>
    </x:xf>
    <x:xf numFmtId="0" fontId="41" fillId="0" borderId="0" xfId="0" applyNumberFormat="1" applyFont="1" applyFill="1" applyBorder="1"/>
    <x:xf numFmtId="0" fontId="40" fillId="44" borderId="0" xfId="0" applyNumberFormat="1" applyFont="1" applyFill="1" applyBorder="1"/>
    <x:xf numFmtId="0" fontId="40" fillId="45" borderId="123" xfId="0" applyNumberFormat="1" applyFont="1" applyFill="1" applyBorder="1" applyAlignment="1">
      <x:alignment horizontal="center" vertical="center" wrapText="1"/>
    </x:xf>
    <x:xf numFmtId="0" fontId="40" fillId="45" borderId="124" xfId="0" applyNumberFormat="1" applyFont="1" applyFill="1" applyBorder="1" applyAlignment="1">
      <x:alignment horizontal="center" vertical="center" wrapText="1"/>
    </x:xf>
    <x:xf numFmtId="0" fontId="40" fillId="45" borderId="125" xfId="0" applyNumberFormat="1" applyFont="1" applyFill="1" applyBorder="1" applyAlignment="1">
      <x:alignment horizontal="center" vertical="center" wrapText="1"/>
    </x:xf>
    <x:xf numFmtId="0" fontId="40" fillId="43" borderId="123" xfId="0" applyNumberFormat="1" applyFont="1" applyFill="1" applyBorder="1" applyAlignment="1">
      <x:alignment horizontal="center" vertical="center" wrapText="1"/>
    </x:xf>
    <x:xf numFmtId="0" fontId="40" fillId="43" borderId="124" xfId="0" applyNumberFormat="1" applyFont="1" applyFill="1" applyBorder="1" applyAlignment="1">
      <x:alignment horizontal="center" vertical="center" wrapText="1"/>
    </x:xf>
    <x:xf numFmtId="0" fontId="40" fillId="43" borderId="125" xfId="0" applyNumberFormat="1" applyFont="1" applyFill="1" applyBorder="1" applyAlignment="1">
      <x:alignment horizontal="center" vertical="center" wrapText="1"/>
    </x:xf>
    <x:xf numFmtId="0" fontId="40" fillId="46" borderId="130" xfId="0" applyNumberFormat="1" applyFont="1" applyFill="1" applyBorder="1" applyAlignment="1">
      <x:alignment horizontal="center" vertical="center" wrapText="1"/>
    </x:xf>
    <x:xf numFmtId="0" fontId="40" fillId="46" borderId="131" xfId="0" applyNumberFormat="1" applyFont="1" applyFill="1" applyBorder="1" applyAlignment="1">
      <x:alignment horizontal="center" vertical="center" wrapText="1"/>
    </x:xf>
    <x:xf numFmtId="0" fontId="40" fillId="46" borderId="132" xfId="0" applyNumberFormat="1" applyFont="1" applyFill="1" applyBorder="1" applyAlignment="1">
      <x:alignment horizontal="center" vertical="center" wrapText="1"/>
    </x:xf>
    <x:xf numFmtId="0" fontId="40" fillId="45" borderId="126" xfId="0" applyNumberFormat="1" applyFont="1" applyFill="1" applyBorder="1" applyAlignment="1">
      <x:alignment horizontal="center" vertical="center" wrapText="1"/>
    </x:xf>
    <x:xf numFmtId="0" fontId="40" fillId="45" xfId="0" applyNumberFormat="1" applyFont="1" applyFill="1" applyBorder="0" applyAlignment="1">
      <x:alignment horizontal="center" vertical="center" wrapText="1"/>
    </x:xf>
    <x:xf numFmtId="0" fontId="40" fillId="45" borderId="127" xfId="0" applyNumberFormat="1" applyFont="1" applyFill="1" applyBorder="1" applyAlignment="1">
      <x:alignment horizontal="center" vertical="center" wrapText="1"/>
    </x:xf>
    <x:xf numFmtId="0" fontId="40" fillId="43" borderId="126" xfId="0" applyNumberFormat="1" applyFont="1" applyFill="1" applyBorder="1" applyAlignment="1">
      <x:alignment horizontal="center" vertical="center" wrapText="1"/>
    </x:xf>
    <x:xf numFmtId="0" fontId="40" fillId="43" xfId="0" applyNumberFormat="1" applyFont="1" applyFill="1" applyBorder="0" applyAlignment="1">
      <x:alignment horizontal="center" vertical="center" wrapText="1"/>
    </x:xf>
    <x:xf numFmtId="0" fontId="40" fillId="43" borderId="127" xfId="0" applyNumberFormat="1" applyFont="1" applyFill="1" applyBorder="1" applyAlignment="1">
      <x:alignment horizontal="center" vertical="center" wrapText="1"/>
    </x:xf>
    <x:xf numFmtId="0" fontId="40" fillId="46" borderId="133" xfId="0" applyNumberFormat="1" applyFont="1" applyFill="1" applyBorder="1" applyAlignment="1">
      <x:alignment horizontal="center" vertical="center" wrapText="1"/>
    </x:xf>
    <x:xf numFmtId="0" fontId="40" fillId="46" xfId="0" applyNumberFormat="1" applyFont="1" applyFill="1" applyBorder="0" applyAlignment="1">
      <x:alignment horizontal="center" vertical="center" wrapText="1"/>
    </x:xf>
    <x:xf numFmtId="0" fontId="40" fillId="46" borderId="134" xfId="0" applyNumberFormat="1" applyFont="1" applyFill="1" applyBorder="1" applyAlignment="1">
      <x:alignment horizontal="center" vertical="center" wrapText="1"/>
    </x:xf>
    <x:xf numFmtId="0" fontId="40" fillId="0" borderId="0" xfId="0" applyNumberFormat="1" applyFont="1" applyFill="1" applyBorder="1" applyAlignment="1">
      <x:alignment horizontal="center" vertical="center"/>
    </x:xf>
    <x:xf numFmtId="0" fontId="40" fillId="45" borderId="128" xfId="0" applyNumberFormat="1" applyFont="1" applyFill="1" applyBorder="1" applyAlignment="1">
      <x:alignment horizontal="center" vertical="center" wrapText="1"/>
    </x:xf>
    <x:xf numFmtId="0" fontId="40" fillId="45" borderId="122" xfId="0" applyNumberFormat="1" applyFont="1" applyFill="1" applyBorder="1" applyAlignment="1">
      <x:alignment horizontal="center" vertical="center" wrapText="1"/>
    </x:xf>
    <x:xf numFmtId="0" fontId="40" fillId="45" borderId="129" xfId="0" applyNumberFormat="1" applyFont="1" applyFill="1" applyBorder="1" applyAlignment="1">
      <x:alignment horizontal="center" vertical="center" wrapText="1"/>
    </x:xf>
    <x:xf numFmtId="0" fontId="40" fillId="43" borderId="128" xfId="0" applyNumberFormat="1" applyFont="1" applyFill="1" applyBorder="1" applyAlignment="1">
      <x:alignment horizontal="center" vertical="center" wrapText="1"/>
    </x:xf>
    <x:xf numFmtId="0" fontId="40" fillId="43" borderId="122" xfId="0" applyNumberFormat="1" applyFont="1" applyFill="1" applyBorder="1" applyAlignment="1">
      <x:alignment horizontal="center" vertical="center" wrapText="1"/>
    </x:xf>
    <x:xf numFmtId="0" fontId="40" fillId="43" borderId="129" xfId="0" applyNumberFormat="1" applyFont="1" applyFill="1" applyBorder="1" applyAlignment="1">
      <x:alignment horizontal="center" vertical="center" wrapText="1"/>
    </x:xf>
    <x:xf numFmtId="0" fontId="40" fillId="46" borderId="135" xfId="0" applyNumberFormat="1" applyFont="1" applyFill="1" applyBorder="1" applyAlignment="1">
      <x:alignment horizontal="center" vertical="center" wrapText="1"/>
    </x:xf>
    <x:xf numFmtId="0" fontId="40" fillId="46" borderId="136" xfId="0" applyNumberFormat="1" applyFont="1" applyFill="1" applyBorder="1" applyAlignment="1">
      <x:alignment horizontal="center" vertical="center" wrapText="1"/>
    </x:xf>
    <x:xf numFmtId="0" fontId="40" fillId="46" borderId="137" xfId="0" applyNumberFormat="1" applyFont="1" applyFill="1" applyBorder="1" applyAlignment="1">
      <x:alignment horizontal="center" vertical="center" wrapText="1"/>
    </x:xf>
    <x:xf numFmtId="0" fontId="41" fillId="46" borderId="0" xfId="0" applyNumberFormat="1" applyFont="1" applyFill="1" applyBorder="1" applyAlignment="1">
      <x:alignment vertical="top" wrapText="1"/>
    </x:xf>
    <x:xf numFmtId="0" fontId="41" fillId="47" borderId="0" xfId="0" applyNumberFormat="1" applyFont="1" applyFill="1" applyBorder="1" applyAlignment="1">
      <x:alignment vertical="top" wrapText="1"/>
    </x:xf>
    <x:xf numFmtId="0" fontId="41" fillId="42" borderId="0" xfId="0" applyNumberFormat="1" applyFont="1" applyFill="1" applyBorder="1" applyAlignment="1">
      <x:alignment vertical="center" wrapText="1"/>
    </x:xf>
    <x:xf numFmtId="0" fontId="40" fillId="42" borderId="138" xfId="0" applyNumberFormat="1" applyFont="1" applyFill="1" applyBorder="1" applyAlignment="1">
      <x:alignment wrapText="1"/>
    </x:xf>
    <x:xf numFmtId="0" fontId="40" fillId="42" borderId="139" xfId="0" applyNumberFormat="1" applyFont="1" applyFill="1" applyBorder="1" applyAlignment="1">
      <x:alignment wrapText="1"/>
    </x:xf>
    <x:xf numFmtId="0" fontId="40" fillId="42" borderId="140" xfId="0" applyNumberFormat="1" applyFont="1" applyFill="1" applyBorder="1" applyAlignment="1">
      <x:alignment wrapText="1"/>
    </x:xf>
    <x:xf numFmtId="0" fontId="41" fillId="0" borderId="138" xfId="0" applyNumberFormat="1" applyFont="1" applyFill="1" applyBorder="1" applyAlignment="1">
      <x:alignment wrapText="1"/>
    </x:xf>
    <x:xf numFmtId="0" fontId="41" fillId="0" borderId="139" xfId="0" applyNumberFormat="1" applyFont="1" applyFill="1" applyBorder="1" applyAlignment="1">
      <x:alignment wrapText="1"/>
    </x:xf>
    <x:xf numFmtId="0" fontId="41" fillId="0" borderId="140" xfId="0" applyNumberFormat="1" applyFont="1" applyFill="1" applyBorder="1" applyAlignment="1">
      <x:alignment wrapText="1"/>
    </x:xf>
    <x:xf numFmtId="0" fontId="40" fillId="47" borderId="130" xfId="0" applyNumberFormat="1" applyFont="1" applyFill="1" applyBorder="1" applyAlignment="1">
      <x:alignment horizontal="center" vertical="center" wrapText="1"/>
    </x:xf>
    <x:xf numFmtId="0" fontId="40" fillId="47" borderId="131" xfId="0" applyNumberFormat="1" applyFont="1" applyFill="1" applyBorder="1" applyAlignment="1">
      <x:alignment horizontal="center" vertical="center" wrapText="1"/>
    </x:xf>
    <x:xf numFmtId="0" fontId="40" fillId="47" borderId="132" xfId="0" applyNumberFormat="1" applyFont="1" applyFill="1" applyBorder="1" applyAlignment="1">
      <x:alignment horizontal="center" vertical="center" wrapText="1"/>
    </x:xf>
    <x:xf numFmtId="0" fontId="40" fillId="47" borderId="133" xfId="0" applyNumberFormat="1" applyFont="1" applyFill="1" applyBorder="1" applyAlignment="1">
      <x:alignment horizontal="center" vertical="center" wrapText="1"/>
    </x:xf>
    <x:xf numFmtId="0" fontId="40" fillId="47" xfId="0" applyNumberFormat="1" applyFont="1" applyFill="1" applyBorder="0" applyAlignment="1">
      <x:alignment horizontal="center" vertical="center" wrapText="1"/>
    </x:xf>
    <x:xf numFmtId="0" fontId="40" fillId="47" borderId="134" xfId="0" applyNumberFormat="1" applyFont="1" applyFill="1" applyBorder="1" applyAlignment="1">
      <x:alignment horizontal="center" vertical="center" wrapText="1"/>
    </x:xf>
    <x:xf numFmtId="0" fontId="40" fillId="47" borderId="135" xfId="0" applyNumberFormat="1" applyFont="1" applyFill="1" applyBorder="1" applyAlignment="1">
      <x:alignment horizontal="center" vertical="center" wrapText="1"/>
    </x:xf>
    <x:xf numFmtId="0" fontId="40" fillId="47" borderId="136" xfId="0" applyNumberFormat="1" applyFont="1" applyFill="1" applyBorder="1" applyAlignment="1">
      <x:alignment horizontal="center" vertical="center" wrapText="1"/>
    </x:xf>
    <x:xf numFmtId="0" fontId="40" fillId="47" borderId="137" xfId="0" applyNumberFormat="1" applyFont="1" applyFill="1" applyBorder="1" applyAlignment="1">
      <x:alignment horizontal="center" vertical="center" wrapText="1"/>
    </x:xf>
    <x:xf numFmtId="0" fontId="41" fillId="46" borderId="0" xfId="0" applyNumberFormat="1" applyFont="1" applyFill="1" applyBorder="1" applyAlignment="1">
      <x:alignment vertical="center" wrapText="1"/>
    </x:xf>
    <x:xf numFmtId="0" fontId="40" fillId="42" borderId="0" xfId="0" applyNumberFormat="1" applyFont="1" applyFill="1" applyBorder="1" applyAlignment="1">
      <x:alignment wrapText="1"/>
    </x:xf>
    <x:xf numFmtId="0" fontId="41" fillId="0" borderId="0" xfId="0" applyNumberFormat="1" applyFont="1" applyFill="1" applyBorder="1" applyAlignment="1">
      <x:alignment wrapText="1"/>
    </x:xf>
    <x:xf numFmtId="0" fontId="41" fillId="45" borderId="0" xfId="0" applyNumberFormat="1" applyFont="1" applyFill="1" applyBorder="1" applyAlignment="1">
      <x:alignment horizontal="center" vertical="center" wrapText="1"/>
    </x:xf>
    <x:xf numFmtId="0" fontId="42" fillId="43" borderId="122" xfId="0" applyNumberFormat="1" applyFont="1" applyFill="1" applyBorder="1" applyAlignment="1">
      <x:alignment vertical="center"/>
    </x:xf>
    <x:xf numFmtId="0" fontId="28" fillId="44" borderId="0" xfId="0" applyNumberFormat="1" applyFont="1" applyFill="1" applyBorder="1"/>
    <x:xf numFmtId="0" fontId="32" fillId="47" borderId="131" xfId="0" applyNumberFormat="1" applyFont="1" applyFill="1" applyBorder="1"/>
    <x:xf numFmtId="0" fontId="32" fillId="47" xfId="0" applyNumberFormat="1" applyFont="1" applyFill="1" applyBorder="0"/>
    <x:xf numFmtId="0" fontId="32" fillId="47" borderId="136" xfId="0" applyNumberFormat="1" applyFont="1" applyFill="1" applyBorder="1"/>
    <x:xf numFmtId="0" fontId="32" fillId="47" borderId="131" xfId="0" applyNumberFormat="1" applyFont="1" applyFill="1" applyBorder="1" applyAlignment="1">
      <x:alignment wrapText="1"/>
    </x:xf>
    <x:xf numFmtId="0" fontId="32" fillId="47" xfId="0" applyNumberFormat="1" applyFont="1" applyFill="1" applyBorder="0" applyAlignment="1">
      <x:alignment wrapText="1"/>
    </x:xf>
    <x:xf numFmtId="0" fontId="32" fillId="47" borderId="136" xfId="0" applyNumberFormat="1" applyFont="1" applyFill="1" applyBorder="1" applyAlignment="1">
      <x:alignment wrapText="1"/>
    </x:xf>
    <x:xf numFmtId="0" fontId="32" fillId="47" borderId="131" xfId="0" applyNumberFormat="1" applyFont="1" applyFill="1" applyBorder="1" applyAlignment="1">
      <x:alignment horizontal="center" wrapText="1"/>
    </x:xf>
    <x:xf numFmtId="0" fontId="32" fillId="47" xfId="0" applyNumberFormat="1" applyFont="1" applyFill="1" applyBorder="0" applyAlignment="1">
      <x:alignment horizontal="center" wrapText="1"/>
    </x:xf>
    <x:xf numFmtId="0" fontId="32" fillId="47" borderId="136" xfId="0" applyNumberFormat="1" applyFont="1" applyFill="1" applyBorder="1" applyAlignment="1">
      <x:alignment horizontal="center" wrapText="1"/>
    </x:xf>
    <x:xf numFmtId="0" fontId="32" fillId="47" borderId="131" xfId="0" applyNumberFormat="1" applyFont="1" applyFill="1" applyBorder="1" applyAlignment="1">
      <x:alignment horizontal="center" vertical="center" wrapText="1"/>
    </x:xf>
    <x:xf numFmtId="0" fontId="32" fillId="47" xfId="0" applyNumberFormat="1" applyFont="1" applyFill="1" applyBorder="0" applyAlignment="1">
      <x:alignment horizontal="center" vertical="center" wrapText="1"/>
    </x:xf>
    <x:xf numFmtId="0" fontId="32" fillId="47" borderId="136" xfId="0" applyNumberFormat="1" applyFont="1" applyFill="1" applyBorder="1" applyAlignment="1">
      <x:alignment horizontal="center" vertical="center" wrapText="1"/>
    </x:xf>
    <x:xf numFmtId="0" fontId="38" fillId="42" borderId="0" xfId="0" applyNumberFormat="1" applyFont="1" applyFill="1" applyBorder="1"/>
    <x:xf numFmtId="0" fontId="33" fillId="46" borderId="0" xfId="0" applyNumberFormat="1" applyFont="1" applyFill="1" applyBorder="1"/>
    <x:xf numFmtId="0" fontId="33" fillId="46" borderId="141" xfId="0" applyNumberFormat="1" applyFont="1" applyFill="1" applyBorder="1"/>
    <x:xf numFmtId="0" fontId="43" fillId="46" borderId="0" xfId="0" applyNumberFormat="1" applyFont="1" applyFill="1" applyBorder="1"/>
    <x:xf numFmtId="0" fontId="43" fillId="46" borderId="0" xfId="0" applyNumberFormat="1" applyFont="1" applyFill="1" applyBorder="1" applyAlignment="1">
      <x:alignment wrapText="1"/>
    </x:xf>
    <x:xf numFmtId="0" fontId="43" fillId="46" borderId="0" xfId="0" applyNumberFormat="1" applyFont="1" applyFill="1" applyBorder="1" applyAlignment="1">
      <x:alignment horizontal="center" wrapText="1"/>
    </x:xf>
    <x:xf numFmtId="0" fontId="43" fillId="46" borderId="0" xfId="0" applyNumberFormat="1" applyFont="1" applyFill="1" applyBorder="1" applyAlignment="1">
      <x:alignment horizontal="center" vertical="center" wrapText="1"/>
    </x:xf>
    <x:xf numFmtId="0" fontId="32" fillId="46" borderId="123" xfId="0" applyNumberFormat="1" applyFont="1" applyFill="1" applyBorder="1"/>
    <x:xf numFmtId="0" fontId="32" fillId="46" borderId="124" xfId="0" applyNumberFormat="1" applyFont="1" applyFill="1" applyBorder="1"/>
    <x:xf numFmtId="0" fontId="32" fillId="46" borderId="125" xfId="0" applyNumberFormat="1" applyFont="1" applyFill="1" applyBorder="1"/>
    <x:xf numFmtId="0" fontId="32" fillId="46" borderId="126" xfId="0" applyNumberFormat="1" applyFont="1" applyFill="1" applyBorder="1"/>
    <x:xf numFmtId="0" fontId="32" fillId="46" borderId="127" xfId="0" applyNumberFormat="1" applyFont="1" applyFill="1" applyBorder="1"/>
    <x:xf numFmtId="0" fontId="32" fillId="46" borderId="128" xfId="0" applyNumberFormat="1" applyFont="1" applyFill="1" applyBorder="1"/>
    <x:xf numFmtId="0" fontId="32" fillId="46" borderId="122" xfId="0" applyNumberFormat="1" applyFont="1" applyFill="1" applyBorder="1"/>
    <x:xf numFmtId="0" fontId="32" fillId="46" borderId="129" xfId="0" applyNumberFormat="1" applyFont="1" applyFill="1" applyBorder="1"/>
    <x:xf numFmtId="0" fontId="32" fillId="46" borderId="123" xfId="0" applyNumberFormat="1" applyFont="1" applyFill="1" applyBorder="1" applyAlignment="1">
      <x:alignment wrapText="1"/>
    </x:xf>
    <x:xf numFmtId="0" fontId="32" fillId="46" borderId="124" xfId="0" applyNumberFormat="1" applyFont="1" applyFill="1" applyBorder="1" applyAlignment="1">
      <x:alignment wrapText="1"/>
    </x:xf>
    <x:xf numFmtId="0" fontId="32" fillId="46" borderId="125" xfId="0" applyNumberFormat="1" applyFont="1" applyFill="1" applyBorder="1" applyAlignment="1">
      <x:alignment wrapText="1"/>
    </x:xf>
    <x:xf numFmtId="0" fontId="32" fillId="46" borderId="126" xfId="0" applyNumberFormat="1" applyFont="1" applyFill="1" applyBorder="1" applyAlignment="1">
      <x:alignment wrapText="1"/>
    </x:xf>
    <x:xf numFmtId="0" fontId="32" fillId="46" borderId="127" xfId="0" applyNumberFormat="1" applyFont="1" applyFill="1" applyBorder="1" applyAlignment="1">
      <x:alignment wrapText="1"/>
    </x:xf>
    <x:xf numFmtId="0" fontId="32" fillId="46" borderId="128" xfId="0" applyNumberFormat="1" applyFont="1" applyFill="1" applyBorder="1" applyAlignment="1">
      <x:alignment wrapText="1"/>
    </x:xf>
    <x:xf numFmtId="0" fontId="32" fillId="46" borderId="122" xfId="0" applyNumberFormat="1" applyFont="1" applyFill="1" applyBorder="1" applyAlignment="1">
      <x:alignment wrapText="1"/>
    </x:xf>
    <x:xf numFmtId="0" fontId="32" fillId="46" borderId="129" xfId="0" applyNumberFormat="1" applyFont="1" applyFill="1" applyBorder="1" applyAlignment="1">
      <x:alignment wrapText="1"/>
    </x:xf>
    <x:xf numFmtId="0" fontId="32" fillId="46" borderId="123" xfId="0" applyNumberFormat="1" applyFont="1" applyFill="1" applyBorder="1" applyAlignment="1">
      <x:alignment horizontal="center" wrapText="1"/>
    </x:xf>
    <x:xf numFmtId="0" fontId="32" fillId="46" borderId="124" xfId="0" applyNumberFormat="1" applyFont="1" applyFill="1" applyBorder="1" applyAlignment="1">
      <x:alignment horizontal="center" wrapText="1"/>
    </x:xf>
    <x:xf numFmtId="0" fontId="32" fillId="46" borderId="125" xfId="0" applyNumberFormat="1" applyFont="1" applyFill="1" applyBorder="1" applyAlignment="1">
      <x:alignment horizontal="center" wrapText="1"/>
    </x:xf>
    <x:xf numFmtId="0" fontId="32" fillId="46" borderId="126" xfId="0" applyNumberFormat="1" applyFont="1" applyFill="1" applyBorder="1" applyAlignment="1">
      <x:alignment horizontal="center" wrapText="1"/>
    </x:xf>
    <x:xf numFmtId="0" fontId="32" fillId="46" borderId="127" xfId="0" applyNumberFormat="1" applyFont="1" applyFill="1" applyBorder="1" applyAlignment="1">
      <x:alignment horizontal="center" wrapText="1"/>
    </x:xf>
    <x:xf numFmtId="0" fontId="32" fillId="46" borderId="128" xfId="0" applyNumberFormat="1" applyFont="1" applyFill="1" applyBorder="1" applyAlignment="1">
      <x:alignment horizontal="center" wrapText="1"/>
    </x:xf>
    <x:xf numFmtId="0" fontId="32" fillId="46" borderId="122" xfId="0" applyNumberFormat="1" applyFont="1" applyFill="1" applyBorder="1" applyAlignment="1">
      <x:alignment horizontal="center" wrapText="1"/>
    </x:xf>
    <x:xf numFmtId="0" fontId="32" fillId="46" borderId="129" xfId="0" applyNumberFormat="1" applyFont="1" applyFill="1" applyBorder="1" applyAlignment="1">
      <x:alignment horizontal="center" wrapText="1"/>
    </x:xf>
    <x:xf numFmtId="0" fontId="32" fillId="46" borderId="123" xfId="0" applyNumberFormat="1" applyFont="1" applyFill="1" applyBorder="1" applyAlignment="1">
      <x:alignment horizontal="center" vertical="center" wrapText="1"/>
    </x:xf>
    <x:xf numFmtId="0" fontId="32" fillId="46" borderId="124" xfId="0" applyNumberFormat="1" applyFont="1" applyFill="1" applyBorder="1" applyAlignment="1">
      <x:alignment horizontal="center" vertical="center" wrapText="1"/>
    </x:xf>
    <x:xf numFmtId="0" fontId="32" fillId="46" borderId="125" xfId="0" applyNumberFormat="1" applyFont="1" applyFill="1" applyBorder="1" applyAlignment="1">
      <x:alignment horizontal="center" vertical="center" wrapText="1"/>
    </x:xf>
    <x:xf numFmtId="0" fontId="32" fillId="46" borderId="126" xfId="0" applyNumberFormat="1" applyFont="1" applyFill="1" applyBorder="1" applyAlignment="1">
      <x:alignment horizontal="center" vertical="center" wrapText="1"/>
    </x:xf>
    <x:xf numFmtId="0" fontId="32" fillId="46" borderId="127" xfId="0" applyNumberFormat="1" applyFont="1" applyFill="1" applyBorder="1" applyAlignment="1">
      <x:alignment horizontal="center" vertical="center" wrapText="1"/>
    </x:xf>
    <x:xf numFmtId="0" fontId="32" fillId="46" borderId="128" xfId="0" applyNumberFormat="1" applyFont="1" applyFill="1" applyBorder="1" applyAlignment="1">
      <x:alignment horizontal="center" vertical="center" wrapText="1"/>
    </x:xf>
    <x:xf numFmtId="0" fontId="32" fillId="46" borderId="122" xfId="0" applyNumberFormat="1" applyFont="1" applyFill="1" applyBorder="1" applyAlignment="1">
      <x:alignment horizontal="center" vertical="center" wrapText="1"/>
    </x:xf>
    <x:xf numFmtId="0" fontId="32" fillId="46" borderId="129" xfId="0" applyNumberFormat="1" applyFont="1" applyFill="1" applyBorder="1" applyAlignment="1">
      <x:alignment horizontal="center" vertical="center" wrapText="1"/>
    </x:xf>
    <x:xf numFmtId="0" fontId="33" fillId="42" borderId="0" xfId="0" applyNumberFormat="1" applyFont="1" applyFill="1" applyBorder="1"/>
    <x:xf numFmtId="0" fontId="40" fillId="43" borderId="122" xfId="0" applyNumberFormat="1" applyFont="1" applyFill="1" applyBorder="1"/>
    <x:xf numFmtId="0" fontId="40" fillId="42" borderId="0" xfId="0" applyNumberFormat="1" applyFont="1" applyFill="1" applyBorder="1"/>
    <x:xf numFmtId="0" fontId="40" fillId="0" borderId="0" xfId="0" applyNumberFormat="1" applyFont="1" applyFill="1" applyBorder="1" applyAlignment="1">
      <x:alignment horizontal="center"/>
    </x:xf>
    <x:xf numFmtId="0" fontId="40" fillId="46" borderId="141" xfId="0" applyNumberFormat="1" applyFont="1" applyFill="1" applyBorder="1"/>
    <x:xf numFmtId="0" fontId="41" fillId="46" borderId="0" xfId="0" applyNumberFormat="1" applyFont="1" applyFill="1" applyBorder="1" applyAlignment="1">
      <x:alignment horizontal="center" vertical="center" wrapText="1"/>
    </x:xf>
    <x:xf numFmtId="0" fontId="40" fillId="46" borderId="123" xfId="0" applyNumberFormat="1" applyFont="1" applyFill="1" applyBorder="1" applyAlignment="1">
      <x:alignment horizontal="center" vertical="center" wrapText="1"/>
    </x:xf>
    <x:xf numFmtId="0" fontId="40" fillId="46" borderId="124" xfId="0" applyNumberFormat="1" applyFont="1" applyFill="1" applyBorder="1" applyAlignment="1">
      <x:alignment horizontal="center" vertical="center" wrapText="1"/>
    </x:xf>
    <x:xf numFmtId="0" fontId="40" fillId="46" borderId="125" xfId="0" applyNumberFormat="1" applyFont="1" applyFill="1" applyBorder="1" applyAlignment="1">
      <x:alignment horizontal="center" vertical="center" wrapText="1"/>
    </x:xf>
    <x:xf numFmtId="0" fontId="40" fillId="46" borderId="126" xfId="0" applyNumberFormat="1" applyFont="1" applyFill="1" applyBorder="1" applyAlignment="1">
      <x:alignment horizontal="center" vertical="center" wrapText="1"/>
    </x:xf>
    <x:xf numFmtId="0" fontId="40" fillId="46" borderId="127" xfId="0" applyNumberFormat="1" applyFont="1" applyFill="1" applyBorder="1" applyAlignment="1">
      <x:alignment horizontal="center" vertical="center" wrapText="1"/>
    </x:xf>
    <x:xf numFmtId="0" fontId="40" fillId="46" borderId="128" xfId="0" applyNumberFormat="1" applyFont="1" applyFill="1" applyBorder="1" applyAlignment="1">
      <x:alignment horizontal="center" vertical="center" wrapText="1"/>
    </x:xf>
    <x:xf numFmtId="0" fontId="40" fillId="46" borderId="122" xfId="0" applyNumberFormat="1" applyFont="1" applyFill="1" applyBorder="1" applyAlignment="1">
      <x:alignment horizontal="center" vertical="center" wrapText="1"/>
    </x:xf>
    <x:xf numFmtId="0" fontId="40" fillId="46" borderId="129" xfId="0" applyNumberFormat="1" applyFont="1" applyFill="1" applyBorder="1" applyAlignment="1">
      <x:alignment horizontal="center" vertical="center" wrapText="1"/>
    </x:xf>
    <x:xf numFmtId="0" fontId="40" fillId="0" borderId="0" xfId="0" applyNumberFormat="1" applyFont="1" applyFill="1" applyBorder="1" applyAlignment="1">
      <x:alignment wrapText="1"/>
    </x:xf>
    <x:xf numFmtId="0" fontId="42" fillId="43" borderId="122" xfId="0" applyNumberFormat="1" applyFont="1" applyFill="1" applyBorder="1"/>
    <x:xf numFmtId="0" fontId="44" fillId="42" borderId="0" xfId="0" applyNumberFormat="1" applyFont="1" applyFill="1" applyBorder="1"/>
    <x:xf numFmtId="0" fontId="35" fillId="40" borderId="0" xfId="0" applyNumberFormat="1" applyFont="1" applyFill="1" applyBorder="1"/>
    <x:xf numFmtId="0" fontId="35" fillId="40" borderId="0" xfId="0" applyNumberFormat="1" applyFont="1" applyFill="1" applyBorder="1" applyAlignment="1">
      <x:alignment wrapText="1"/>
    </x:xf>
    <x:xf numFmtId="0" fontId="35" fillId="40" borderId="0" xfId="0" applyNumberFormat="1" applyFont="1" applyFill="1" applyBorder="1" applyAlignment="1">
      <x:alignment vertical="top" wrapText="1"/>
    </x:xf>
    <x:xf numFmtId="0" fontId="35" fillId="36" borderId="0" xfId="0" applyNumberFormat="1" applyFont="1" applyFill="1" applyBorder="1"/>
    <x:xf numFmtId="0" fontId="35" fillId="36" borderId="0" xfId="0" applyNumberFormat="1" applyFont="1" applyFill="1" applyBorder="1" applyAlignment="1">
      <x:alignment wrapText="1"/>
    </x:xf>
    <x:xf numFmtId="0" fontId="35" fillId="36" borderId="0" xfId="0" applyNumberFormat="1" applyFont="1" applyFill="1" applyBorder="1" applyAlignment="1">
      <x:alignment vertical="center" wrapText="1"/>
    </x:xf>
    <x:xf numFmtId="0" fontId="39" fillId="40" borderId="0" xfId="0" applyNumberFormat="1" applyFont="1" applyFill="1" applyBorder="1"/>
    <x:xf numFmtId="0" fontId="39" fillId="40" xfId="0" applyNumberFormat="1" applyFont="1" applyFill="1" applyBorder="0"/>
    <x:xf numFmtId="0" fontId="39" fillId="40" borderId="0" xfId="0" applyNumberFormat="1" applyFont="1" applyFill="1" applyBorder="1" applyAlignment="1">
      <x:alignment wrapText="1"/>
    </x:xf>
    <x:xf numFmtId="0" fontId="39" fillId="40" xfId="0" applyNumberFormat="1" applyFont="1" applyFill="1" applyBorder="0" applyAlignment="1">
      <x:alignment wrapText="1"/>
    </x:xf>
    <x:xf numFmtId="0" fontId="39" fillId="40" borderId="0" xfId="0" applyNumberFormat="1" applyFont="1" applyFill="1" applyBorder="1" applyAlignment="1">
      <x:alignment horizontal="center" wrapText="1"/>
    </x:xf>
    <x:xf numFmtId="0" fontId="39" fillId="40" xfId="0" applyNumberFormat="1" applyFont="1" applyFill="1" applyBorder="0" applyAlignment="1">
      <x:alignment horizontal="center" wrapText="1"/>
    </x:xf>
    <x:xf numFmtId="0" fontId="39" fillId="40" borderId="0" xfId="0" applyNumberFormat="1" applyFont="1" applyFill="1" applyBorder="1" applyAlignment="1">
      <x:alignment horizontal="center" vertical="center" wrapText="1"/>
    </x:xf>
    <x:xf numFmtId="0" fontId="39" fillId="40" xfId="0" applyNumberFormat="1" applyFont="1" applyFill="1" applyBorder="0" applyAlignment="1">
      <x:alignment horizontal="center" vertical="center" wrapText="1"/>
    </x:xf>
    <x:xf numFmtId="0" fontId="35" fillId="23" borderId="0" xfId="0" applyNumberFormat="1" applyFont="1" applyFill="1" applyBorder="1" applyAlignment="1">
      <x:alignment vertical="center" wrapText="1"/>
    </x:xf>
    <x:xf numFmtId="0" fontId="35" fillId="35" borderId="0" xfId="0" applyNumberFormat="1" applyFont="1" applyFill="1" applyBorder="1"/>
    <x:xf numFmtId="0" fontId="35" fillId="35" borderId="0" xfId="0" applyNumberFormat="1" applyFont="1" applyFill="1" applyBorder="1" applyAlignment="1">
      <x:alignment wrapText="1"/>
    </x:xf>
    <x:xf numFmtId="0" fontId="35" fillId="35" borderId="0" xfId="0" applyNumberFormat="1" applyFont="1" applyFill="1" applyBorder="1" applyAlignment="1">
      <x:alignment horizontal="center" wrapText="1"/>
    </x:xf>
    <x:xf numFmtId="0" fontId="35" fillId="35" borderId="0" xfId="0" applyNumberFormat="1" applyFont="1" applyFill="1" applyBorder="1" applyAlignment="1">
      <x:alignment horizontal="center" vertical="center" wrapText="1"/>
    </x:xf>
    <x:xf numFmtId="0" fontId="40" fillId="14" borderId="0" xfId="0" applyNumberFormat="1" applyFont="1" applyFill="1" applyBorder="1" applyAlignment="1">
      <x:alignment vertical="center"/>
    </x:xf>
    <x:xf numFmtId="0" fontId="41" fillId="36" borderId="0" xfId="0" applyNumberFormat="1" applyFont="1" applyFill="1" applyBorder="1" applyAlignment="1">
      <x:alignment wrapText="1"/>
    </x:xf>
    <x:xf numFmtId="0" fontId="40" fillId="5" borderId="0" xfId="0" applyNumberFormat="1" applyFont="1" applyFill="1" applyBorder="1"/>
    <x:xf numFmtId="0" fontId="40" fillId="35" borderId="0" xfId="0" applyNumberFormat="1" applyFont="1" applyFill="1" applyBorder="1" applyAlignment="1">
      <x:alignment horizontal="center" vertical="center" wrapText="1"/>
    </x:xf>
    <x:xf numFmtId="0" fontId="40" fillId="14" borderId="0" xfId="0" applyNumberFormat="1" applyFont="1" applyFill="1" applyBorder="1" applyAlignment="1">
      <x:alignment horizontal="center" vertical="center" wrapText="1"/>
    </x:xf>
    <x:xf numFmtId="0" fontId="40" fillId="23" borderId="0" xfId="0" applyNumberFormat="1" applyFont="1" applyFill="1" applyBorder="1" applyAlignment="1">
      <x:alignment horizontal="center" vertical="center" wrapText="1"/>
    </x:xf>
    <x:xf numFmtId="0" fontId="40" fillId="35" xfId="0" applyNumberFormat="1" applyFont="1" applyFill="1" applyBorder="0" applyAlignment="1">
      <x:alignment horizontal="center" vertical="center" wrapText="1"/>
    </x:xf>
    <x:xf numFmtId="0" fontId="40" fillId="14" xfId="0" applyNumberFormat="1" applyFont="1" applyFill="1" applyBorder="0" applyAlignment="1">
      <x:alignment horizontal="center" vertical="center" wrapText="1"/>
    </x:xf>
    <x:xf numFmtId="0" fontId="40" fillId="23" xfId="0" applyNumberFormat="1" applyFont="1" applyFill="1" applyBorder="0" applyAlignment="1">
      <x:alignment horizontal="center" vertical="center" wrapText="1"/>
    </x:xf>
    <x:xf numFmtId="0" fontId="41" fillId="23" borderId="0" xfId="0" applyNumberFormat="1" applyFont="1" applyFill="1" applyBorder="1" applyAlignment="1">
      <x:alignment vertical="top" wrapText="1"/>
    </x:xf>
    <x:xf numFmtId="0" fontId="41" fillId="40" borderId="0" xfId="0" applyNumberFormat="1" applyFont="1" applyFill="1" applyBorder="1" applyAlignment="1">
      <x:alignment vertical="top" wrapText="1"/>
    </x:xf>
    <x:xf numFmtId="0" fontId="41" fillId="36" borderId="0" xfId="0" applyNumberFormat="1" applyFont="1" applyFill="1" applyBorder="1" applyAlignment="1">
      <x:alignment vertical="center" wrapText="1"/>
    </x:xf>
    <x:xf numFmtId="0" fontId="40" fillId="36" borderId="0" xfId="0" applyNumberFormat="1" applyFont="1" applyFill="1" applyBorder="1" applyAlignment="1">
      <x:alignment wrapText="1"/>
    </x:xf>
    <x:xf numFmtId="0" fontId="40" fillId="40" borderId="0" xfId="0" applyNumberFormat="1" applyFont="1" applyFill="1" applyBorder="1" applyAlignment="1">
      <x:alignment horizontal="center" vertical="center" wrapText="1"/>
    </x:xf>
    <x:xf numFmtId="0" fontId="40" fillId="40" xfId="0" applyNumberFormat="1" applyFont="1" applyFill="1" applyBorder="0" applyAlignment="1">
      <x:alignment horizontal="center" vertical="center" wrapText="1"/>
    </x:xf>
    <x:xf numFmtId="0" fontId="41" fillId="23" borderId="0" xfId="0" applyNumberFormat="1" applyFont="1" applyFill="1" applyBorder="1" applyAlignment="1">
      <x:alignment vertical="center" wrapText="1"/>
    </x:xf>
    <x:xf numFmtId="0" fontId="41" fillId="35" borderId="0" xfId="0" applyNumberFormat="1" applyFont="1" applyFill="1" applyBorder="1" applyAlignment="1">
      <x:alignment horizontal="center" vertical="center" wrapText="1"/>
    </x:xf>
    <x:xf numFmtId="0" fontId="42" fillId="14" borderId="0" xfId="0" applyNumberFormat="1" applyFont="1" applyFill="1" applyBorder="1" applyAlignment="1">
      <x:alignment vertical="center"/>
    </x:xf>
    <x:xf numFmtId="0" fontId="28" fillId="5" borderId="0" xfId="0" applyNumberFormat="1" applyFont="1" applyFill="1" applyBorder="1"/>
    <x:xf numFmtId="0" fontId="33" fillId="23" borderId="0" xfId="0" applyNumberFormat="1" applyFont="1" applyFill="1" applyBorder="1"/>
    <x:xf numFmtId="0" fontId="43" fillId="23" borderId="0" xfId="0" applyNumberFormat="1" applyFont="1" applyFill="1" applyBorder="1"/>
    <x:xf numFmtId="0" fontId="43" fillId="23" borderId="0" xfId="0" applyNumberFormat="1" applyFont="1" applyFill="1" applyBorder="1" applyAlignment="1">
      <x:alignment wrapText="1"/>
    </x:xf>
    <x:xf numFmtId="0" fontId="43" fillId="23" borderId="0" xfId="0" applyNumberFormat="1" applyFont="1" applyFill="1" applyBorder="1" applyAlignment="1">
      <x:alignment horizontal="center" wrapText="1"/>
    </x:xf>
    <x:xf numFmtId="0" fontId="43" fillId="23" borderId="0" xfId="0" applyNumberFormat="1" applyFont="1" applyFill="1" applyBorder="1" applyAlignment="1">
      <x:alignment horizontal="center" vertical="center" wrapText="1"/>
    </x:xf>
    <x:xf numFmtId="0" fontId="40" fillId="14" borderId="0" xfId="0" applyNumberFormat="1" applyFont="1" applyFill="1" applyBorder="1"/>
    <x:xf numFmtId="0" fontId="40" fillId="36" borderId="0" xfId="0" applyNumberFormat="1" applyFont="1" applyFill="1" applyBorder="1"/>
    <x:xf numFmtId="0" fontId="40" fillId="23" borderId="0" xfId="0" applyNumberFormat="1" applyFont="1" applyFill="1" applyBorder="1"/>
    <x:xf numFmtId="0" fontId="41" fillId="23" borderId="0" xfId="0" applyNumberFormat="1" applyFont="1" applyFill="1" applyBorder="1" applyAlignment="1">
      <x:alignment horizontal="center" vertical="center" wrapText="1"/>
    </x:xf>
    <x:xf numFmtId="0" fontId="42" fillId="14" borderId="0" xfId="0" applyNumberFormat="1" applyFont="1" applyFill="1" applyBorder="1"/>
    <x:xf numFmtId="0" fontId="44" fillId="36" borderId="0" xfId="0" applyNumberFormat="1" applyFont="1" applyFill="1" applyBorder="1"/>
    <x:xf numFmtId="0" fontId="0" fillId="48" borderId="0" xfId="0" applyNumberFormat="1" applyFont="1" applyFill="1" applyBorder="1"/>
    <x:xf numFmtId="0" fontId="30" fillId="48" borderId="0" xfId="0" applyNumberFormat="1" applyFont="1" applyFill="1" applyBorder="1"/>
    <x:xf numFmtId="0" fontId="30" fillId="48" borderId="0" xfId="0" applyNumberFormat="1" applyFont="1" applyFill="1" applyBorder="1" applyAlignment="1">
      <x:alignment wrapText="1"/>
    </x:xf>
    <x:xf numFmtId="0" fontId="0" fillId="49" borderId="0" xfId="0" applyNumberFormat="1" applyFont="1" applyFill="1" applyBorder="1"/>
    <x:xf numFmtId="0" fontId="31" fillId="49" borderId="0" xfId="0" applyNumberFormat="1" applyFont="1" applyFill="1" applyBorder="1"/>
    <x:xf numFmtId="0" fontId="31" fillId="49" borderId="142" xfId="0" applyNumberFormat="1" applyFont="1" applyFill="1" applyBorder="1"/>
    <x:xf numFmtId="0" fontId="20" fillId="48" borderId="0" xfId="0" applyNumberFormat="1" applyFont="1" applyFill="1" applyBorder="1"/>
    <x:xf numFmtId="0" fontId="20" fillId="48" borderId="0" xfId="0" applyNumberFormat="1" applyFont="1" applyFill="1" applyBorder="1" applyAlignment="1">
      <x:alignment wrapText="1"/>
    </x:xf>
    <x:xf numFmtId="0" fontId="0" fillId="50" borderId="0" xfId="0" applyNumberFormat="1" applyFont="1" applyFill="1" applyBorder="1"/>
    <x:xf numFmtId="0" fontId="21" fillId="50" borderId="0" xfId="0" applyNumberFormat="1" applyFont="1" applyFill="1" applyBorder="1"/>
    <x:xf numFmtId="0" fontId="32" fillId="49" borderId="0" xfId="0" applyNumberFormat="1" applyFont="1" applyFill="1" applyBorder="1"/>
    <x:xf numFmtId="0" fontId="32" fillId="49" borderId="143" xfId="0" applyNumberFormat="1" applyFont="1" applyFill="1" applyBorder="1"/>
    <x:xf numFmtId="0" fontId="32" fillId="49" borderId="144" xfId="0" applyNumberFormat="1" applyFont="1" applyFill="1" applyBorder="1"/>
    <x:xf numFmtId="0" fontId="32" fillId="49" borderId="145" xfId="0" applyNumberFormat="1" applyFont="1" applyFill="1" applyBorder="1"/>
    <x:xf numFmtId="0" fontId="32" fillId="49" borderId="146" xfId="0" applyNumberFormat="1" applyFont="1" applyFill="1" applyBorder="1"/>
    <x:xf numFmtId="0" fontId="32" fillId="49" xfId="0" applyNumberFormat="1" applyFont="1" applyFill="1" applyBorder="0"/>
    <x:xf numFmtId="0" fontId="32" fillId="49" borderId="147" xfId="0" applyNumberFormat="1" applyFont="1" applyFill="1" applyBorder="1"/>
    <x:xf numFmtId="0" fontId="32" fillId="49" borderId="148" xfId="0" applyNumberFormat="1" applyFont="1" applyFill="1" applyBorder="1"/>
    <x:xf numFmtId="0" fontId="32" fillId="49" borderId="142" xfId="0" applyNumberFormat="1" applyFont="1" applyFill="1" applyBorder="1"/>
    <x:xf numFmtId="0" fontId="32" fillId="49" borderId="149" xfId="0" applyNumberFormat="1" applyFont="1" applyFill="1" applyBorder="1"/>
    <x:xf numFmtId="0" fontId="32" fillId="49" borderId="143" xfId="0" applyNumberFormat="1" applyFont="1" applyFill="1" applyBorder="1" applyAlignment="1">
      <x:alignment wrapText="1"/>
    </x:xf>
    <x:xf numFmtId="0" fontId="32" fillId="49" borderId="144" xfId="0" applyNumberFormat="1" applyFont="1" applyFill="1" applyBorder="1" applyAlignment="1">
      <x:alignment wrapText="1"/>
    </x:xf>
    <x:xf numFmtId="0" fontId="32" fillId="49" borderId="145" xfId="0" applyNumberFormat="1" applyFont="1" applyFill="1" applyBorder="1" applyAlignment="1">
      <x:alignment wrapText="1"/>
    </x:xf>
    <x:xf numFmtId="0" fontId="32" fillId="49" borderId="146" xfId="0" applyNumberFormat="1" applyFont="1" applyFill="1" applyBorder="1" applyAlignment="1">
      <x:alignment wrapText="1"/>
    </x:xf>
    <x:xf numFmtId="0" fontId="32" fillId="49" xfId="0" applyNumberFormat="1" applyFont="1" applyFill="1" applyBorder="0" applyAlignment="1">
      <x:alignment wrapText="1"/>
    </x:xf>
    <x:xf numFmtId="0" fontId="32" fillId="49" borderId="147" xfId="0" applyNumberFormat="1" applyFont="1" applyFill="1" applyBorder="1" applyAlignment="1">
      <x:alignment wrapText="1"/>
    </x:xf>
    <x:xf numFmtId="0" fontId="32" fillId="49" borderId="148" xfId="0" applyNumberFormat="1" applyFont="1" applyFill="1" applyBorder="1" applyAlignment="1">
      <x:alignment wrapText="1"/>
    </x:xf>
    <x:xf numFmtId="0" fontId="32" fillId="49" borderId="142" xfId="0" applyNumberFormat="1" applyFont="1" applyFill="1" applyBorder="1" applyAlignment="1">
      <x:alignment wrapText="1"/>
    </x:xf>
    <x:xf numFmtId="0" fontId="32" fillId="49" borderId="149" xfId="0" applyNumberFormat="1" applyFont="1" applyFill="1" applyBorder="1" applyAlignment="1">
      <x:alignment wrapText="1"/>
    </x:xf>
    <x:xf numFmtId="0" fontId="32" fillId="49" borderId="143" xfId="0" applyNumberFormat="1" applyFont="1" applyFill="1" applyBorder="1" applyAlignment="1">
      <x:alignment horizontal="center" wrapText="1"/>
    </x:xf>
    <x:xf numFmtId="0" fontId="32" fillId="49" borderId="144" xfId="0" applyNumberFormat="1" applyFont="1" applyFill="1" applyBorder="1" applyAlignment="1">
      <x:alignment horizontal="center" wrapText="1"/>
    </x:xf>
    <x:xf numFmtId="0" fontId="32" fillId="49" borderId="145" xfId="0" applyNumberFormat="1" applyFont="1" applyFill="1" applyBorder="1" applyAlignment="1">
      <x:alignment horizontal="center" wrapText="1"/>
    </x:xf>
    <x:xf numFmtId="0" fontId="32" fillId="49" borderId="146" xfId="0" applyNumberFormat="1" applyFont="1" applyFill="1" applyBorder="1" applyAlignment="1">
      <x:alignment horizontal="center" wrapText="1"/>
    </x:xf>
    <x:xf numFmtId="0" fontId="32" fillId="49" xfId="0" applyNumberFormat="1" applyFont="1" applyFill="1" applyBorder="0" applyAlignment="1">
      <x:alignment horizontal="center" wrapText="1"/>
    </x:xf>
    <x:xf numFmtId="0" fontId="32" fillId="49" borderId="147" xfId="0" applyNumberFormat="1" applyFont="1" applyFill="1" applyBorder="1" applyAlignment="1">
      <x:alignment horizontal="center" wrapText="1"/>
    </x:xf>
    <x:xf numFmtId="0" fontId="32" fillId="49" borderId="148" xfId="0" applyNumberFormat="1" applyFont="1" applyFill="1" applyBorder="1" applyAlignment="1">
      <x:alignment horizontal="center" wrapText="1"/>
    </x:xf>
    <x:xf numFmtId="0" fontId="32" fillId="49" borderId="142" xfId="0" applyNumberFormat="1" applyFont="1" applyFill="1" applyBorder="1" applyAlignment="1">
      <x:alignment horizontal="center" wrapText="1"/>
    </x:xf>
    <x:xf numFmtId="0" fontId="32" fillId="49" borderId="149" xfId="0" applyNumberFormat="1" applyFont="1" applyFill="1" applyBorder="1" applyAlignment="1">
      <x:alignment horizontal="center" wrapText="1"/>
    </x:xf>
    <x:xf numFmtId="0" fontId="32" fillId="49" borderId="143" xfId="0" applyNumberFormat="1" applyFont="1" applyFill="1" applyBorder="1" applyAlignment="1">
      <x:alignment horizontal="center" vertical="center" wrapText="1"/>
    </x:xf>
    <x:xf numFmtId="0" fontId="32" fillId="49" borderId="144" xfId="0" applyNumberFormat="1" applyFont="1" applyFill="1" applyBorder="1" applyAlignment="1">
      <x:alignment horizontal="center" vertical="center" wrapText="1"/>
    </x:xf>
    <x:xf numFmtId="0" fontId="32" fillId="49" borderId="145" xfId="0" applyNumberFormat="1" applyFont="1" applyFill="1" applyBorder="1" applyAlignment="1">
      <x:alignment horizontal="center" vertical="center" wrapText="1"/>
    </x:xf>
    <x:xf numFmtId="0" fontId="32" fillId="49" borderId="146" xfId="0" applyNumberFormat="1" applyFont="1" applyFill="1" applyBorder="1" applyAlignment="1">
      <x:alignment horizontal="center" vertical="center" wrapText="1"/>
    </x:xf>
    <x:xf numFmtId="0" fontId="32" fillId="49" xfId="0" applyNumberFormat="1" applyFont="1" applyFill="1" applyBorder="0" applyAlignment="1">
      <x:alignment horizontal="center" vertical="center" wrapText="1"/>
    </x:xf>
    <x:xf numFmtId="0" fontId="32" fillId="49" borderId="147" xfId="0" applyNumberFormat="1" applyFont="1" applyFill="1" applyBorder="1" applyAlignment="1">
      <x:alignment horizontal="center" vertical="center" wrapText="1"/>
    </x:xf>
    <x:xf numFmtId="0" fontId="32" fillId="49" borderId="148" xfId="0" applyNumberFormat="1" applyFont="1" applyFill="1" applyBorder="1" applyAlignment="1">
      <x:alignment horizontal="center" vertical="center" wrapText="1"/>
    </x:xf>
    <x:xf numFmtId="0" fontId="32" fillId="49" borderId="142" xfId="0" applyNumberFormat="1" applyFont="1" applyFill="1" applyBorder="1" applyAlignment="1">
      <x:alignment horizontal="center" vertical="center" wrapText="1"/>
    </x:xf>
    <x:xf numFmtId="0" fontId="32" fillId="49" borderId="149" xfId="0" applyNumberFormat="1" applyFont="1" applyFill="1" applyBorder="1" applyAlignment="1">
      <x:alignment horizontal="center" vertical="center" wrapText="1"/>
    </x:xf>
    <x:xf numFmtId="0" fontId="0" fillId="51" borderId="0" xfId="0" applyNumberFormat="1" applyFont="1" applyFill="1" applyBorder="1"/>
    <x:xf numFmtId="0" fontId="32" fillId="51" borderId="0" xfId="0" applyNumberFormat="1" applyFont="1" applyFill="1" applyBorder="1"/>
    <x:xf numFmtId="0" fontId="32" fillId="51" borderId="150" xfId="0" applyNumberFormat="1" applyFont="1" applyFill="1" applyBorder="1"/>
    <x:xf numFmtId="0" fontId="32" fillId="51" borderId="151" xfId="0" applyNumberFormat="1" applyFont="1" applyFill="1" applyBorder="1"/>
    <x:xf numFmtId="0" fontId="32" fillId="51" borderId="152" xfId="0" applyNumberFormat="1" applyFont="1" applyFill="1" applyBorder="1"/>
    <x:xf numFmtId="0" fontId="32" fillId="51" borderId="153" xfId="0" applyNumberFormat="1" applyFont="1" applyFill="1" applyBorder="1"/>
    <x:xf numFmtId="0" fontId="32" fillId="51" xfId="0" applyNumberFormat="1" applyFont="1" applyFill="1" applyBorder="0"/>
    <x:xf numFmtId="0" fontId="32" fillId="51" borderId="154" xfId="0" applyNumberFormat="1" applyFont="1" applyFill="1" applyBorder="1"/>
    <x:xf numFmtId="0" fontId="32" fillId="51" borderId="155" xfId="0" applyNumberFormat="1" applyFont="1" applyFill="1" applyBorder="1"/>
    <x:xf numFmtId="0" fontId="32" fillId="51" borderId="156" xfId="0" applyNumberFormat="1" applyFont="1" applyFill="1" applyBorder="1"/>
    <x:xf numFmtId="0" fontId="32" fillId="51" borderId="157" xfId="0" applyNumberFormat="1" applyFont="1" applyFill="1" applyBorder="1"/>
    <x:xf numFmtId="0" fontId="32" fillId="51" borderId="150" xfId="0" applyNumberFormat="1" applyFont="1" applyFill="1" applyBorder="1" applyAlignment="1">
      <x:alignment wrapText="1"/>
    </x:xf>
    <x:xf numFmtId="0" fontId="32" fillId="51" borderId="151" xfId="0" applyNumberFormat="1" applyFont="1" applyFill="1" applyBorder="1" applyAlignment="1">
      <x:alignment wrapText="1"/>
    </x:xf>
    <x:xf numFmtId="0" fontId="32" fillId="51" borderId="152" xfId="0" applyNumberFormat="1" applyFont="1" applyFill="1" applyBorder="1" applyAlignment="1">
      <x:alignment wrapText="1"/>
    </x:xf>
    <x:xf numFmtId="0" fontId="32" fillId="51" borderId="153" xfId="0" applyNumberFormat="1" applyFont="1" applyFill="1" applyBorder="1" applyAlignment="1">
      <x:alignment wrapText="1"/>
    </x:xf>
    <x:xf numFmtId="0" fontId="32" fillId="51" xfId="0" applyNumberFormat="1" applyFont="1" applyFill="1" applyBorder="0" applyAlignment="1">
      <x:alignment wrapText="1"/>
    </x:xf>
    <x:xf numFmtId="0" fontId="32" fillId="51" borderId="154" xfId="0" applyNumberFormat="1" applyFont="1" applyFill="1" applyBorder="1" applyAlignment="1">
      <x:alignment wrapText="1"/>
    </x:xf>
    <x:xf numFmtId="0" fontId="32" fillId="51" borderId="155" xfId="0" applyNumberFormat="1" applyFont="1" applyFill="1" applyBorder="1" applyAlignment="1">
      <x:alignment wrapText="1"/>
    </x:xf>
    <x:xf numFmtId="0" fontId="32" fillId="51" borderId="156" xfId="0" applyNumberFormat="1" applyFont="1" applyFill="1" applyBorder="1" applyAlignment="1">
      <x:alignment wrapText="1"/>
    </x:xf>
    <x:xf numFmtId="0" fontId="32" fillId="51" borderId="157" xfId="0" applyNumberFormat="1" applyFont="1" applyFill="1" applyBorder="1" applyAlignment="1">
      <x:alignment wrapText="1"/>
    </x:xf>
    <x:xf numFmtId="0" fontId="32" fillId="51" borderId="150" xfId="0" applyNumberFormat="1" applyFont="1" applyFill="1" applyBorder="1" applyAlignment="1">
      <x:alignment horizontal="center" wrapText="1"/>
    </x:xf>
    <x:xf numFmtId="0" fontId="32" fillId="51" borderId="151" xfId="0" applyNumberFormat="1" applyFont="1" applyFill="1" applyBorder="1" applyAlignment="1">
      <x:alignment horizontal="center" wrapText="1"/>
    </x:xf>
    <x:xf numFmtId="0" fontId="32" fillId="51" borderId="152" xfId="0" applyNumberFormat="1" applyFont="1" applyFill="1" applyBorder="1" applyAlignment="1">
      <x:alignment horizontal="center" wrapText="1"/>
    </x:xf>
    <x:xf numFmtId="0" fontId="32" fillId="51" borderId="153" xfId="0" applyNumberFormat="1" applyFont="1" applyFill="1" applyBorder="1" applyAlignment="1">
      <x:alignment horizontal="center" wrapText="1"/>
    </x:xf>
    <x:xf numFmtId="0" fontId="32" fillId="51" xfId="0" applyNumberFormat="1" applyFont="1" applyFill="1" applyBorder="0" applyAlignment="1">
      <x:alignment horizontal="center" wrapText="1"/>
    </x:xf>
    <x:xf numFmtId="0" fontId="32" fillId="51" borderId="154" xfId="0" applyNumberFormat="1" applyFont="1" applyFill="1" applyBorder="1" applyAlignment="1">
      <x:alignment horizontal="center" wrapText="1"/>
    </x:xf>
    <x:xf numFmtId="0" fontId="32" fillId="51" borderId="155" xfId="0" applyNumberFormat="1" applyFont="1" applyFill="1" applyBorder="1" applyAlignment="1">
      <x:alignment horizontal="center" wrapText="1"/>
    </x:xf>
    <x:xf numFmtId="0" fontId="32" fillId="51" borderId="156" xfId="0" applyNumberFormat="1" applyFont="1" applyFill="1" applyBorder="1" applyAlignment="1">
      <x:alignment horizontal="center" wrapText="1"/>
    </x:xf>
    <x:xf numFmtId="0" fontId="32" fillId="51" borderId="157" xfId="0" applyNumberFormat="1" applyFont="1" applyFill="1" applyBorder="1" applyAlignment="1">
      <x:alignment horizontal="center" wrapText="1"/>
    </x:xf>
    <x:xf numFmtId="0" fontId="32" fillId="51" borderId="150" xfId="0" applyNumberFormat="1" applyFont="1" applyFill="1" applyBorder="1" applyAlignment="1">
      <x:alignment horizontal="center" vertical="center" wrapText="1"/>
    </x:xf>
    <x:xf numFmtId="0" fontId="32" fillId="51" borderId="151" xfId="0" applyNumberFormat="1" applyFont="1" applyFill="1" applyBorder="1" applyAlignment="1">
      <x:alignment horizontal="center" vertical="center" wrapText="1"/>
    </x:xf>
    <x:xf numFmtId="0" fontId="32" fillId="51" borderId="152" xfId="0" applyNumberFormat="1" applyFont="1" applyFill="1" applyBorder="1" applyAlignment="1">
      <x:alignment horizontal="center" vertical="center" wrapText="1"/>
    </x:xf>
    <x:xf numFmtId="0" fontId="32" fillId="51" borderId="153" xfId="0" applyNumberFormat="1" applyFont="1" applyFill="1" applyBorder="1" applyAlignment="1">
      <x:alignment horizontal="center" vertical="center" wrapText="1"/>
    </x:xf>
    <x:xf numFmtId="0" fontId="32" fillId="51" xfId="0" applyNumberFormat="1" applyFont="1" applyFill="1" applyBorder="0" applyAlignment="1">
      <x:alignment horizontal="center" vertical="center" wrapText="1"/>
    </x:xf>
    <x:xf numFmtId="0" fontId="32" fillId="51" borderId="154" xfId="0" applyNumberFormat="1" applyFont="1" applyFill="1" applyBorder="1" applyAlignment="1">
      <x:alignment horizontal="center" vertical="center" wrapText="1"/>
    </x:xf>
    <x:xf numFmtId="0" fontId="32" fillId="51" borderId="155" xfId="0" applyNumberFormat="1" applyFont="1" applyFill="1" applyBorder="1" applyAlignment="1">
      <x:alignment horizontal="center" vertical="center" wrapText="1"/>
    </x:xf>
    <x:xf numFmtId="0" fontId="32" fillId="51" borderId="156" xfId="0" applyNumberFormat="1" applyFont="1" applyFill="1" applyBorder="1" applyAlignment="1">
      <x:alignment horizontal="center" vertical="center" wrapText="1"/>
    </x:xf>
    <x:xf numFmtId="0" fontId="32" fillId="51" borderId="157" xfId="0" applyNumberFormat="1" applyFont="1" applyFill="1" applyBorder="1" applyAlignment="1">
      <x:alignment horizontal="center" vertical="center" wrapText="1"/>
    </x:xf>
    <x:xf numFmtId="0" fontId="0" fillId="52" borderId="0" xfId="0" applyNumberFormat="1" applyFont="1" applyFill="1" applyBorder="1"/>
    <x:xf numFmtId="0" fontId="35" fillId="52" borderId="0" xfId="0" applyNumberFormat="1" applyFont="1" applyFill="1" applyBorder="1"/>
    <x:xf numFmtId="0" fontId="35" fillId="52" borderId="0" xfId="0" applyNumberFormat="1" applyFont="1" applyFill="1" applyBorder="1" applyAlignment="1">
      <x:alignment wrapText="1"/>
    </x:xf>
    <x:xf numFmtId="0" fontId="35" fillId="52" borderId="0" xfId="0" applyNumberFormat="1" applyFont="1" applyFill="1" applyBorder="1" applyAlignment="1">
      <x:alignment vertical="center" wrapText="1"/>
    </x:xf>
    <x:xf numFmtId="0" fontId="35" fillId="48" borderId="0" xfId="0" applyNumberFormat="1" applyFont="1" applyFill="1" applyBorder="1"/>
    <x:xf numFmtId="0" fontId="35" fillId="48" borderId="0" xfId="0" applyNumberFormat="1" applyFont="1" applyFill="1" applyBorder="1" applyAlignment="1">
      <x:alignment wrapText="1"/>
    </x:xf>
    <x:xf numFmtId="0" fontId="35" fillId="48" borderId="0" xfId="0" applyNumberFormat="1" applyFont="1" applyFill="1" applyBorder="1" applyAlignment="1">
      <x:alignment vertical="center" wrapText="1"/>
    </x:xf>
    <x:xf numFmtId="0" fontId="34" fillId="48" borderId="0" xfId="0" applyNumberFormat="1" applyFont="1" applyFill="1" applyBorder="1"/>
    <x:xf numFmtId="0" fontId="34" fillId="48" borderId="0" xfId="0" applyNumberFormat="1" applyFont="1" applyFill="1" applyBorder="1" applyAlignment="1">
      <x:alignment wrapText="1"/>
    </x:xf>
    <x:xf numFmtId="0" fontId="35" fillId="51" borderId="0" xfId="0" applyNumberFormat="1" applyFont="1" applyFill="1" applyBorder="1"/>
    <x:xf numFmtId="0" fontId="35" fillId="51" borderId="0" xfId="0" applyNumberFormat="1" applyFont="1" applyFill="1" applyBorder="1" applyAlignment="1">
      <x:alignment wrapText="1"/>
    </x:xf>
    <x:xf numFmtId="0" fontId="35" fillId="51" borderId="0" xfId="0" applyNumberFormat="1" applyFont="1" applyFill="1" applyBorder="1" applyAlignment="1">
      <x:alignment vertical="top" wrapText="1"/>
    </x:xf>
    <x:xf numFmtId="0" fontId="0" fillId="53" borderId="0" xfId="0" applyNumberFormat="1" applyFont="1" applyFill="1" applyBorder="1"/>
    <x:xf numFmtId="0" fontId="35" fillId="53" borderId="0" xfId="0" applyNumberFormat="1" applyFont="1" applyFill="1" applyBorder="1"/>
    <x:xf numFmtId="0" fontId="35" fillId="53" borderId="0" xfId="0" applyNumberFormat="1" applyFont="1" applyFill="1" applyBorder="1" applyAlignment="1">
      <x:alignment wrapText="1"/>
    </x:xf>
    <x:xf numFmtId="0" fontId="35" fillId="53" borderId="0" xfId="0" applyNumberFormat="1" applyFont="1" applyFill="1" applyBorder="1" applyAlignment="1">
      <x:alignment vertical="top" wrapText="1"/>
    </x:xf>
    <x:xf numFmtId="0" fontId="39" fillId="51" borderId="0" xfId="0" applyNumberFormat="1" applyFont="1" applyFill="1" applyBorder="1"/>
    <x:xf numFmtId="0" fontId="39" fillId="51" borderId="150" xfId="0" applyNumberFormat="1" applyFont="1" applyFill="1" applyBorder="1"/>
    <x:xf numFmtId="0" fontId="39" fillId="51" borderId="152" xfId="0" applyNumberFormat="1" applyFont="1" applyFill="1" applyBorder="1"/>
    <x:xf numFmtId="0" fontId="39" fillId="51" borderId="153" xfId="0" applyNumberFormat="1" applyFont="1" applyFill="1" applyBorder="1"/>
    <x:xf numFmtId="0" fontId="39" fillId="51" borderId="154" xfId="0" applyNumberFormat="1" applyFont="1" applyFill="1" applyBorder="1"/>
    <x:xf numFmtId="0" fontId="39" fillId="51" borderId="155" xfId="0" applyNumberFormat="1" applyFont="1" applyFill="1" applyBorder="1"/>
    <x:xf numFmtId="0" fontId="39" fillId="51" borderId="157" xfId="0" applyNumberFormat="1" applyFont="1" applyFill="1" applyBorder="1"/>
    <x:xf numFmtId="0" fontId="39" fillId="51" borderId="150" xfId="0" applyNumberFormat="1" applyFont="1" applyFill="1" applyBorder="1" applyAlignment="1">
      <x:alignment wrapText="1"/>
    </x:xf>
    <x:xf numFmtId="0" fontId="39" fillId="51" borderId="152" xfId="0" applyNumberFormat="1" applyFont="1" applyFill="1" applyBorder="1" applyAlignment="1">
      <x:alignment wrapText="1"/>
    </x:xf>
    <x:xf numFmtId="0" fontId="39" fillId="51" borderId="153" xfId="0" applyNumberFormat="1" applyFont="1" applyFill="1" applyBorder="1" applyAlignment="1">
      <x:alignment wrapText="1"/>
    </x:xf>
    <x:xf numFmtId="0" fontId="39" fillId="51" borderId="154" xfId="0" applyNumberFormat="1" applyFont="1" applyFill="1" applyBorder="1" applyAlignment="1">
      <x:alignment wrapText="1"/>
    </x:xf>
    <x:xf numFmtId="0" fontId="39" fillId="51" borderId="155" xfId="0" applyNumberFormat="1" applyFont="1" applyFill="1" applyBorder="1" applyAlignment="1">
      <x:alignment wrapText="1"/>
    </x:xf>
    <x:xf numFmtId="0" fontId="39" fillId="51" borderId="157" xfId="0" applyNumberFormat="1" applyFont="1" applyFill="1" applyBorder="1" applyAlignment="1">
      <x:alignment wrapText="1"/>
    </x:xf>
    <x:xf numFmtId="0" fontId="39" fillId="51" borderId="150" xfId="0" applyNumberFormat="1" applyFont="1" applyFill="1" applyBorder="1" applyAlignment="1">
      <x:alignment horizontal="center" wrapText="1"/>
    </x:xf>
    <x:xf numFmtId="0" fontId="39" fillId="51" borderId="152" xfId="0" applyNumberFormat="1" applyFont="1" applyFill="1" applyBorder="1" applyAlignment="1">
      <x:alignment horizontal="center" wrapText="1"/>
    </x:xf>
    <x:xf numFmtId="0" fontId="39" fillId="51" borderId="153" xfId="0" applyNumberFormat="1" applyFont="1" applyFill="1" applyBorder="1" applyAlignment="1">
      <x:alignment horizontal="center" wrapText="1"/>
    </x:xf>
    <x:xf numFmtId="0" fontId="39" fillId="51" borderId="154" xfId="0" applyNumberFormat="1" applyFont="1" applyFill="1" applyBorder="1" applyAlignment="1">
      <x:alignment horizontal="center" wrapText="1"/>
    </x:xf>
    <x:xf numFmtId="0" fontId="39" fillId="51" borderId="155" xfId="0" applyNumberFormat="1" applyFont="1" applyFill="1" applyBorder="1" applyAlignment="1">
      <x:alignment horizontal="center" wrapText="1"/>
    </x:xf>
    <x:xf numFmtId="0" fontId="39" fillId="51" borderId="157" xfId="0" applyNumberFormat="1" applyFont="1" applyFill="1" applyBorder="1" applyAlignment="1">
      <x:alignment horizontal="center" wrapText="1"/>
    </x:xf>
    <x:xf numFmtId="0" fontId="39" fillId="51" borderId="150" xfId="0" applyNumberFormat="1" applyFont="1" applyFill="1" applyBorder="1" applyAlignment="1">
      <x:alignment horizontal="center" vertical="center" wrapText="1"/>
    </x:xf>
    <x:xf numFmtId="0" fontId="39" fillId="51" borderId="152" xfId="0" applyNumberFormat="1" applyFont="1" applyFill="1" applyBorder="1" applyAlignment="1">
      <x:alignment horizontal="center" vertical="center" wrapText="1"/>
    </x:xf>
    <x:xf numFmtId="0" fontId="39" fillId="51" borderId="153" xfId="0" applyNumberFormat="1" applyFont="1" applyFill="1" applyBorder="1" applyAlignment="1">
      <x:alignment horizontal="center" vertical="center" wrapText="1"/>
    </x:xf>
    <x:xf numFmtId="0" fontId="39" fillId="51" borderId="154" xfId="0" applyNumberFormat="1" applyFont="1" applyFill="1" applyBorder="1" applyAlignment="1">
      <x:alignment horizontal="center" vertical="center" wrapText="1"/>
    </x:xf>
    <x:xf numFmtId="0" fontId="39" fillId="51" borderId="155" xfId="0" applyNumberFormat="1" applyFont="1" applyFill="1" applyBorder="1" applyAlignment="1">
      <x:alignment horizontal="center" vertical="center" wrapText="1"/>
    </x:xf>
    <x:xf numFmtId="0" fontId="39" fillId="51" borderId="157" xfId="0" applyNumberFormat="1" applyFont="1" applyFill="1" applyBorder="1" applyAlignment="1">
      <x:alignment horizontal="center" vertical="center" wrapText="1"/>
    </x:xf>
    <x:xf numFmtId="0" fontId="33" fillId="48" borderId="0" xfId="0" applyNumberFormat="1" applyFont="1" applyFill="1" applyBorder="1"/>
    <x:xf numFmtId="0" fontId="32" fillId="52" borderId="0" xfId="0" applyNumberFormat="1" applyFont="1" applyFill="1" applyBorder="1"/>
    <x:xf numFmtId="0" fontId="32" fillId="52" borderId="150" xfId="0" applyNumberFormat="1" applyFont="1" applyFill="1" applyBorder="1"/>
    <x:xf numFmtId="0" fontId="32" fillId="52" borderId="151" xfId="0" applyNumberFormat="1" applyFont="1" applyFill="1" applyBorder="1"/>
    <x:xf numFmtId="0" fontId="32" fillId="52" borderId="152" xfId="0" applyNumberFormat="1" applyFont="1" applyFill="1" applyBorder="1"/>
    <x:xf numFmtId="0" fontId="32" fillId="52" borderId="153" xfId="0" applyNumberFormat="1" applyFont="1" applyFill="1" applyBorder="1"/>
    <x:xf numFmtId="0" fontId="32" fillId="52" xfId="0" applyNumberFormat="1" applyFont="1" applyFill="1" applyBorder="0"/>
    <x:xf numFmtId="0" fontId="32" fillId="52" borderId="154" xfId="0" applyNumberFormat="1" applyFont="1" applyFill="1" applyBorder="1"/>
    <x:xf numFmtId="0" fontId="32" fillId="52" borderId="155" xfId="0" applyNumberFormat="1" applyFont="1" applyFill="1" applyBorder="1"/>
    <x:xf numFmtId="0" fontId="32" fillId="52" borderId="156" xfId="0" applyNumberFormat="1" applyFont="1" applyFill="1" applyBorder="1"/>
    <x:xf numFmtId="0" fontId="32" fillId="52" borderId="157" xfId="0" applyNumberFormat="1" applyFont="1" applyFill="1" applyBorder="1"/>
    <x:xf numFmtId="0" fontId="32" fillId="52" borderId="150" xfId="0" applyNumberFormat="1" applyFont="1" applyFill="1" applyBorder="1" applyAlignment="1">
      <x:alignment wrapText="1"/>
    </x:xf>
    <x:xf numFmtId="0" fontId="32" fillId="52" borderId="151" xfId="0" applyNumberFormat="1" applyFont="1" applyFill="1" applyBorder="1" applyAlignment="1">
      <x:alignment wrapText="1"/>
    </x:xf>
    <x:xf numFmtId="0" fontId="32" fillId="52" borderId="152" xfId="0" applyNumberFormat="1" applyFont="1" applyFill="1" applyBorder="1" applyAlignment="1">
      <x:alignment wrapText="1"/>
    </x:xf>
    <x:xf numFmtId="0" fontId="32" fillId="52" borderId="153" xfId="0" applyNumberFormat="1" applyFont="1" applyFill="1" applyBorder="1" applyAlignment="1">
      <x:alignment wrapText="1"/>
    </x:xf>
    <x:xf numFmtId="0" fontId="32" fillId="52" xfId="0" applyNumberFormat="1" applyFont="1" applyFill="1" applyBorder="0" applyAlignment="1">
      <x:alignment wrapText="1"/>
    </x:xf>
    <x:xf numFmtId="0" fontId="32" fillId="52" borderId="154" xfId="0" applyNumberFormat="1" applyFont="1" applyFill="1" applyBorder="1" applyAlignment="1">
      <x:alignment wrapText="1"/>
    </x:xf>
    <x:xf numFmtId="0" fontId="32" fillId="52" borderId="155" xfId="0" applyNumberFormat="1" applyFont="1" applyFill="1" applyBorder="1" applyAlignment="1">
      <x:alignment wrapText="1"/>
    </x:xf>
    <x:xf numFmtId="0" fontId="32" fillId="52" borderId="156" xfId="0" applyNumberFormat="1" applyFont="1" applyFill="1" applyBorder="1" applyAlignment="1">
      <x:alignment wrapText="1"/>
    </x:xf>
    <x:xf numFmtId="0" fontId="32" fillId="52" borderId="157" xfId="0" applyNumberFormat="1" applyFont="1" applyFill="1" applyBorder="1" applyAlignment="1">
      <x:alignment wrapText="1"/>
    </x:xf>
    <x:xf numFmtId="0" fontId="32" fillId="52" borderId="150" xfId="0" applyNumberFormat="1" applyFont="1" applyFill="1" applyBorder="1" applyAlignment="1">
      <x:alignment horizontal="center" wrapText="1"/>
    </x:xf>
    <x:xf numFmtId="0" fontId="32" fillId="52" borderId="151" xfId="0" applyNumberFormat="1" applyFont="1" applyFill="1" applyBorder="1" applyAlignment="1">
      <x:alignment horizontal="center" wrapText="1"/>
    </x:xf>
    <x:xf numFmtId="0" fontId="32" fillId="52" borderId="152" xfId="0" applyNumberFormat="1" applyFont="1" applyFill="1" applyBorder="1" applyAlignment="1">
      <x:alignment horizontal="center" wrapText="1"/>
    </x:xf>
    <x:xf numFmtId="0" fontId="32" fillId="52" borderId="153" xfId="0" applyNumberFormat="1" applyFont="1" applyFill="1" applyBorder="1" applyAlignment="1">
      <x:alignment horizontal="center" wrapText="1"/>
    </x:xf>
    <x:xf numFmtId="0" fontId="32" fillId="52" xfId="0" applyNumberFormat="1" applyFont="1" applyFill="1" applyBorder="0" applyAlignment="1">
      <x:alignment horizontal="center" wrapText="1"/>
    </x:xf>
    <x:xf numFmtId="0" fontId="32" fillId="52" borderId="154" xfId="0" applyNumberFormat="1" applyFont="1" applyFill="1" applyBorder="1" applyAlignment="1">
      <x:alignment horizontal="center" wrapText="1"/>
    </x:xf>
    <x:xf numFmtId="0" fontId="32" fillId="52" borderId="155" xfId="0" applyNumberFormat="1" applyFont="1" applyFill="1" applyBorder="1" applyAlignment="1">
      <x:alignment horizontal="center" wrapText="1"/>
    </x:xf>
    <x:xf numFmtId="0" fontId="32" fillId="52" borderId="156" xfId="0" applyNumberFormat="1" applyFont="1" applyFill="1" applyBorder="1" applyAlignment="1">
      <x:alignment horizontal="center" wrapText="1"/>
    </x:xf>
    <x:xf numFmtId="0" fontId="32" fillId="52" borderId="157" xfId="0" applyNumberFormat="1" applyFont="1" applyFill="1" applyBorder="1" applyAlignment="1">
      <x:alignment horizontal="center" wrapText="1"/>
    </x:xf>
    <x:xf numFmtId="0" fontId="32" fillId="52" borderId="150" xfId="0" applyNumberFormat="1" applyFont="1" applyFill="1" applyBorder="1" applyAlignment="1">
      <x:alignment horizontal="center" vertical="center" wrapText="1"/>
    </x:xf>
    <x:xf numFmtId="0" fontId="32" fillId="52" borderId="151" xfId="0" applyNumberFormat="1" applyFont="1" applyFill="1" applyBorder="1" applyAlignment="1">
      <x:alignment horizontal="center" vertical="center" wrapText="1"/>
    </x:xf>
    <x:xf numFmtId="0" fontId="32" fillId="52" borderId="152" xfId="0" applyNumberFormat="1" applyFont="1" applyFill="1" applyBorder="1" applyAlignment="1">
      <x:alignment horizontal="center" vertical="center" wrapText="1"/>
    </x:xf>
    <x:xf numFmtId="0" fontId="32" fillId="52" borderId="153" xfId="0" applyNumberFormat="1" applyFont="1" applyFill="1" applyBorder="1" applyAlignment="1">
      <x:alignment horizontal="center" vertical="center" wrapText="1"/>
    </x:xf>
    <x:xf numFmtId="0" fontId="32" fillId="52" xfId="0" applyNumberFormat="1" applyFont="1" applyFill="1" applyBorder="0" applyAlignment="1">
      <x:alignment horizontal="center" vertical="center" wrapText="1"/>
    </x:xf>
    <x:xf numFmtId="0" fontId="32" fillId="52" borderId="154" xfId="0" applyNumberFormat="1" applyFont="1" applyFill="1" applyBorder="1" applyAlignment="1">
      <x:alignment horizontal="center" vertical="center" wrapText="1"/>
    </x:xf>
    <x:xf numFmtId="0" fontId="32" fillId="52" borderId="155" xfId="0" applyNumberFormat="1" applyFont="1" applyFill="1" applyBorder="1" applyAlignment="1">
      <x:alignment horizontal="center" vertical="center" wrapText="1"/>
    </x:xf>
    <x:xf numFmtId="0" fontId="32" fillId="52" borderId="156" xfId="0" applyNumberFormat="1" applyFont="1" applyFill="1" applyBorder="1" applyAlignment="1">
      <x:alignment horizontal="center" vertical="center" wrapText="1"/>
    </x:xf>
    <x:xf numFmtId="0" fontId="32" fillId="52" borderId="157" xfId="0" applyNumberFormat="1" applyFont="1" applyFill="1" applyBorder="1" applyAlignment="1">
      <x:alignment horizontal="center" vertical="center" wrapText="1"/>
    </x:xf>
    <x:xf numFmtId="0" fontId="0" fillId="54" borderId="0" xfId="0" applyNumberFormat="1" applyFont="1" applyFill="1" applyBorder="1"/>
    <x:xf numFmtId="0" fontId="35" fillId="54" borderId="0" xfId="0" applyNumberFormat="1" applyFont="1" applyFill="1" applyBorder="1"/>
    <x:xf numFmtId="0" fontId="35" fillId="54" borderId="0" xfId="0" applyNumberFormat="1" applyFont="1" applyFill="1" applyBorder="1" applyAlignment="1">
      <x:alignment wrapText="1"/>
    </x:xf>
    <x:xf numFmtId="0" fontId="35" fillId="54" borderId="0" xfId="0" applyNumberFormat="1" applyFont="1" applyFill="1" applyBorder="1" applyAlignment="1">
      <x:alignment vertical="center" wrapText="1"/>
    </x:xf>
    <x:xf numFmtId="0" fontId="40" fillId="49" borderId="142" xfId="0" applyNumberFormat="1" applyFont="1" applyFill="1" applyBorder="1"/>
    <x:xf numFmtId="0" fontId="41" fillId="48" borderId="0" xfId="0" applyNumberFormat="1" applyFont="1" applyFill="1" applyBorder="1" applyAlignment="1">
      <x:alignment wrapText="1"/>
    </x:xf>
    <x:xf numFmtId="0" fontId="40" fillId="50" borderId="0" xfId="0" applyNumberFormat="1" applyFont="1" applyFill="1" applyBorder="1"/>
    <x:xf numFmtId="0" fontId="40" fillId="49" borderId="143" xfId="0" applyNumberFormat="1" applyFont="1" applyFill="1" applyBorder="1" applyAlignment="1">
      <x:alignment horizontal="center" vertical="center" wrapText="1"/>
    </x:xf>
    <x:xf numFmtId="0" fontId="40" fillId="49" borderId="144" xfId="0" applyNumberFormat="1" applyFont="1" applyFill="1" applyBorder="1" applyAlignment="1">
      <x:alignment horizontal="center" vertical="center" wrapText="1"/>
    </x:xf>
    <x:xf numFmtId="0" fontId="40" fillId="49" borderId="145" xfId="0" applyNumberFormat="1" applyFont="1" applyFill="1" applyBorder="1" applyAlignment="1">
      <x:alignment horizontal="center" vertical="center" wrapText="1"/>
    </x:xf>
    <x:xf numFmtId="0" fontId="40" fillId="51" borderId="150" xfId="0" applyNumberFormat="1" applyFont="1" applyFill="1" applyBorder="1" applyAlignment="1">
      <x:alignment horizontal="center" vertical="center" wrapText="1"/>
    </x:xf>
    <x:xf numFmtId="0" fontId="40" fillId="51" borderId="151" xfId="0" applyNumberFormat="1" applyFont="1" applyFill="1" applyBorder="1" applyAlignment="1">
      <x:alignment horizontal="center" vertical="center" wrapText="1"/>
    </x:xf>
    <x:xf numFmtId="0" fontId="40" fillId="51" borderId="152" xfId="0" applyNumberFormat="1" applyFont="1" applyFill="1" applyBorder="1" applyAlignment="1">
      <x:alignment horizontal="center" vertical="center" wrapText="1"/>
    </x:xf>
    <x:xf numFmtId="0" fontId="40" fillId="49" borderId="146" xfId="0" applyNumberFormat="1" applyFont="1" applyFill="1" applyBorder="1" applyAlignment="1">
      <x:alignment horizontal="center" vertical="center" wrapText="1"/>
    </x:xf>
    <x:xf numFmtId="0" fontId="40" fillId="49" xfId="0" applyNumberFormat="1" applyFont="1" applyFill="1" applyBorder="0" applyAlignment="1">
      <x:alignment horizontal="center" vertical="center" wrapText="1"/>
    </x:xf>
    <x:xf numFmtId="0" fontId="40" fillId="49" borderId="147" xfId="0" applyNumberFormat="1" applyFont="1" applyFill="1" applyBorder="1" applyAlignment="1">
      <x:alignment horizontal="center" vertical="center" wrapText="1"/>
    </x:xf>
    <x:xf numFmtId="0" fontId="40" fillId="51" borderId="153" xfId="0" applyNumberFormat="1" applyFont="1" applyFill="1" applyBorder="1" applyAlignment="1">
      <x:alignment horizontal="center" vertical="center" wrapText="1"/>
    </x:xf>
    <x:xf numFmtId="0" fontId="40" fillId="51" xfId="0" applyNumberFormat="1" applyFont="1" applyFill="1" applyBorder="0" applyAlignment="1">
      <x:alignment horizontal="center" vertical="center" wrapText="1"/>
    </x:xf>
    <x:xf numFmtId="0" fontId="40" fillId="51" borderId="154" xfId="0" applyNumberFormat="1" applyFont="1" applyFill="1" applyBorder="1" applyAlignment="1">
      <x:alignment horizontal="center" vertical="center" wrapText="1"/>
    </x:xf>
    <x:xf numFmtId="0" fontId="40" fillId="49" borderId="148" xfId="0" applyNumberFormat="1" applyFont="1" applyFill="1" applyBorder="1" applyAlignment="1">
      <x:alignment horizontal="center" vertical="center" wrapText="1"/>
    </x:xf>
    <x:xf numFmtId="0" fontId="40" fillId="49" borderId="142" xfId="0" applyNumberFormat="1" applyFont="1" applyFill="1" applyBorder="1" applyAlignment="1">
      <x:alignment horizontal="center" vertical="center" wrapText="1"/>
    </x:xf>
    <x:xf numFmtId="0" fontId="40" fillId="49" borderId="149" xfId="0" applyNumberFormat="1" applyFont="1" applyFill="1" applyBorder="1" applyAlignment="1">
      <x:alignment horizontal="center" vertical="center" wrapText="1"/>
    </x:xf>
    <x:xf numFmtId="0" fontId="40" fillId="51" borderId="155" xfId="0" applyNumberFormat="1" applyFont="1" applyFill="1" applyBorder="1" applyAlignment="1">
      <x:alignment horizontal="center" vertical="center" wrapText="1"/>
    </x:xf>
    <x:xf numFmtId="0" fontId="40" fillId="51" borderId="156" xfId="0" applyNumberFormat="1" applyFont="1" applyFill="1" applyBorder="1" applyAlignment="1">
      <x:alignment horizontal="center" vertical="center" wrapText="1"/>
    </x:xf>
    <x:xf numFmtId="0" fontId="40" fillId="51" borderId="157" xfId="0" applyNumberFormat="1" applyFont="1" applyFill="1" applyBorder="1" applyAlignment="1">
      <x:alignment horizontal="center" vertical="center" wrapText="1"/>
    </x:xf>
    <x:xf numFmtId="0" fontId="41" fillId="52" borderId="0" xfId="0" applyNumberFormat="1" applyFont="1" applyFill="1" applyBorder="1" applyAlignment="1">
      <x:alignment vertical="center" wrapText="1"/>
    </x:xf>
    <x:xf numFmtId="0" fontId="41" fillId="48" borderId="0" xfId="0" applyNumberFormat="1" applyFont="1" applyFill="1" applyBorder="1" applyAlignment="1">
      <x:alignment vertical="center" wrapText="1"/>
    </x:xf>
    <x:xf numFmtId="0" fontId="40" fillId="48" borderId="0" xfId="0" applyNumberFormat="1" applyFont="1" applyFill="1" applyBorder="1" applyAlignment="1">
      <x:alignment wrapText="1"/>
    </x:xf>
    <x:xf numFmtId="0" fontId="41" fillId="51" borderId="0" xfId="0" applyNumberFormat="1" applyFont="1" applyFill="1" applyBorder="1" applyAlignment="1">
      <x:alignment vertical="top" wrapText="1"/>
    </x:xf>
    <x:xf numFmtId="0" fontId="41" fillId="53" borderId="0" xfId="0" applyNumberFormat="1" applyFont="1" applyFill="1" applyBorder="1" applyAlignment="1">
      <x:alignment vertical="top" wrapText="1"/>
    </x:xf>
    <x:xf numFmtId="0" fontId="40" fillId="48" borderId="0" xfId="0" applyNumberFormat="1" applyFont="1" applyFill="1" applyBorder="1"/>
    <x:xf numFmtId="0" fontId="40" fillId="52" borderId="150" xfId="0" applyNumberFormat="1" applyFont="1" applyFill="1" applyBorder="1" applyAlignment="1">
      <x:alignment horizontal="center" vertical="center" wrapText="1"/>
    </x:xf>
    <x:xf numFmtId="0" fontId="40" fillId="52" borderId="151" xfId="0" applyNumberFormat="1" applyFont="1" applyFill="1" applyBorder="1" applyAlignment="1">
      <x:alignment horizontal="center" vertical="center" wrapText="1"/>
    </x:xf>
    <x:xf numFmtId="0" fontId="40" fillId="52" borderId="152" xfId="0" applyNumberFormat="1" applyFont="1" applyFill="1" applyBorder="1" applyAlignment="1">
      <x:alignment horizontal="center" vertical="center" wrapText="1"/>
    </x:xf>
    <x:xf numFmtId="0" fontId="40" fillId="52" borderId="153" xfId="0" applyNumberFormat="1" applyFont="1" applyFill="1" applyBorder="1" applyAlignment="1">
      <x:alignment horizontal="center" vertical="center" wrapText="1"/>
    </x:xf>
    <x:xf numFmtId="0" fontId="40" fillId="52" xfId="0" applyNumberFormat="1" applyFont="1" applyFill="1" applyBorder="0" applyAlignment="1">
      <x:alignment horizontal="center" vertical="center" wrapText="1"/>
    </x:xf>
    <x:xf numFmtId="0" fontId="40" fillId="52" borderId="154" xfId="0" applyNumberFormat="1" applyFont="1" applyFill="1" applyBorder="1" applyAlignment="1">
      <x:alignment horizontal="center" vertical="center" wrapText="1"/>
    </x:xf>
    <x:xf numFmtId="0" fontId="40" fillId="52" borderId="155" xfId="0" applyNumberFormat="1" applyFont="1" applyFill="1" applyBorder="1" applyAlignment="1">
      <x:alignment horizontal="center" vertical="center" wrapText="1"/>
    </x:xf>
    <x:xf numFmtId="0" fontId="40" fillId="52" borderId="156" xfId="0" applyNumberFormat="1" applyFont="1" applyFill="1" applyBorder="1" applyAlignment="1">
      <x:alignment horizontal="center" vertical="center" wrapText="1"/>
    </x:xf>
    <x:xf numFmtId="0" fontId="40" fillId="52" borderId="157" xfId="0" applyNumberFormat="1" applyFont="1" applyFill="1" applyBorder="1" applyAlignment="1">
      <x:alignment horizontal="center" vertical="center" wrapText="1"/>
    </x:xf>
    <x:xf numFmtId="0" fontId="41" fillId="54" borderId="0" xfId="0" applyNumberFormat="1" applyFont="1" applyFill="1" applyBorder="1" applyAlignment="1">
      <x:alignment vertical="center" wrapText="1"/>
    </x:xf>
    <x:xf numFmtId="0" fontId="42" fillId="49" borderId="142" xfId="0" applyNumberFormat="1" applyFont="1" applyFill="1" applyBorder="1"/>
    <x:xf numFmtId="0" fontId="28" fillId="50" borderId="0" xfId="0" applyNumberFormat="1" applyFont="1" applyFill="1" applyBorder="1"/>
    <x:xf numFmtId="0" fontId="35" fillId="52" borderId="0" xfId="0" applyNumberFormat="1" applyFont="1" applyFill="1" applyBorder="1" applyAlignment="1">
      <x:alignment vertical="top" wrapText="1"/>
    </x:xf>
    <x:xf numFmtId="0" fontId="39" fillId="51" borderId="151" xfId="0" applyNumberFormat="1" applyFont="1" applyFill="1" applyBorder="1"/>
    <x:xf numFmtId="0" fontId="39" fillId="51" xfId="0" applyNumberFormat="1" applyFont="1" applyFill="1" applyBorder="0"/>
    <x:xf numFmtId="0" fontId="39" fillId="51" borderId="156" xfId="0" applyNumberFormat="1" applyFont="1" applyFill="1" applyBorder="1"/>
    <x:xf numFmtId="0" fontId="39" fillId="51" borderId="151" xfId="0" applyNumberFormat="1" applyFont="1" applyFill="1" applyBorder="1" applyAlignment="1">
      <x:alignment wrapText="1"/>
    </x:xf>
    <x:xf numFmtId="0" fontId="39" fillId="51" xfId="0" applyNumberFormat="1" applyFont="1" applyFill="1" applyBorder="0" applyAlignment="1">
      <x:alignment wrapText="1"/>
    </x:xf>
    <x:xf numFmtId="0" fontId="39" fillId="51" borderId="156" xfId="0" applyNumberFormat="1" applyFont="1" applyFill="1" applyBorder="1" applyAlignment="1">
      <x:alignment wrapText="1"/>
    </x:xf>
    <x:xf numFmtId="0" fontId="39" fillId="51" borderId="151" xfId="0" applyNumberFormat="1" applyFont="1" applyFill="1" applyBorder="1" applyAlignment="1">
      <x:alignment horizontal="center" wrapText="1"/>
    </x:xf>
    <x:xf numFmtId="0" fontId="39" fillId="51" xfId="0" applyNumberFormat="1" applyFont="1" applyFill="1" applyBorder="0" applyAlignment="1">
      <x:alignment horizontal="center" wrapText="1"/>
    </x:xf>
    <x:xf numFmtId="0" fontId="39" fillId="51" borderId="156" xfId="0" applyNumberFormat="1" applyFont="1" applyFill="1" applyBorder="1" applyAlignment="1">
      <x:alignment horizontal="center" wrapText="1"/>
    </x:xf>
    <x:xf numFmtId="0" fontId="39" fillId="51" borderId="151" xfId="0" applyNumberFormat="1" applyFont="1" applyFill="1" applyBorder="1" applyAlignment="1">
      <x:alignment horizontal="center" vertical="center" wrapText="1"/>
    </x:xf>
    <x:xf numFmtId="0" fontId="39" fillId="51" xfId="0" applyNumberFormat="1" applyFont="1" applyFill="1" applyBorder="0" applyAlignment="1">
      <x:alignment horizontal="center" vertical="center" wrapText="1"/>
    </x:xf>
    <x:xf numFmtId="0" fontId="39" fillId="51" borderId="156" xfId="0" applyNumberFormat="1" applyFont="1" applyFill="1" applyBorder="1" applyAlignment="1">
      <x:alignment horizontal="center" vertical="center" wrapText="1"/>
    </x:xf>
    <x:xf numFmtId="0" fontId="22" fillId="51" borderId="153" xfId="0" applyNumberFormat="1" applyFont="1" applyFill="1" applyBorder="1" applyAlignment="1">
      <x:alignment horizontal="center" vertical="center" wrapText="1"/>
    </x:xf>
    <x:xf numFmtId="0" fontId="32" fillId="53" borderId="0" xfId="0" applyNumberFormat="1" applyFont="1" applyFill="1" applyBorder="1"/>
    <x:xf numFmtId="0" fontId="32" fillId="53" borderId="143" xfId="0" applyNumberFormat="1" applyFont="1" applyFill="1" applyBorder="1"/>
    <x:xf numFmtId="0" fontId="32" fillId="53" borderId="144" xfId="0" applyNumberFormat="1" applyFont="1" applyFill="1" applyBorder="1"/>
    <x:xf numFmtId="0" fontId="32" fillId="53" borderId="145" xfId="0" applyNumberFormat="1" applyFont="1" applyFill="1" applyBorder="1"/>
    <x:xf numFmtId="0" fontId="32" fillId="53" borderId="146" xfId="0" applyNumberFormat="1" applyFont="1" applyFill="1" applyBorder="1"/>
    <x:xf numFmtId="0" fontId="32" fillId="53" xfId="0" applyNumberFormat="1" applyFont="1" applyFill="1" applyBorder="0"/>
    <x:xf numFmtId="0" fontId="32" fillId="53" borderId="147" xfId="0" applyNumberFormat="1" applyFont="1" applyFill="1" applyBorder="1"/>
    <x:xf numFmtId="0" fontId="32" fillId="53" borderId="148" xfId="0" applyNumberFormat="1" applyFont="1" applyFill="1" applyBorder="1"/>
    <x:xf numFmtId="0" fontId="32" fillId="53" borderId="142" xfId="0" applyNumberFormat="1" applyFont="1" applyFill="1" applyBorder="1"/>
    <x:xf numFmtId="0" fontId="32" fillId="53" borderId="149" xfId="0" applyNumberFormat="1" applyFont="1" applyFill="1" applyBorder="1"/>
    <x:xf numFmtId="0" fontId="32" fillId="53" borderId="143" xfId="0" applyNumberFormat="1" applyFont="1" applyFill="1" applyBorder="1" applyAlignment="1">
      <x:alignment wrapText="1"/>
    </x:xf>
    <x:xf numFmtId="0" fontId="32" fillId="53" borderId="144" xfId="0" applyNumberFormat="1" applyFont="1" applyFill="1" applyBorder="1" applyAlignment="1">
      <x:alignment wrapText="1"/>
    </x:xf>
    <x:xf numFmtId="0" fontId="32" fillId="53" borderId="145" xfId="0" applyNumberFormat="1" applyFont="1" applyFill="1" applyBorder="1" applyAlignment="1">
      <x:alignment wrapText="1"/>
    </x:xf>
    <x:xf numFmtId="0" fontId="32" fillId="53" borderId="146" xfId="0" applyNumberFormat="1" applyFont="1" applyFill="1" applyBorder="1" applyAlignment="1">
      <x:alignment wrapText="1"/>
    </x:xf>
    <x:xf numFmtId="0" fontId="32" fillId="53" xfId="0" applyNumberFormat="1" applyFont="1" applyFill="1" applyBorder="0" applyAlignment="1">
      <x:alignment wrapText="1"/>
    </x:xf>
    <x:xf numFmtId="0" fontId="32" fillId="53" borderId="147" xfId="0" applyNumberFormat="1" applyFont="1" applyFill="1" applyBorder="1" applyAlignment="1">
      <x:alignment wrapText="1"/>
    </x:xf>
    <x:xf numFmtId="0" fontId="32" fillId="53" borderId="148" xfId="0" applyNumberFormat="1" applyFont="1" applyFill="1" applyBorder="1" applyAlignment="1">
      <x:alignment wrapText="1"/>
    </x:xf>
    <x:xf numFmtId="0" fontId="32" fillId="53" borderId="142" xfId="0" applyNumberFormat="1" applyFont="1" applyFill="1" applyBorder="1" applyAlignment="1">
      <x:alignment wrapText="1"/>
    </x:xf>
    <x:xf numFmtId="0" fontId="32" fillId="53" borderId="149" xfId="0" applyNumberFormat="1" applyFont="1" applyFill="1" applyBorder="1" applyAlignment="1">
      <x:alignment wrapText="1"/>
    </x:xf>
    <x:xf numFmtId="0" fontId="32" fillId="53" borderId="143" xfId="0" applyNumberFormat="1" applyFont="1" applyFill="1" applyBorder="1" applyAlignment="1">
      <x:alignment horizontal="center" wrapText="1"/>
    </x:xf>
    <x:xf numFmtId="0" fontId="32" fillId="53" borderId="144" xfId="0" applyNumberFormat="1" applyFont="1" applyFill="1" applyBorder="1" applyAlignment="1">
      <x:alignment horizontal="center" wrapText="1"/>
    </x:xf>
    <x:xf numFmtId="0" fontId="32" fillId="53" borderId="145" xfId="0" applyNumberFormat="1" applyFont="1" applyFill="1" applyBorder="1" applyAlignment="1">
      <x:alignment horizontal="center" wrapText="1"/>
    </x:xf>
    <x:xf numFmtId="0" fontId="32" fillId="53" borderId="146" xfId="0" applyNumberFormat="1" applyFont="1" applyFill="1" applyBorder="1" applyAlignment="1">
      <x:alignment horizontal="center" wrapText="1"/>
    </x:xf>
    <x:xf numFmtId="0" fontId="32" fillId="53" xfId="0" applyNumberFormat="1" applyFont="1" applyFill="1" applyBorder="0" applyAlignment="1">
      <x:alignment horizontal="center" wrapText="1"/>
    </x:xf>
    <x:xf numFmtId="0" fontId="32" fillId="53" borderId="147" xfId="0" applyNumberFormat="1" applyFont="1" applyFill="1" applyBorder="1" applyAlignment="1">
      <x:alignment horizontal="center" wrapText="1"/>
    </x:xf>
    <x:xf numFmtId="0" fontId="32" fillId="53" borderId="148" xfId="0" applyNumberFormat="1" applyFont="1" applyFill="1" applyBorder="1" applyAlignment="1">
      <x:alignment horizontal="center" wrapText="1"/>
    </x:xf>
    <x:xf numFmtId="0" fontId="32" fillId="53" borderId="142" xfId="0" applyNumberFormat="1" applyFont="1" applyFill="1" applyBorder="1" applyAlignment="1">
      <x:alignment horizontal="center" wrapText="1"/>
    </x:xf>
    <x:xf numFmtId="0" fontId="32" fillId="53" borderId="149" xfId="0" applyNumberFormat="1" applyFont="1" applyFill="1" applyBorder="1" applyAlignment="1">
      <x:alignment horizontal="center" wrapText="1"/>
    </x:xf>
    <x:xf numFmtId="0" fontId="32" fillId="53" borderId="143" xfId="0" applyNumberFormat="1" applyFont="1" applyFill="1" applyBorder="1" applyAlignment="1">
      <x:alignment horizontal="center" vertical="center" wrapText="1"/>
    </x:xf>
    <x:xf numFmtId="0" fontId="32" fillId="53" borderId="144" xfId="0" applyNumberFormat="1" applyFont="1" applyFill="1" applyBorder="1" applyAlignment="1">
      <x:alignment horizontal="center" vertical="center" wrapText="1"/>
    </x:xf>
    <x:xf numFmtId="0" fontId="32" fillId="53" borderId="145" xfId="0" applyNumberFormat="1" applyFont="1" applyFill="1" applyBorder="1" applyAlignment="1">
      <x:alignment horizontal="center" vertical="center" wrapText="1"/>
    </x:xf>
    <x:xf numFmtId="0" fontId="32" fillId="53" borderId="146" xfId="0" applyNumberFormat="1" applyFont="1" applyFill="1" applyBorder="1" applyAlignment="1">
      <x:alignment horizontal="center" vertical="center" wrapText="1"/>
    </x:xf>
    <x:xf numFmtId="0" fontId="32" fillId="53" xfId="0" applyNumberFormat="1" applyFont="1" applyFill="1" applyBorder="0" applyAlignment="1">
      <x:alignment horizontal="center" vertical="center" wrapText="1"/>
    </x:xf>
    <x:xf numFmtId="0" fontId="32" fillId="53" borderId="147" xfId="0" applyNumberFormat="1" applyFont="1" applyFill="1" applyBorder="1" applyAlignment="1">
      <x:alignment horizontal="center" vertical="center" wrapText="1"/>
    </x:xf>
    <x:xf numFmtId="0" fontId="32" fillId="53" borderId="148" xfId="0" applyNumberFormat="1" applyFont="1" applyFill="1" applyBorder="1" applyAlignment="1">
      <x:alignment horizontal="center" vertical="center" wrapText="1"/>
    </x:xf>
    <x:xf numFmtId="0" fontId="32" fillId="53" borderId="142" xfId="0" applyNumberFormat="1" applyFont="1" applyFill="1" applyBorder="1" applyAlignment="1">
      <x:alignment horizontal="center" vertical="center" wrapText="1"/>
    </x:xf>
    <x:xf numFmtId="0" fontId="32" fillId="53" borderId="149" xfId="0" applyNumberFormat="1" applyFont="1" applyFill="1" applyBorder="1" applyAlignment="1">
      <x:alignment horizontal="center" vertical="center" wrapText="1"/>
    </x:xf>
    <x:xf numFmtId="0" fontId="41" fillId="52" borderId="0" xfId="0" applyNumberFormat="1" applyFont="1" applyFill="1" applyBorder="1" applyAlignment="1">
      <x:alignment vertical="top" wrapText="1"/>
    </x:xf>
    <x:xf numFmtId="0" fontId="40" fillId="53" borderId="143" xfId="0" applyNumberFormat="1" applyFont="1" applyFill="1" applyBorder="1" applyAlignment="1">
      <x:alignment horizontal="center" vertical="center" wrapText="1"/>
    </x:xf>
    <x:xf numFmtId="0" fontId="40" fillId="53" borderId="144" xfId="0" applyNumberFormat="1" applyFont="1" applyFill="1" applyBorder="1" applyAlignment="1">
      <x:alignment horizontal="center" vertical="center" wrapText="1"/>
    </x:xf>
    <x:xf numFmtId="0" fontId="40" fillId="53" borderId="145" xfId="0" applyNumberFormat="1" applyFont="1" applyFill="1" applyBorder="1" applyAlignment="1">
      <x:alignment horizontal="center" vertical="center" wrapText="1"/>
    </x:xf>
    <x:xf numFmtId="0" fontId="40" fillId="53" borderId="146" xfId="0" applyNumberFormat="1" applyFont="1" applyFill="1" applyBorder="1" applyAlignment="1">
      <x:alignment horizontal="center" vertical="center" wrapText="1"/>
    </x:xf>
    <x:xf numFmtId="0" fontId="40" fillId="53" xfId="0" applyNumberFormat="1" applyFont="1" applyFill="1" applyBorder="0" applyAlignment="1">
      <x:alignment horizontal="center" vertical="center" wrapText="1"/>
    </x:xf>
    <x:xf numFmtId="0" fontId="40" fillId="53" borderId="147" xfId="0" applyNumberFormat="1" applyFont="1" applyFill="1" applyBorder="1" applyAlignment="1">
      <x:alignment horizontal="center" vertical="center" wrapText="1"/>
    </x:xf>
    <x:xf numFmtId="0" fontId="40" fillId="53" borderId="148" xfId="0" applyNumberFormat="1" applyFont="1" applyFill="1" applyBorder="1" applyAlignment="1">
      <x:alignment horizontal="center" vertical="center" wrapText="1"/>
    </x:xf>
    <x:xf numFmtId="0" fontId="40" fillId="53" borderId="142" xfId="0" applyNumberFormat="1" applyFont="1" applyFill="1" applyBorder="1" applyAlignment="1">
      <x:alignment horizontal="center" vertical="center" wrapText="1"/>
    </x:xf>
    <x:xf numFmtId="0" fontId="40" fillId="53" borderId="149" xfId="0" applyNumberFormat="1" applyFont="1" applyFill="1" applyBorder="1" applyAlignment="1">
      <x:alignment horizontal="center" vertical="center" wrapText="1"/>
    </x:xf>
    <x:xf numFmtId="0" fontId="32" fillId="54" borderId="0" xfId="0" applyNumberFormat="1" applyFont="1" applyFill="1" applyBorder="1"/>
    <x:xf numFmtId="0" fontId="32" fillId="54" borderId="143" xfId="0" applyNumberFormat="1" applyFont="1" applyFill="1" applyBorder="1"/>
    <x:xf numFmtId="0" fontId="32" fillId="54" borderId="144" xfId="0" applyNumberFormat="1" applyFont="1" applyFill="1" applyBorder="1"/>
    <x:xf numFmtId="0" fontId="32" fillId="54" borderId="145" xfId="0" applyNumberFormat="1" applyFont="1" applyFill="1" applyBorder="1"/>
    <x:xf numFmtId="0" fontId="32" fillId="54" borderId="146" xfId="0" applyNumberFormat="1" applyFont="1" applyFill="1" applyBorder="1"/>
    <x:xf numFmtId="0" fontId="32" fillId="54" xfId="0" applyNumberFormat="1" applyFont="1" applyFill="1" applyBorder="0"/>
    <x:xf numFmtId="0" fontId="32" fillId="54" borderId="147" xfId="0" applyNumberFormat="1" applyFont="1" applyFill="1" applyBorder="1"/>
    <x:xf numFmtId="0" fontId="32" fillId="54" borderId="148" xfId="0" applyNumberFormat="1" applyFont="1" applyFill="1" applyBorder="1"/>
    <x:xf numFmtId="0" fontId="32" fillId="54" borderId="142" xfId="0" applyNumberFormat="1" applyFont="1" applyFill="1" applyBorder="1"/>
    <x:xf numFmtId="0" fontId="32" fillId="54" borderId="149" xfId="0" applyNumberFormat="1" applyFont="1" applyFill="1" applyBorder="1"/>
    <x:xf numFmtId="0" fontId="32" fillId="54" borderId="143" xfId="0" applyNumberFormat="1" applyFont="1" applyFill="1" applyBorder="1" applyAlignment="1">
      <x:alignment wrapText="1"/>
    </x:xf>
    <x:xf numFmtId="0" fontId="32" fillId="54" borderId="144" xfId="0" applyNumberFormat="1" applyFont="1" applyFill="1" applyBorder="1" applyAlignment="1">
      <x:alignment wrapText="1"/>
    </x:xf>
    <x:xf numFmtId="0" fontId="32" fillId="54" borderId="145" xfId="0" applyNumberFormat="1" applyFont="1" applyFill="1" applyBorder="1" applyAlignment="1">
      <x:alignment wrapText="1"/>
    </x:xf>
    <x:xf numFmtId="0" fontId="32" fillId="54" borderId="146" xfId="0" applyNumberFormat="1" applyFont="1" applyFill="1" applyBorder="1" applyAlignment="1">
      <x:alignment wrapText="1"/>
    </x:xf>
    <x:xf numFmtId="0" fontId="32" fillId="54" xfId="0" applyNumberFormat="1" applyFont="1" applyFill="1" applyBorder="0" applyAlignment="1">
      <x:alignment wrapText="1"/>
    </x:xf>
    <x:xf numFmtId="0" fontId="32" fillId="54" borderId="147" xfId="0" applyNumberFormat="1" applyFont="1" applyFill="1" applyBorder="1" applyAlignment="1">
      <x:alignment wrapText="1"/>
    </x:xf>
    <x:xf numFmtId="0" fontId="32" fillId="54" borderId="148" xfId="0" applyNumberFormat="1" applyFont="1" applyFill="1" applyBorder="1" applyAlignment="1">
      <x:alignment wrapText="1"/>
    </x:xf>
    <x:xf numFmtId="0" fontId="32" fillId="54" borderId="142" xfId="0" applyNumberFormat="1" applyFont="1" applyFill="1" applyBorder="1" applyAlignment="1">
      <x:alignment wrapText="1"/>
    </x:xf>
    <x:xf numFmtId="0" fontId="32" fillId="54" borderId="149" xfId="0" applyNumberFormat="1" applyFont="1" applyFill="1" applyBorder="1" applyAlignment="1">
      <x:alignment wrapText="1"/>
    </x:xf>
    <x:xf numFmtId="0" fontId="32" fillId="54" borderId="143" xfId="0" applyNumberFormat="1" applyFont="1" applyFill="1" applyBorder="1" applyAlignment="1">
      <x:alignment horizontal="center" wrapText="1"/>
    </x:xf>
    <x:xf numFmtId="0" fontId="32" fillId="54" borderId="144" xfId="0" applyNumberFormat="1" applyFont="1" applyFill="1" applyBorder="1" applyAlignment="1">
      <x:alignment horizontal="center" wrapText="1"/>
    </x:xf>
    <x:xf numFmtId="0" fontId="32" fillId="54" borderId="145" xfId="0" applyNumberFormat="1" applyFont="1" applyFill="1" applyBorder="1" applyAlignment="1">
      <x:alignment horizontal="center" wrapText="1"/>
    </x:xf>
    <x:xf numFmtId="0" fontId="32" fillId="54" borderId="146" xfId="0" applyNumberFormat="1" applyFont="1" applyFill="1" applyBorder="1" applyAlignment="1">
      <x:alignment horizontal="center" wrapText="1"/>
    </x:xf>
    <x:xf numFmtId="0" fontId="32" fillId="54" xfId="0" applyNumberFormat="1" applyFont="1" applyFill="1" applyBorder="0" applyAlignment="1">
      <x:alignment horizontal="center" wrapText="1"/>
    </x:xf>
    <x:xf numFmtId="0" fontId="32" fillId="54" borderId="147" xfId="0" applyNumberFormat="1" applyFont="1" applyFill="1" applyBorder="1" applyAlignment="1">
      <x:alignment horizontal="center" wrapText="1"/>
    </x:xf>
    <x:xf numFmtId="0" fontId="32" fillId="54" borderId="148" xfId="0" applyNumberFormat="1" applyFont="1" applyFill="1" applyBorder="1" applyAlignment="1">
      <x:alignment horizontal="center" wrapText="1"/>
    </x:xf>
    <x:xf numFmtId="0" fontId="32" fillId="54" borderId="142" xfId="0" applyNumberFormat="1" applyFont="1" applyFill="1" applyBorder="1" applyAlignment="1">
      <x:alignment horizontal="center" wrapText="1"/>
    </x:xf>
    <x:xf numFmtId="0" fontId="32" fillId="54" borderId="149" xfId="0" applyNumberFormat="1" applyFont="1" applyFill="1" applyBorder="1" applyAlignment="1">
      <x:alignment horizontal="center" wrapText="1"/>
    </x:xf>
    <x:xf numFmtId="0" fontId="32" fillId="54" borderId="143" xfId="0" applyNumberFormat="1" applyFont="1" applyFill="1" applyBorder="1" applyAlignment="1">
      <x:alignment horizontal="center" vertical="center" wrapText="1"/>
    </x:xf>
    <x:xf numFmtId="0" fontId="32" fillId="54" borderId="144" xfId="0" applyNumberFormat="1" applyFont="1" applyFill="1" applyBorder="1" applyAlignment="1">
      <x:alignment horizontal="center" vertical="center" wrapText="1"/>
    </x:xf>
    <x:xf numFmtId="0" fontId="32" fillId="54" borderId="145" xfId="0" applyNumberFormat="1" applyFont="1" applyFill="1" applyBorder="1" applyAlignment="1">
      <x:alignment horizontal="center" vertical="center" wrapText="1"/>
    </x:xf>
    <x:xf numFmtId="0" fontId="32" fillId="54" borderId="146" xfId="0" applyNumberFormat="1" applyFont="1" applyFill="1" applyBorder="1" applyAlignment="1">
      <x:alignment horizontal="center" vertical="center" wrapText="1"/>
    </x:xf>
    <x:xf numFmtId="0" fontId="32" fillId="54" xfId="0" applyNumberFormat="1" applyFont="1" applyFill="1" applyBorder="0" applyAlignment="1">
      <x:alignment horizontal="center" vertical="center" wrapText="1"/>
    </x:xf>
    <x:xf numFmtId="0" fontId="32" fillId="54" borderId="147" xfId="0" applyNumberFormat="1" applyFont="1" applyFill="1" applyBorder="1" applyAlignment="1">
      <x:alignment horizontal="center" vertical="center" wrapText="1"/>
    </x:xf>
    <x:xf numFmtId="0" fontId="32" fillId="54" borderId="148" xfId="0" applyNumberFormat="1" applyFont="1" applyFill="1" applyBorder="1" applyAlignment="1">
      <x:alignment horizontal="center" vertical="center" wrapText="1"/>
    </x:xf>
    <x:xf numFmtId="0" fontId="32" fillId="54" borderId="142" xfId="0" applyNumberFormat="1" applyFont="1" applyFill="1" applyBorder="1" applyAlignment="1">
      <x:alignment horizontal="center" vertical="center" wrapText="1"/>
    </x:xf>
    <x:xf numFmtId="0" fontId="32" fillId="54" borderId="149" xfId="0" applyNumberFormat="1" applyFont="1" applyFill="1" applyBorder="1" applyAlignment="1">
      <x:alignment horizontal="center" vertical="center" wrapText="1"/>
    </x:xf>
    <x:xf numFmtId="0" fontId="38" fillId="48" borderId="0" xfId="0" applyNumberFormat="1" applyFont="1" applyFill="1" applyBorder="1"/>
    <x:xf numFmtId="0" fontId="33" fillId="52" borderId="0" xfId="0" applyNumberFormat="1" applyFont="1" applyFill="1" applyBorder="1"/>
    <x:xf numFmtId="0" fontId="33" fillId="52" borderId="158" xfId="0" applyNumberFormat="1" applyFont="1" applyFill="1" applyBorder="1"/>
    <x:xf numFmtId="0" fontId="43" fillId="52" borderId="0" xfId="0" applyNumberFormat="1" applyFont="1" applyFill="1" applyBorder="1"/>
    <x:xf numFmtId="0" fontId="43" fillId="52" borderId="0" xfId="0" applyNumberFormat="1" applyFont="1" applyFill="1" applyBorder="1" applyAlignment="1">
      <x:alignment wrapText="1"/>
    </x:xf>
    <x:xf numFmtId="0" fontId="43" fillId="52" borderId="0" xfId="0" applyNumberFormat="1" applyFont="1" applyFill="1" applyBorder="1" applyAlignment="1">
      <x:alignment horizontal="center" wrapText="1"/>
    </x:xf>
    <x:xf numFmtId="0" fontId="43" fillId="52" borderId="0" xfId="0" applyNumberFormat="1" applyFont="1" applyFill="1" applyBorder="1" applyAlignment="1">
      <x:alignment horizontal="center" vertical="center" wrapText="1"/>
    </x:xf>
    <x:xf numFmtId="0" fontId="32" fillId="49" borderId="159" xfId="0" applyNumberFormat="1" applyFont="1" applyFill="1" applyBorder="1"/>
    <x:xf numFmtId="0" fontId="32" fillId="49" borderId="160" xfId="0" applyNumberFormat="1" applyFont="1" applyFill="1" applyBorder="1"/>
    <x:xf numFmtId="0" fontId="32" fillId="49" borderId="161" xfId="0" applyNumberFormat="1" applyFont="1" applyFill="1" applyBorder="1"/>
    <x:xf numFmtId="0" fontId="32" fillId="49" borderId="159" xfId="0" applyNumberFormat="1" applyFont="1" applyFill="1" applyBorder="1" applyAlignment="1">
      <x:alignment wrapText="1"/>
    </x:xf>
    <x:xf numFmtId="0" fontId="32" fillId="49" borderId="160" xfId="0" applyNumberFormat="1" applyFont="1" applyFill="1" applyBorder="1" applyAlignment="1">
      <x:alignment wrapText="1"/>
    </x:xf>
    <x:xf numFmtId="0" fontId="32" fillId="49" borderId="161" xfId="0" applyNumberFormat="1" applyFont="1" applyFill="1" applyBorder="1" applyAlignment="1">
      <x:alignment wrapText="1"/>
    </x:xf>
    <x:xf numFmtId="0" fontId="32" fillId="49" borderId="159" xfId="0" applyNumberFormat="1" applyFont="1" applyFill="1" applyBorder="1" applyAlignment="1">
      <x:alignment horizontal="center" wrapText="1"/>
    </x:xf>
    <x:xf numFmtId="0" fontId="32" fillId="49" borderId="160" xfId="0" applyNumberFormat="1" applyFont="1" applyFill="1" applyBorder="1" applyAlignment="1">
      <x:alignment horizontal="center" wrapText="1"/>
    </x:xf>
    <x:xf numFmtId="0" fontId="32" fillId="49" borderId="161" xfId="0" applyNumberFormat="1" applyFont="1" applyFill="1" applyBorder="1" applyAlignment="1">
      <x:alignment horizontal="center" wrapText="1"/>
    </x:xf>
    <x:xf numFmtId="0" fontId="32" fillId="49" borderId="159" xfId="0" applyNumberFormat="1" applyFont="1" applyFill="1" applyBorder="1" applyAlignment="1">
      <x:alignment horizontal="center" vertical="center" wrapText="1"/>
    </x:xf>
    <x:xf numFmtId="0" fontId="32" fillId="49" borderId="160" xfId="0" applyNumberFormat="1" applyFont="1" applyFill="1" applyBorder="1" applyAlignment="1">
      <x:alignment horizontal="center" vertical="center" wrapText="1"/>
    </x:xf>
    <x:xf numFmtId="0" fontId="32" fillId="49" borderId="161" xfId="0" applyNumberFormat="1" applyFont="1" applyFill="1" applyBorder="1" applyAlignment="1">
      <x:alignment horizontal="center" vertical="center" wrapText="1"/>
    </x:xf>
    <x:xf numFmtId="0" fontId="40" fillId="54" borderId="143" xfId="0" applyNumberFormat="1" applyFont="1" applyFill="1" applyBorder="1" applyAlignment="1">
      <x:alignment horizontal="center" vertical="center" wrapText="1"/>
    </x:xf>
    <x:xf numFmtId="0" fontId="40" fillId="54" borderId="144" xfId="0" applyNumberFormat="1" applyFont="1" applyFill="1" applyBorder="1" applyAlignment="1">
      <x:alignment horizontal="center" vertical="center" wrapText="1"/>
    </x:xf>
    <x:xf numFmtId="0" fontId="40" fillId="54" borderId="145" xfId="0" applyNumberFormat="1" applyFont="1" applyFill="1" applyBorder="1" applyAlignment="1">
      <x:alignment horizontal="center" vertical="center" wrapText="1"/>
    </x:xf>
    <x:xf numFmtId="0" fontId="40" fillId="54" borderId="146" xfId="0" applyNumberFormat="1" applyFont="1" applyFill="1" applyBorder="1" applyAlignment="1">
      <x:alignment horizontal="center" vertical="center" wrapText="1"/>
    </x:xf>
    <x:xf numFmtId="0" fontId="40" fillId="54" xfId="0" applyNumberFormat="1" applyFont="1" applyFill="1" applyBorder="0" applyAlignment="1">
      <x:alignment horizontal="center" vertical="center" wrapText="1"/>
    </x:xf>
    <x:xf numFmtId="0" fontId="40" fillId="54" borderId="147" xfId="0" applyNumberFormat="1" applyFont="1" applyFill="1" applyBorder="1" applyAlignment="1">
      <x:alignment horizontal="center" vertical="center" wrapText="1"/>
    </x:xf>
    <x:xf numFmtId="0" fontId="40" fillId="54" borderId="148" xfId="0" applyNumberFormat="1" applyFont="1" applyFill="1" applyBorder="1" applyAlignment="1">
      <x:alignment horizontal="center" vertical="center" wrapText="1"/>
    </x:xf>
    <x:xf numFmtId="0" fontId="40" fillId="54" borderId="142" xfId="0" applyNumberFormat="1" applyFont="1" applyFill="1" applyBorder="1" applyAlignment="1">
      <x:alignment horizontal="center" vertical="center" wrapText="1"/>
    </x:xf>
    <x:xf numFmtId="0" fontId="40" fillId="54" borderId="149" xfId="0" applyNumberFormat="1" applyFont="1" applyFill="1" applyBorder="1" applyAlignment="1">
      <x:alignment horizontal="center" vertical="center" wrapText="1"/>
    </x:xf>
    <x:xf numFmtId="0" fontId="40" fillId="52" borderId="158" xfId="0" applyNumberFormat="1" applyFont="1" applyFill="1" applyBorder="1"/>
    <x:xf numFmtId="0" fontId="41" fillId="52" borderId="0" xfId="0" applyNumberFormat="1" applyFont="1" applyFill="1" applyBorder="1" applyAlignment="1">
      <x:alignment horizontal="center" vertical="center" wrapText="1"/>
    </x:xf>
    <x:xf numFmtId="0" fontId="40" fillId="49" borderId="159" xfId="0" applyNumberFormat="1" applyFont="1" applyFill="1" applyBorder="1" applyAlignment="1">
      <x:alignment horizontal="center" vertical="center" wrapText="1"/>
    </x:xf>
    <x:xf numFmtId="0" fontId="40" fillId="49" borderId="160" xfId="0" applyNumberFormat="1" applyFont="1" applyFill="1" applyBorder="1" applyAlignment="1">
      <x:alignment horizontal="center" vertical="center" wrapText="1"/>
    </x:xf>
    <x:xf numFmtId="0" fontId="40" fillId="49" borderId="161" xfId="0" applyNumberFormat="1" applyFont="1" applyFill="1" applyBorder="1" applyAlignment="1">
      <x:alignment horizontal="center" vertical="center" wrapText="1"/>
    </x:xf>
    <x:xf numFmtId="0" fontId="44" fillId="48" borderId="0" xfId="0" applyNumberFormat="1" applyFont="1" applyFill="1" applyBorder="1"/>
    <x:xf numFmtId="0" fontId="35" fillId="35" borderId="0" xfId="0" applyNumberFormat="1" applyFont="1" applyFill="1" applyBorder="1" applyAlignment="1">
      <x:alignment vertical="center" wrapText="1"/>
    </x:xf>
    <x:xf numFmtId="0" fontId="41" fillId="35" borderId="0" xfId="0" applyNumberFormat="1" applyFont="1" applyFill="1" applyBorder="1" applyAlignment="1">
      <x:alignment vertical="center" wrapText="1"/>
    </x:xf>
    <x:xf numFmtId="0" fontId="22" fillId="40" borderId="0" xfId="0" applyNumberFormat="1" applyFont="1" applyFill="1" applyBorder="1" applyAlignment="1">
      <x:alignment horizontal="center" vertical="center" wrapText="1"/>
    </x:xf>
    <x:xf numFmtId="0" fontId="32" fillId="53" borderId="0" xfId="0" applyNumberFormat="1" applyFont="1" applyFill="1" applyBorder="1" applyAlignment="1">
      <x:alignment wrapText="1"/>
    </x:xf>
    <x:xf numFmtId="0" fontId="32" fillId="53" borderId="0" xfId="0" applyNumberFormat="1" applyFont="1" applyFill="1" applyBorder="1" applyAlignment="1">
      <x:alignment horizontal="center" wrapText="1"/>
    </x:xf>
    <x:xf numFmtId="0" fontId="32" fillId="53" borderId="0" xfId="0" applyNumberFormat="1" applyFont="1" applyFill="1" applyBorder="1" applyAlignment="1">
      <x:alignment horizontal="center" vertical="center" wrapText="1"/>
    </x:xf>
    <x:xf numFmtId="0" fontId="40" fillId="53" borderId="0" xfId="0" applyNumberFormat="1" applyFont="1" applyFill="1" applyBorder="1" applyAlignment="1">
      <x:alignment horizontal="center" vertical="center" wrapText="1"/>
    </x:xf>
    <x:xf numFmtId="0" fontId="0" fillId="55" borderId="0" xfId="0" applyNumberFormat="1" applyFont="1" applyFill="1" applyBorder="1"/>
    <x:xf numFmtId="0" fontId="30" fillId="55" borderId="0" xfId="0" applyNumberFormat="1" applyFont="1" applyFill="1" applyBorder="1"/>
    <x:xf numFmtId="0" fontId="30" fillId="55" borderId="0" xfId="0" applyNumberFormat="1" applyFont="1" applyFill="1" applyBorder="1" applyAlignment="1">
      <x:alignment wrapText="1"/>
    </x:xf>
    <x:xf numFmtId="0" fontId="0" fillId="56" borderId="0" xfId="0" applyNumberFormat="1" applyFont="1" applyFill="1" applyBorder="1"/>
    <x:xf numFmtId="0" fontId="31" fillId="56" borderId="0" xfId="0" applyNumberFormat="1" applyFont="1" applyFill="1" applyBorder="1"/>
    <x:xf numFmtId="0" fontId="31" fillId="56" borderId="162" xfId="0" applyNumberFormat="1" applyFont="1" applyFill="1" applyBorder="1"/>
    <x:xf numFmtId="0" fontId="20" fillId="55" borderId="0" xfId="0" applyNumberFormat="1" applyFont="1" applyFill="1" applyBorder="1"/>
    <x:xf numFmtId="0" fontId="20" fillId="55" borderId="0" xfId="0" applyNumberFormat="1" applyFont="1" applyFill="1" applyBorder="1" applyAlignment="1">
      <x:alignment wrapText="1"/>
    </x:xf>
    <x:xf numFmtId="0" fontId="0" fillId="57" borderId="0" xfId="0" applyNumberFormat="1" applyFont="1" applyFill="1" applyBorder="1"/>
    <x:xf numFmtId="0" fontId="21" fillId="57" borderId="0" xfId="0" applyNumberFormat="1" applyFont="1" applyFill="1" applyBorder="1"/>
    <x:xf numFmtId="0" fontId="0" fillId="58" borderId="0" xfId="0" applyNumberFormat="1" applyFont="1" applyFill="1" applyBorder="1"/>
    <x:xf numFmtId="0" fontId="35" fillId="58" borderId="0" xfId="0" applyNumberFormat="1" applyFont="1" applyFill="1" applyBorder="1"/>
    <x:xf numFmtId="0" fontId="35" fillId="58" borderId="0" xfId="0" applyNumberFormat="1" applyFont="1" applyFill="1" applyBorder="1" applyAlignment="1">
      <x:alignment wrapText="1"/>
    </x:xf>
    <x:xf numFmtId="0" fontId="35" fillId="58" borderId="0" xfId="0" applyNumberFormat="1" applyFont="1" applyFill="1" applyBorder="1" applyAlignment="1">
      <x:alignment vertical="top" wrapText="1"/>
    </x:xf>
    <x:xf numFmtId="0" fontId="0" fillId="59" borderId="0" xfId="0" applyNumberFormat="1" applyFont="1" applyFill="1" applyBorder="1"/>
    <x:xf numFmtId="0" fontId="35" fillId="59" borderId="0" xfId="0" applyNumberFormat="1" applyFont="1" applyFill="1" applyBorder="1"/>
    <x:xf numFmtId="0" fontId="35" fillId="59" borderId="0" xfId="0" applyNumberFormat="1" applyFont="1" applyFill="1" applyBorder="1" applyAlignment="1">
      <x:alignment wrapText="1"/>
    </x:xf>
    <x:xf numFmtId="0" fontId="35" fillId="59" borderId="0" xfId="0" applyNumberFormat="1" applyFont="1" applyFill="1" applyBorder="1" applyAlignment="1">
      <x:alignment vertical="top" wrapText="1"/>
    </x:xf>
    <x:xf numFmtId="0" fontId="32" fillId="56" borderId="0" xfId="0" applyNumberFormat="1" applyFont="1" applyFill="1" applyBorder="1"/>
    <x:xf numFmtId="0" fontId="32" fillId="56" borderId="163" xfId="0" applyNumberFormat="1" applyFont="1" applyFill="1" applyBorder="1"/>
    <x:xf numFmtId="0" fontId="32" fillId="56" borderId="164" xfId="0" applyNumberFormat="1" applyFont="1" applyFill="1" applyBorder="1"/>
    <x:xf numFmtId="0" fontId="32" fillId="56" borderId="165" xfId="0" applyNumberFormat="1" applyFont="1" applyFill="1" applyBorder="1"/>
    <x:xf numFmtId="0" fontId="32" fillId="56" borderId="166" xfId="0" applyNumberFormat="1" applyFont="1" applyFill="1" applyBorder="1"/>
    <x:xf numFmtId="0" fontId="32" fillId="56" xfId="0" applyNumberFormat="1" applyFont="1" applyFill="1" applyBorder="0"/>
    <x:xf numFmtId="0" fontId="32" fillId="56" borderId="167" xfId="0" applyNumberFormat="1" applyFont="1" applyFill="1" applyBorder="1"/>
    <x:xf numFmtId="0" fontId="32" fillId="56" borderId="168" xfId="0" applyNumberFormat="1" applyFont="1" applyFill="1" applyBorder="1"/>
    <x:xf numFmtId="0" fontId="32" fillId="56" borderId="162" xfId="0" applyNumberFormat="1" applyFont="1" applyFill="1" applyBorder="1"/>
    <x:xf numFmtId="0" fontId="32" fillId="56" borderId="169" xfId="0" applyNumberFormat="1" applyFont="1" applyFill="1" applyBorder="1"/>
    <x:xf numFmtId="0" fontId="32" fillId="56" borderId="163" xfId="0" applyNumberFormat="1" applyFont="1" applyFill="1" applyBorder="1" applyAlignment="1">
      <x:alignment wrapText="1"/>
    </x:xf>
    <x:xf numFmtId="0" fontId="32" fillId="56" borderId="164" xfId="0" applyNumberFormat="1" applyFont="1" applyFill="1" applyBorder="1" applyAlignment="1">
      <x:alignment wrapText="1"/>
    </x:xf>
    <x:xf numFmtId="0" fontId="32" fillId="56" borderId="165" xfId="0" applyNumberFormat="1" applyFont="1" applyFill="1" applyBorder="1" applyAlignment="1">
      <x:alignment wrapText="1"/>
    </x:xf>
    <x:xf numFmtId="0" fontId="32" fillId="56" borderId="166" xfId="0" applyNumberFormat="1" applyFont="1" applyFill="1" applyBorder="1" applyAlignment="1">
      <x:alignment wrapText="1"/>
    </x:xf>
    <x:xf numFmtId="0" fontId="32" fillId="56" xfId="0" applyNumberFormat="1" applyFont="1" applyFill="1" applyBorder="0" applyAlignment="1">
      <x:alignment wrapText="1"/>
    </x:xf>
    <x:xf numFmtId="0" fontId="32" fillId="56" borderId="167" xfId="0" applyNumberFormat="1" applyFont="1" applyFill="1" applyBorder="1" applyAlignment="1">
      <x:alignment wrapText="1"/>
    </x:xf>
    <x:xf numFmtId="0" fontId="32" fillId="56" borderId="168" xfId="0" applyNumberFormat="1" applyFont="1" applyFill="1" applyBorder="1" applyAlignment="1">
      <x:alignment wrapText="1"/>
    </x:xf>
    <x:xf numFmtId="0" fontId="32" fillId="56" borderId="162" xfId="0" applyNumberFormat="1" applyFont="1" applyFill="1" applyBorder="1" applyAlignment="1">
      <x:alignment wrapText="1"/>
    </x:xf>
    <x:xf numFmtId="0" fontId="32" fillId="56" borderId="169" xfId="0" applyNumberFormat="1" applyFont="1" applyFill="1" applyBorder="1" applyAlignment="1">
      <x:alignment wrapText="1"/>
    </x:xf>
    <x:xf numFmtId="0" fontId="32" fillId="56" borderId="163" xfId="0" applyNumberFormat="1" applyFont="1" applyFill="1" applyBorder="1" applyAlignment="1">
      <x:alignment horizontal="center" wrapText="1"/>
    </x:xf>
    <x:xf numFmtId="0" fontId="32" fillId="56" borderId="164" xfId="0" applyNumberFormat="1" applyFont="1" applyFill="1" applyBorder="1" applyAlignment="1">
      <x:alignment horizontal="center" wrapText="1"/>
    </x:xf>
    <x:xf numFmtId="0" fontId="32" fillId="56" borderId="165" xfId="0" applyNumberFormat="1" applyFont="1" applyFill="1" applyBorder="1" applyAlignment="1">
      <x:alignment horizontal="center" wrapText="1"/>
    </x:xf>
    <x:xf numFmtId="0" fontId="32" fillId="56" borderId="166" xfId="0" applyNumberFormat="1" applyFont="1" applyFill="1" applyBorder="1" applyAlignment="1">
      <x:alignment horizontal="center" wrapText="1"/>
    </x:xf>
    <x:xf numFmtId="0" fontId="32" fillId="56" xfId="0" applyNumberFormat="1" applyFont="1" applyFill="1" applyBorder="0" applyAlignment="1">
      <x:alignment horizontal="center" wrapText="1"/>
    </x:xf>
    <x:xf numFmtId="0" fontId="32" fillId="56" borderId="167" xfId="0" applyNumberFormat="1" applyFont="1" applyFill="1" applyBorder="1" applyAlignment="1">
      <x:alignment horizontal="center" wrapText="1"/>
    </x:xf>
    <x:xf numFmtId="0" fontId="32" fillId="56" borderId="168" xfId="0" applyNumberFormat="1" applyFont="1" applyFill="1" applyBorder="1" applyAlignment="1">
      <x:alignment horizontal="center" wrapText="1"/>
    </x:xf>
    <x:xf numFmtId="0" fontId="32" fillId="56" borderId="162" xfId="0" applyNumberFormat="1" applyFont="1" applyFill="1" applyBorder="1" applyAlignment="1">
      <x:alignment horizontal="center" wrapText="1"/>
    </x:xf>
    <x:xf numFmtId="0" fontId="32" fillId="56" borderId="169" xfId="0" applyNumberFormat="1" applyFont="1" applyFill="1" applyBorder="1" applyAlignment="1">
      <x:alignment horizontal="center" wrapText="1"/>
    </x:xf>
    <x:xf numFmtId="0" fontId="32" fillId="56" borderId="163" xfId="0" applyNumberFormat="1" applyFont="1" applyFill="1" applyBorder="1" applyAlignment="1">
      <x:alignment horizontal="center" vertical="center" wrapText="1"/>
    </x:xf>
    <x:xf numFmtId="0" fontId="32" fillId="56" borderId="164" xfId="0" applyNumberFormat="1" applyFont="1" applyFill="1" applyBorder="1" applyAlignment="1">
      <x:alignment horizontal="center" vertical="center" wrapText="1"/>
    </x:xf>
    <x:xf numFmtId="0" fontId="32" fillId="56" borderId="165" xfId="0" applyNumberFormat="1" applyFont="1" applyFill="1" applyBorder="1" applyAlignment="1">
      <x:alignment horizontal="center" vertical="center" wrapText="1"/>
    </x:xf>
    <x:xf numFmtId="0" fontId="32" fillId="56" borderId="166" xfId="0" applyNumberFormat="1" applyFont="1" applyFill="1" applyBorder="1" applyAlignment="1">
      <x:alignment horizontal="center" vertical="center" wrapText="1"/>
    </x:xf>
    <x:xf numFmtId="0" fontId="32" fillId="56" xfId="0" applyNumberFormat="1" applyFont="1" applyFill="1" applyBorder="0" applyAlignment="1">
      <x:alignment horizontal="center" vertical="center" wrapText="1"/>
    </x:xf>
    <x:xf numFmtId="0" fontId="32" fillId="56" borderId="167" xfId="0" applyNumberFormat="1" applyFont="1" applyFill="1" applyBorder="1" applyAlignment="1">
      <x:alignment horizontal="center" vertical="center" wrapText="1"/>
    </x:xf>
    <x:xf numFmtId="0" fontId="32" fillId="56" borderId="168" xfId="0" applyNumberFormat="1" applyFont="1" applyFill="1" applyBorder="1" applyAlignment="1">
      <x:alignment horizontal="center" vertical="center" wrapText="1"/>
    </x:xf>
    <x:xf numFmtId="0" fontId="32" fillId="56" borderId="162" xfId="0" applyNumberFormat="1" applyFont="1" applyFill="1" applyBorder="1" applyAlignment="1">
      <x:alignment horizontal="center" vertical="center" wrapText="1"/>
    </x:xf>
    <x:xf numFmtId="0" fontId="32" fillId="56" borderId="169" xfId="0" applyNumberFormat="1" applyFont="1" applyFill="1" applyBorder="1" applyAlignment="1">
      <x:alignment horizontal="center" vertical="center" wrapText="1"/>
    </x:xf>
    <x:xf numFmtId="0" fontId="32" fillId="58" borderId="0" xfId="0" applyNumberFormat="1" applyFont="1" applyFill="1" applyBorder="1"/>
    <x:xf numFmtId="0" fontId="32" fillId="58" borderId="170" xfId="0" applyNumberFormat="1" applyFont="1" applyFill="1" applyBorder="1"/>
    <x:xf numFmtId="0" fontId="32" fillId="58" borderId="171" xfId="0" applyNumberFormat="1" applyFont="1" applyFill="1" applyBorder="1"/>
    <x:xf numFmtId="0" fontId="32" fillId="58" borderId="172" xfId="0" applyNumberFormat="1" applyFont="1" applyFill="1" applyBorder="1"/>
    <x:xf numFmtId="0" fontId="32" fillId="58" borderId="173" xfId="0" applyNumberFormat="1" applyFont="1" applyFill="1" applyBorder="1"/>
    <x:xf numFmtId="0" fontId="32" fillId="58" xfId="0" applyNumberFormat="1" applyFont="1" applyFill="1" applyBorder="0"/>
    <x:xf numFmtId="0" fontId="32" fillId="58" borderId="174" xfId="0" applyNumberFormat="1" applyFont="1" applyFill="1" applyBorder="1"/>
    <x:xf numFmtId="0" fontId="32" fillId="58" borderId="175" xfId="0" applyNumberFormat="1" applyFont="1" applyFill="1" applyBorder="1"/>
    <x:xf numFmtId="0" fontId="32" fillId="58" borderId="176" xfId="0" applyNumberFormat="1" applyFont="1" applyFill="1" applyBorder="1"/>
    <x:xf numFmtId="0" fontId="32" fillId="58" borderId="177" xfId="0" applyNumberFormat="1" applyFont="1" applyFill="1" applyBorder="1"/>
    <x:xf numFmtId="0" fontId="32" fillId="58" borderId="170" xfId="0" applyNumberFormat="1" applyFont="1" applyFill="1" applyBorder="1" applyAlignment="1">
      <x:alignment wrapText="1"/>
    </x:xf>
    <x:xf numFmtId="0" fontId="32" fillId="58" borderId="171" xfId="0" applyNumberFormat="1" applyFont="1" applyFill="1" applyBorder="1" applyAlignment="1">
      <x:alignment wrapText="1"/>
    </x:xf>
    <x:xf numFmtId="0" fontId="32" fillId="58" borderId="172" xfId="0" applyNumberFormat="1" applyFont="1" applyFill="1" applyBorder="1" applyAlignment="1">
      <x:alignment wrapText="1"/>
    </x:xf>
    <x:xf numFmtId="0" fontId="32" fillId="58" borderId="173" xfId="0" applyNumberFormat="1" applyFont="1" applyFill="1" applyBorder="1" applyAlignment="1">
      <x:alignment wrapText="1"/>
    </x:xf>
    <x:xf numFmtId="0" fontId="32" fillId="58" xfId="0" applyNumberFormat="1" applyFont="1" applyFill="1" applyBorder="0" applyAlignment="1">
      <x:alignment wrapText="1"/>
    </x:xf>
    <x:xf numFmtId="0" fontId="32" fillId="58" borderId="174" xfId="0" applyNumberFormat="1" applyFont="1" applyFill="1" applyBorder="1" applyAlignment="1">
      <x:alignment wrapText="1"/>
    </x:xf>
    <x:xf numFmtId="0" fontId="32" fillId="58" borderId="175" xfId="0" applyNumberFormat="1" applyFont="1" applyFill="1" applyBorder="1" applyAlignment="1">
      <x:alignment wrapText="1"/>
    </x:xf>
    <x:xf numFmtId="0" fontId="32" fillId="58" borderId="176" xfId="0" applyNumberFormat="1" applyFont="1" applyFill="1" applyBorder="1" applyAlignment="1">
      <x:alignment wrapText="1"/>
    </x:xf>
    <x:xf numFmtId="0" fontId="32" fillId="58" borderId="177" xfId="0" applyNumberFormat="1" applyFont="1" applyFill="1" applyBorder="1" applyAlignment="1">
      <x:alignment wrapText="1"/>
    </x:xf>
    <x:xf numFmtId="0" fontId="32" fillId="58" borderId="170" xfId="0" applyNumberFormat="1" applyFont="1" applyFill="1" applyBorder="1" applyAlignment="1">
      <x:alignment horizontal="center" wrapText="1"/>
    </x:xf>
    <x:xf numFmtId="0" fontId="32" fillId="58" borderId="171" xfId="0" applyNumberFormat="1" applyFont="1" applyFill="1" applyBorder="1" applyAlignment="1">
      <x:alignment horizontal="center" wrapText="1"/>
    </x:xf>
    <x:xf numFmtId="0" fontId="32" fillId="58" borderId="172" xfId="0" applyNumberFormat="1" applyFont="1" applyFill="1" applyBorder="1" applyAlignment="1">
      <x:alignment horizontal="center" wrapText="1"/>
    </x:xf>
    <x:xf numFmtId="0" fontId="32" fillId="58" borderId="173" xfId="0" applyNumberFormat="1" applyFont="1" applyFill="1" applyBorder="1" applyAlignment="1">
      <x:alignment horizontal="center" wrapText="1"/>
    </x:xf>
    <x:xf numFmtId="0" fontId="32" fillId="58" xfId="0" applyNumberFormat="1" applyFont="1" applyFill="1" applyBorder="0" applyAlignment="1">
      <x:alignment horizontal="center" wrapText="1"/>
    </x:xf>
    <x:xf numFmtId="0" fontId="32" fillId="58" borderId="174" xfId="0" applyNumberFormat="1" applyFont="1" applyFill="1" applyBorder="1" applyAlignment="1">
      <x:alignment horizontal="center" wrapText="1"/>
    </x:xf>
    <x:xf numFmtId="0" fontId="32" fillId="58" borderId="175" xfId="0" applyNumberFormat="1" applyFont="1" applyFill="1" applyBorder="1" applyAlignment="1">
      <x:alignment horizontal="center" wrapText="1"/>
    </x:xf>
    <x:xf numFmtId="0" fontId="32" fillId="58" borderId="176" xfId="0" applyNumberFormat="1" applyFont="1" applyFill="1" applyBorder="1" applyAlignment="1">
      <x:alignment horizontal="center" wrapText="1"/>
    </x:xf>
    <x:xf numFmtId="0" fontId="32" fillId="58" borderId="177" xfId="0" applyNumberFormat="1" applyFont="1" applyFill="1" applyBorder="1" applyAlignment="1">
      <x:alignment horizontal="center" wrapText="1"/>
    </x:xf>
    <x:xf numFmtId="0" fontId="32" fillId="58" borderId="170" xfId="0" applyNumberFormat="1" applyFont="1" applyFill="1" applyBorder="1" applyAlignment="1">
      <x:alignment horizontal="center" vertical="center" wrapText="1"/>
    </x:xf>
    <x:xf numFmtId="0" fontId="32" fillId="58" borderId="171" xfId="0" applyNumberFormat="1" applyFont="1" applyFill="1" applyBorder="1" applyAlignment="1">
      <x:alignment horizontal="center" vertical="center" wrapText="1"/>
    </x:xf>
    <x:xf numFmtId="0" fontId="32" fillId="58" borderId="172" xfId="0" applyNumberFormat="1" applyFont="1" applyFill="1" applyBorder="1" applyAlignment="1">
      <x:alignment horizontal="center" vertical="center" wrapText="1"/>
    </x:xf>
    <x:xf numFmtId="0" fontId="32" fillId="58" borderId="173" xfId="0" applyNumberFormat="1" applyFont="1" applyFill="1" applyBorder="1" applyAlignment="1">
      <x:alignment horizontal="center" vertical="center" wrapText="1"/>
    </x:xf>
    <x:xf numFmtId="0" fontId="32" fillId="58" xfId="0" applyNumberFormat="1" applyFont="1" applyFill="1" applyBorder="0" applyAlignment="1">
      <x:alignment horizontal="center" vertical="center" wrapText="1"/>
    </x:xf>
    <x:xf numFmtId="0" fontId="32" fillId="58" borderId="174" xfId="0" applyNumberFormat="1" applyFont="1" applyFill="1" applyBorder="1" applyAlignment="1">
      <x:alignment horizontal="center" vertical="center" wrapText="1"/>
    </x:xf>
    <x:xf numFmtId="0" fontId="32" fillId="58" borderId="175" xfId="0" applyNumberFormat="1" applyFont="1" applyFill="1" applyBorder="1" applyAlignment="1">
      <x:alignment horizontal="center" vertical="center" wrapText="1"/>
    </x:xf>
    <x:xf numFmtId="0" fontId="32" fillId="58" borderId="176" xfId="0" applyNumberFormat="1" applyFont="1" applyFill="1" applyBorder="1" applyAlignment="1">
      <x:alignment horizontal="center" vertical="center" wrapText="1"/>
    </x:xf>
    <x:xf numFmtId="0" fontId="32" fillId="58" borderId="177" xfId="0" applyNumberFormat="1" applyFont="1" applyFill="1" applyBorder="1" applyAlignment="1">
      <x:alignment horizontal="center" vertical="center" wrapText="1"/>
    </x:xf>
    <x:xf numFmtId="0" fontId="35" fillId="55" borderId="0" xfId="0" applyNumberFormat="1" applyFont="1" applyFill="1" applyBorder="1"/>
    <x:xf numFmtId="0" fontId="35" fillId="55" borderId="0" xfId="0" applyNumberFormat="1" applyFont="1" applyFill="1" applyBorder="1" applyAlignment="1">
      <x:alignment wrapText="1"/>
    </x:xf>
    <x:xf numFmtId="0" fontId="35" fillId="55" borderId="0" xfId="0" applyNumberFormat="1" applyFont="1" applyFill="1" applyBorder="1" applyAlignment="1">
      <x:alignment vertical="center" wrapText="1"/>
    </x:xf>
    <x:xf numFmtId="0" fontId="34" fillId="55" borderId="0" xfId="0" applyNumberFormat="1" applyFont="1" applyFill="1" applyBorder="1"/>
    <x:xf numFmtId="0" fontId="34" fillId="55" borderId="0" xfId="0" applyNumberFormat="1" applyFont="1" applyFill="1" applyBorder="1" applyAlignment="1">
      <x:alignment wrapText="1"/>
    </x:xf>
    <x:xf numFmtId="0" fontId="32" fillId="59" borderId="0" xfId="0" applyNumberFormat="1" applyFont="1" applyFill="1" applyBorder="1"/>
    <x:xf numFmtId="0" fontId="32" fillId="59" borderId="170" xfId="0" applyNumberFormat="1" applyFont="1" applyFill="1" applyBorder="1"/>
    <x:xf numFmtId="0" fontId="32" fillId="59" borderId="171" xfId="0" applyNumberFormat="1" applyFont="1" applyFill="1" applyBorder="1"/>
    <x:xf numFmtId="0" fontId="32" fillId="59" borderId="172" xfId="0" applyNumberFormat="1" applyFont="1" applyFill="1" applyBorder="1"/>
    <x:xf numFmtId="0" fontId="32" fillId="59" borderId="173" xfId="0" applyNumberFormat="1" applyFont="1" applyFill="1" applyBorder="1"/>
    <x:xf numFmtId="0" fontId="32" fillId="59" xfId="0" applyNumberFormat="1" applyFont="1" applyFill="1" applyBorder="0"/>
    <x:xf numFmtId="0" fontId="32" fillId="59" borderId="174" xfId="0" applyNumberFormat="1" applyFont="1" applyFill="1" applyBorder="1"/>
    <x:xf numFmtId="0" fontId="32" fillId="59" borderId="175" xfId="0" applyNumberFormat="1" applyFont="1" applyFill="1" applyBorder="1"/>
    <x:xf numFmtId="0" fontId="32" fillId="59" borderId="176" xfId="0" applyNumberFormat="1" applyFont="1" applyFill="1" applyBorder="1"/>
    <x:xf numFmtId="0" fontId="32" fillId="59" borderId="177" xfId="0" applyNumberFormat="1" applyFont="1" applyFill="1" applyBorder="1"/>
    <x:xf numFmtId="0" fontId="32" fillId="59" borderId="170" xfId="0" applyNumberFormat="1" applyFont="1" applyFill="1" applyBorder="1" applyAlignment="1">
      <x:alignment wrapText="1"/>
    </x:xf>
    <x:xf numFmtId="0" fontId="32" fillId="59" borderId="171" xfId="0" applyNumberFormat="1" applyFont="1" applyFill="1" applyBorder="1" applyAlignment="1">
      <x:alignment wrapText="1"/>
    </x:xf>
    <x:xf numFmtId="0" fontId="32" fillId="59" borderId="172" xfId="0" applyNumberFormat="1" applyFont="1" applyFill="1" applyBorder="1" applyAlignment="1">
      <x:alignment wrapText="1"/>
    </x:xf>
    <x:xf numFmtId="0" fontId="32" fillId="59" borderId="173" xfId="0" applyNumberFormat="1" applyFont="1" applyFill="1" applyBorder="1" applyAlignment="1">
      <x:alignment wrapText="1"/>
    </x:xf>
    <x:xf numFmtId="0" fontId="32" fillId="59" xfId="0" applyNumberFormat="1" applyFont="1" applyFill="1" applyBorder="0" applyAlignment="1">
      <x:alignment wrapText="1"/>
    </x:xf>
    <x:xf numFmtId="0" fontId="32" fillId="59" borderId="174" xfId="0" applyNumberFormat="1" applyFont="1" applyFill="1" applyBorder="1" applyAlignment="1">
      <x:alignment wrapText="1"/>
    </x:xf>
    <x:xf numFmtId="0" fontId="32" fillId="59" borderId="175" xfId="0" applyNumberFormat="1" applyFont="1" applyFill="1" applyBorder="1" applyAlignment="1">
      <x:alignment wrapText="1"/>
    </x:xf>
    <x:xf numFmtId="0" fontId="32" fillId="59" borderId="176" xfId="0" applyNumberFormat="1" applyFont="1" applyFill="1" applyBorder="1" applyAlignment="1">
      <x:alignment wrapText="1"/>
    </x:xf>
    <x:xf numFmtId="0" fontId="32" fillId="59" borderId="177" xfId="0" applyNumberFormat="1" applyFont="1" applyFill="1" applyBorder="1" applyAlignment="1">
      <x:alignment wrapText="1"/>
    </x:xf>
    <x:xf numFmtId="0" fontId="32" fillId="59" borderId="170" xfId="0" applyNumberFormat="1" applyFont="1" applyFill="1" applyBorder="1" applyAlignment="1">
      <x:alignment horizontal="center" wrapText="1"/>
    </x:xf>
    <x:xf numFmtId="0" fontId="32" fillId="59" borderId="171" xfId="0" applyNumberFormat="1" applyFont="1" applyFill="1" applyBorder="1" applyAlignment="1">
      <x:alignment horizontal="center" wrapText="1"/>
    </x:xf>
    <x:xf numFmtId="0" fontId="32" fillId="59" borderId="172" xfId="0" applyNumberFormat="1" applyFont="1" applyFill="1" applyBorder="1" applyAlignment="1">
      <x:alignment horizontal="center" wrapText="1"/>
    </x:xf>
    <x:xf numFmtId="0" fontId="32" fillId="59" borderId="173" xfId="0" applyNumberFormat="1" applyFont="1" applyFill="1" applyBorder="1" applyAlignment="1">
      <x:alignment horizontal="center" wrapText="1"/>
    </x:xf>
    <x:xf numFmtId="0" fontId="32" fillId="59" xfId="0" applyNumberFormat="1" applyFont="1" applyFill="1" applyBorder="0" applyAlignment="1">
      <x:alignment horizontal="center" wrapText="1"/>
    </x:xf>
    <x:xf numFmtId="0" fontId="32" fillId="59" borderId="174" xfId="0" applyNumberFormat="1" applyFont="1" applyFill="1" applyBorder="1" applyAlignment="1">
      <x:alignment horizontal="center" wrapText="1"/>
    </x:xf>
    <x:xf numFmtId="0" fontId="32" fillId="59" borderId="175" xfId="0" applyNumberFormat="1" applyFont="1" applyFill="1" applyBorder="1" applyAlignment="1">
      <x:alignment horizontal="center" wrapText="1"/>
    </x:xf>
    <x:xf numFmtId="0" fontId="32" fillId="59" borderId="176" xfId="0" applyNumberFormat="1" applyFont="1" applyFill="1" applyBorder="1" applyAlignment="1">
      <x:alignment horizontal="center" wrapText="1"/>
    </x:xf>
    <x:xf numFmtId="0" fontId="32" fillId="59" borderId="177" xfId="0" applyNumberFormat="1" applyFont="1" applyFill="1" applyBorder="1" applyAlignment="1">
      <x:alignment horizontal="center" wrapText="1"/>
    </x:xf>
    <x:xf numFmtId="0" fontId="32" fillId="59" borderId="170" xfId="0" applyNumberFormat="1" applyFont="1" applyFill="1" applyBorder="1" applyAlignment="1">
      <x:alignment horizontal="center" vertical="center" wrapText="1"/>
    </x:xf>
    <x:xf numFmtId="0" fontId="32" fillId="59" borderId="171" xfId="0" applyNumberFormat="1" applyFont="1" applyFill="1" applyBorder="1" applyAlignment="1">
      <x:alignment horizontal="center" vertical="center" wrapText="1"/>
    </x:xf>
    <x:xf numFmtId="0" fontId="32" fillId="59" borderId="172" xfId="0" applyNumberFormat="1" applyFont="1" applyFill="1" applyBorder="1" applyAlignment="1">
      <x:alignment horizontal="center" vertical="center" wrapText="1"/>
    </x:xf>
    <x:xf numFmtId="0" fontId="32" fillId="59" borderId="173" xfId="0" applyNumberFormat="1" applyFont="1" applyFill="1" applyBorder="1" applyAlignment="1">
      <x:alignment horizontal="center" vertical="center" wrapText="1"/>
    </x:xf>
    <x:xf numFmtId="0" fontId="32" fillId="59" xfId="0" applyNumberFormat="1" applyFont="1" applyFill="1" applyBorder="0" applyAlignment="1">
      <x:alignment horizontal="center" vertical="center" wrapText="1"/>
    </x:xf>
    <x:xf numFmtId="0" fontId="32" fillId="59" borderId="174" xfId="0" applyNumberFormat="1" applyFont="1" applyFill="1" applyBorder="1" applyAlignment="1">
      <x:alignment horizontal="center" vertical="center" wrapText="1"/>
    </x:xf>
    <x:xf numFmtId="0" fontId="32" fillId="59" borderId="175" xfId="0" applyNumberFormat="1" applyFont="1" applyFill="1" applyBorder="1" applyAlignment="1">
      <x:alignment horizontal="center" vertical="center" wrapText="1"/>
    </x:xf>
    <x:xf numFmtId="0" fontId="32" fillId="59" borderId="176" xfId="0" applyNumberFormat="1" applyFont="1" applyFill="1" applyBorder="1" applyAlignment="1">
      <x:alignment horizontal="center" vertical="center" wrapText="1"/>
    </x:xf>
    <x:xf numFmtId="0" fontId="32" fillId="59" borderId="177" xfId="0" applyNumberFormat="1" applyFont="1" applyFill="1" applyBorder="1" applyAlignment="1">
      <x:alignment horizontal="center" vertical="center" wrapText="1"/>
    </x:xf>
    <x:xf numFmtId="0" fontId="0" fillId="60" borderId="0" xfId="0" applyNumberFormat="1" applyFont="1" applyFill="1" applyBorder="1"/>
    <x:xf numFmtId="0" fontId="32" fillId="60" borderId="0" xfId="0" applyNumberFormat="1" applyFont="1" applyFill="1" applyBorder="1"/>
    <x:xf numFmtId="0" fontId="32" fillId="60" borderId="163" xfId="0" applyNumberFormat="1" applyFont="1" applyFill="1" applyBorder="1"/>
    <x:xf numFmtId="0" fontId="32" fillId="60" borderId="164" xfId="0" applyNumberFormat="1" applyFont="1" applyFill="1" applyBorder="1"/>
    <x:xf numFmtId="0" fontId="32" fillId="60" borderId="165" xfId="0" applyNumberFormat="1" applyFont="1" applyFill="1" applyBorder="1"/>
    <x:xf numFmtId="0" fontId="32" fillId="60" borderId="166" xfId="0" applyNumberFormat="1" applyFont="1" applyFill="1" applyBorder="1"/>
    <x:xf numFmtId="0" fontId="32" fillId="60" xfId="0" applyNumberFormat="1" applyFont="1" applyFill="1" applyBorder="0"/>
    <x:xf numFmtId="0" fontId="32" fillId="60" borderId="167" xfId="0" applyNumberFormat="1" applyFont="1" applyFill="1" applyBorder="1"/>
    <x:xf numFmtId="0" fontId="32" fillId="60" borderId="168" xfId="0" applyNumberFormat="1" applyFont="1" applyFill="1" applyBorder="1"/>
    <x:xf numFmtId="0" fontId="32" fillId="60" borderId="162" xfId="0" applyNumberFormat="1" applyFont="1" applyFill="1" applyBorder="1"/>
    <x:xf numFmtId="0" fontId="32" fillId="60" borderId="169" xfId="0" applyNumberFormat="1" applyFont="1" applyFill="1" applyBorder="1"/>
    <x:xf numFmtId="0" fontId="32" fillId="60" borderId="163" xfId="0" applyNumberFormat="1" applyFont="1" applyFill="1" applyBorder="1" applyAlignment="1">
      <x:alignment wrapText="1"/>
    </x:xf>
    <x:xf numFmtId="0" fontId="32" fillId="60" borderId="164" xfId="0" applyNumberFormat="1" applyFont="1" applyFill="1" applyBorder="1" applyAlignment="1">
      <x:alignment wrapText="1"/>
    </x:xf>
    <x:xf numFmtId="0" fontId="32" fillId="60" borderId="165" xfId="0" applyNumberFormat="1" applyFont="1" applyFill="1" applyBorder="1" applyAlignment="1">
      <x:alignment wrapText="1"/>
    </x:xf>
    <x:xf numFmtId="0" fontId="32" fillId="60" borderId="166" xfId="0" applyNumberFormat="1" applyFont="1" applyFill="1" applyBorder="1" applyAlignment="1">
      <x:alignment wrapText="1"/>
    </x:xf>
    <x:xf numFmtId="0" fontId="32" fillId="60" xfId="0" applyNumberFormat="1" applyFont="1" applyFill="1" applyBorder="0" applyAlignment="1">
      <x:alignment wrapText="1"/>
    </x:xf>
    <x:xf numFmtId="0" fontId="32" fillId="60" borderId="167" xfId="0" applyNumberFormat="1" applyFont="1" applyFill="1" applyBorder="1" applyAlignment="1">
      <x:alignment wrapText="1"/>
    </x:xf>
    <x:xf numFmtId="0" fontId="32" fillId="60" borderId="168" xfId="0" applyNumberFormat="1" applyFont="1" applyFill="1" applyBorder="1" applyAlignment="1">
      <x:alignment wrapText="1"/>
    </x:xf>
    <x:xf numFmtId="0" fontId="32" fillId="60" borderId="162" xfId="0" applyNumberFormat="1" applyFont="1" applyFill="1" applyBorder="1" applyAlignment="1">
      <x:alignment wrapText="1"/>
    </x:xf>
    <x:xf numFmtId="0" fontId="32" fillId="60" borderId="169" xfId="0" applyNumberFormat="1" applyFont="1" applyFill="1" applyBorder="1" applyAlignment="1">
      <x:alignment wrapText="1"/>
    </x:xf>
    <x:xf numFmtId="0" fontId="32" fillId="60" borderId="163" xfId="0" applyNumberFormat="1" applyFont="1" applyFill="1" applyBorder="1" applyAlignment="1">
      <x:alignment horizontal="center" wrapText="1"/>
    </x:xf>
    <x:xf numFmtId="0" fontId="32" fillId="60" borderId="164" xfId="0" applyNumberFormat="1" applyFont="1" applyFill="1" applyBorder="1" applyAlignment="1">
      <x:alignment horizontal="center" wrapText="1"/>
    </x:xf>
    <x:xf numFmtId="0" fontId="32" fillId="60" borderId="165" xfId="0" applyNumberFormat="1" applyFont="1" applyFill="1" applyBorder="1" applyAlignment="1">
      <x:alignment horizontal="center" wrapText="1"/>
    </x:xf>
    <x:xf numFmtId="0" fontId="32" fillId="60" borderId="166" xfId="0" applyNumberFormat="1" applyFont="1" applyFill="1" applyBorder="1" applyAlignment="1">
      <x:alignment horizontal="center" wrapText="1"/>
    </x:xf>
    <x:xf numFmtId="0" fontId="32" fillId="60" xfId="0" applyNumberFormat="1" applyFont="1" applyFill="1" applyBorder="0" applyAlignment="1">
      <x:alignment horizontal="center" wrapText="1"/>
    </x:xf>
    <x:xf numFmtId="0" fontId="32" fillId="60" borderId="167" xfId="0" applyNumberFormat="1" applyFont="1" applyFill="1" applyBorder="1" applyAlignment="1">
      <x:alignment horizontal="center" wrapText="1"/>
    </x:xf>
    <x:xf numFmtId="0" fontId="32" fillId="60" borderId="168" xfId="0" applyNumberFormat="1" applyFont="1" applyFill="1" applyBorder="1" applyAlignment="1">
      <x:alignment horizontal="center" wrapText="1"/>
    </x:xf>
    <x:xf numFmtId="0" fontId="32" fillId="60" borderId="162" xfId="0" applyNumberFormat="1" applyFont="1" applyFill="1" applyBorder="1" applyAlignment="1">
      <x:alignment horizontal="center" wrapText="1"/>
    </x:xf>
    <x:xf numFmtId="0" fontId="32" fillId="60" borderId="169" xfId="0" applyNumberFormat="1" applyFont="1" applyFill="1" applyBorder="1" applyAlignment="1">
      <x:alignment horizontal="center" wrapText="1"/>
    </x:xf>
    <x:xf numFmtId="0" fontId="32" fillId="60" borderId="163" xfId="0" applyNumberFormat="1" applyFont="1" applyFill="1" applyBorder="1" applyAlignment="1">
      <x:alignment horizontal="center" vertical="center" wrapText="1"/>
    </x:xf>
    <x:xf numFmtId="0" fontId="32" fillId="60" borderId="164" xfId="0" applyNumberFormat="1" applyFont="1" applyFill="1" applyBorder="1" applyAlignment="1">
      <x:alignment horizontal="center" vertical="center" wrapText="1"/>
    </x:xf>
    <x:xf numFmtId="0" fontId="32" fillId="60" borderId="165" xfId="0" applyNumberFormat="1" applyFont="1" applyFill="1" applyBorder="1" applyAlignment="1">
      <x:alignment horizontal="center" vertical="center" wrapText="1"/>
    </x:xf>
    <x:xf numFmtId="0" fontId="32" fillId="60" borderId="166" xfId="0" applyNumberFormat="1" applyFont="1" applyFill="1" applyBorder="1" applyAlignment="1">
      <x:alignment horizontal="center" vertical="center" wrapText="1"/>
    </x:xf>
    <x:xf numFmtId="0" fontId="32" fillId="60" xfId="0" applyNumberFormat="1" applyFont="1" applyFill="1" applyBorder="0" applyAlignment="1">
      <x:alignment horizontal="center" vertical="center" wrapText="1"/>
    </x:xf>
    <x:xf numFmtId="0" fontId="32" fillId="60" borderId="167" xfId="0" applyNumberFormat="1" applyFont="1" applyFill="1" applyBorder="1" applyAlignment="1">
      <x:alignment horizontal="center" vertical="center" wrapText="1"/>
    </x:xf>
    <x:xf numFmtId="0" fontId="32" fillId="60" borderId="168" xfId="0" applyNumberFormat="1" applyFont="1" applyFill="1" applyBorder="1" applyAlignment="1">
      <x:alignment horizontal="center" vertical="center" wrapText="1"/>
    </x:xf>
    <x:xf numFmtId="0" fontId="32" fillId="60" borderId="162" xfId="0" applyNumberFormat="1" applyFont="1" applyFill="1" applyBorder="1" applyAlignment="1">
      <x:alignment horizontal="center" vertical="center" wrapText="1"/>
    </x:xf>
    <x:xf numFmtId="0" fontId="32" fillId="60" borderId="169" xfId="0" applyNumberFormat="1" applyFont="1" applyFill="1" applyBorder="1" applyAlignment="1">
      <x:alignment horizontal="center" vertical="center" wrapText="1"/>
    </x:xf>
    <x:xf numFmtId="0" fontId="0" fillId="61" borderId="0" xfId="0" applyNumberFormat="1" applyFont="1" applyFill="1" applyBorder="1"/>
    <x:xf numFmtId="0" fontId="32" fillId="61" borderId="0" xfId="0" applyNumberFormat="1" applyFont="1" applyFill="1" applyBorder="1"/>
    <x:xf numFmtId="0" fontId="32" fillId="61" borderId="163" xfId="0" applyNumberFormat="1" applyFont="1" applyFill="1" applyBorder="1"/>
    <x:xf numFmtId="0" fontId="32" fillId="61" borderId="165" xfId="0" applyNumberFormat="1" applyFont="1" applyFill="1" applyBorder="1"/>
    <x:xf numFmtId="0" fontId="32" fillId="61" borderId="166" xfId="0" applyNumberFormat="1" applyFont="1" applyFill="1" applyBorder="1"/>
    <x:xf numFmtId="0" fontId="32" fillId="61" borderId="167" xfId="0" applyNumberFormat="1" applyFont="1" applyFill="1" applyBorder="1"/>
    <x:xf numFmtId="0" fontId="32" fillId="61" borderId="168" xfId="0" applyNumberFormat="1" applyFont="1" applyFill="1" applyBorder="1"/>
    <x:xf numFmtId="0" fontId="32" fillId="61" borderId="169" xfId="0" applyNumberFormat="1" applyFont="1" applyFill="1" applyBorder="1"/>
    <x:xf numFmtId="0" fontId="32" fillId="61" borderId="163" xfId="0" applyNumberFormat="1" applyFont="1" applyFill="1" applyBorder="1" applyAlignment="1">
      <x:alignment wrapText="1"/>
    </x:xf>
    <x:xf numFmtId="0" fontId="32" fillId="61" borderId="165" xfId="0" applyNumberFormat="1" applyFont="1" applyFill="1" applyBorder="1" applyAlignment="1">
      <x:alignment wrapText="1"/>
    </x:xf>
    <x:xf numFmtId="0" fontId="32" fillId="61" borderId="166" xfId="0" applyNumberFormat="1" applyFont="1" applyFill="1" applyBorder="1" applyAlignment="1">
      <x:alignment wrapText="1"/>
    </x:xf>
    <x:xf numFmtId="0" fontId="32" fillId="61" borderId="167" xfId="0" applyNumberFormat="1" applyFont="1" applyFill="1" applyBorder="1" applyAlignment="1">
      <x:alignment wrapText="1"/>
    </x:xf>
    <x:xf numFmtId="0" fontId="32" fillId="61" borderId="168" xfId="0" applyNumberFormat="1" applyFont="1" applyFill="1" applyBorder="1" applyAlignment="1">
      <x:alignment wrapText="1"/>
    </x:xf>
    <x:xf numFmtId="0" fontId="32" fillId="61" borderId="169" xfId="0" applyNumberFormat="1" applyFont="1" applyFill="1" applyBorder="1" applyAlignment="1">
      <x:alignment wrapText="1"/>
    </x:xf>
    <x:xf numFmtId="0" fontId="32" fillId="61" borderId="163" xfId="0" applyNumberFormat="1" applyFont="1" applyFill="1" applyBorder="1" applyAlignment="1">
      <x:alignment horizontal="center" wrapText="1"/>
    </x:xf>
    <x:xf numFmtId="0" fontId="32" fillId="61" borderId="165" xfId="0" applyNumberFormat="1" applyFont="1" applyFill="1" applyBorder="1" applyAlignment="1">
      <x:alignment horizontal="center" wrapText="1"/>
    </x:xf>
    <x:xf numFmtId="0" fontId="32" fillId="61" borderId="166" xfId="0" applyNumberFormat="1" applyFont="1" applyFill="1" applyBorder="1" applyAlignment="1">
      <x:alignment horizontal="center" wrapText="1"/>
    </x:xf>
    <x:xf numFmtId="0" fontId="32" fillId="61" borderId="167" xfId="0" applyNumberFormat="1" applyFont="1" applyFill="1" applyBorder="1" applyAlignment="1">
      <x:alignment horizontal="center" wrapText="1"/>
    </x:xf>
    <x:xf numFmtId="0" fontId="32" fillId="61" borderId="168" xfId="0" applyNumberFormat="1" applyFont="1" applyFill="1" applyBorder="1" applyAlignment="1">
      <x:alignment horizontal="center" wrapText="1"/>
    </x:xf>
    <x:xf numFmtId="0" fontId="32" fillId="61" borderId="169" xfId="0" applyNumberFormat="1" applyFont="1" applyFill="1" applyBorder="1" applyAlignment="1">
      <x:alignment horizontal="center" wrapText="1"/>
    </x:xf>
    <x:xf numFmtId="0" fontId="32" fillId="61" borderId="163" xfId="0" applyNumberFormat="1" applyFont="1" applyFill="1" applyBorder="1" applyAlignment="1">
      <x:alignment horizontal="center" vertical="center" wrapText="1"/>
    </x:xf>
    <x:xf numFmtId="0" fontId="32" fillId="61" borderId="165" xfId="0" applyNumberFormat="1" applyFont="1" applyFill="1" applyBorder="1" applyAlignment="1">
      <x:alignment horizontal="center" vertical="center" wrapText="1"/>
    </x:xf>
    <x:xf numFmtId="0" fontId="32" fillId="61" borderId="166" xfId="0" applyNumberFormat="1" applyFont="1" applyFill="1" applyBorder="1" applyAlignment="1">
      <x:alignment horizontal="center" vertical="center" wrapText="1"/>
    </x:xf>
    <x:xf numFmtId="0" fontId="32" fillId="61" borderId="167" xfId="0" applyNumberFormat="1" applyFont="1" applyFill="1" applyBorder="1" applyAlignment="1">
      <x:alignment horizontal="center" vertical="center" wrapText="1"/>
    </x:xf>
    <x:xf numFmtId="0" fontId="32" fillId="61" borderId="168" xfId="0" applyNumberFormat="1" applyFont="1" applyFill="1" applyBorder="1" applyAlignment="1">
      <x:alignment horizontal="center" vertical="center" wrapText="1"/>
    </x:xf>
    <x:xf numFmtId="0" fontId="32" fillId="61" borderId="169" xfId="0" applyNumberFormat="1" applyFont="1" applyFill="1" applyBorder="1" applyAlignment="1">
      <x:alignment horizontal="center" vertical="center" wrapText="1"/>
    </x:xf>
    <x:xf numFmtId="0" fontId="35" fillId="58" borderId="0" xfId="0" applyNumberFormat="1" applyFont="1" applyFill="1" applyBorder="1" applyAlignment="1">
      <x:alignment vertical="center" wrapText="1"/>
    </x:xf>
    <x:xf numFmtId="0" fontId="32" fillId="61" borderId="170" xfId="0" applyNumberFormat="1" applyFont="1" applyFill="1" applyBorder="1"/>
    <x:xf numFmtId="0" fontId="32" fillId="61" borderId="171" xfId="0" applyNumberFormat="1" applyFont="1" applyFill="1" applyBorder="1"/>
    <x:xf numFmtId="0" fontId="32" fillId="61" borderId="172" xfId="0" applyNumberFormat="1" applyFont="1" applyFill="1" applyBorder="1"/>
    <x:xf numFmtId="0" fontId="32" fillId="61" borderId="173" xfId="0" applyNumberFormat="1" applyFont="1" applyFill="1" applyBorder="1"/>
    <x:xf numFmtId="0" fontId="32" fillId="61" xfId="0" applyNumberFormat="1" applyFont="1" applyFill="1" applyBorder="0"/>
    <x:xf numFmtId="0" fontId="32" fillId="61" borderId="174" xfId="0" applyNumberFormat="1" applyFont="1" applyFill="1" applyBorder="1"/>
    <x:xf numFmtId="0" fontId="32" fillId="61" borderId="175" xfId="0" applyNumberFormat="1" applyFont="1" applyFill="1" applyBorder="1"/>
    <x:xf numFmtId="0" fontId="32" fillId="61" borderId="176" xfId="0" applyNumberFormat="1" applyFont="1" applyFill="1" applyBorder="1"/>
    <x:xf numFmtId="0" fontId="32" fillId="61" borderId="177" xfId="0" applyNumberFormat="1" applyFont="1" applyFill="1" applyBorder="1"/>
    <x:xf numFmtId="0" fontId="32" fillId="61" borderId="170" xfId="0" applyNumberFormat="1" applyFont="1" applyFill="1" applyBorder="1" applyAlignment="1">
      <x:alignment wrapText="1"/>
    </x:xf>
    <x:xf numFmtId="0" fontId="32" fillId="61" borderId="171" xfId="0" applyNumberFormat="1" applyFont="1" applyFill="1" applyBorder="1" applyAlignment="1">
      <x:alignment wrapText="1"/>
    </x:xf>
    <x:xf numFmtId="0" fontId="32" fillId="61" borderId="172" xfId="0" applyNumberFormat="1" applyFont="1" applyFill="1" applyBorder="1" applyAlignment="1">
      <x:alignment wrapText="1"/>
    </x:xf>
    <x:xf numFmtId="0" fontId="32" fillId="61" borderId="173" xfId="0" applyNumberFormat="1" applyFont="1" applyFill="1" applyBorder="1" applyAlignment="1">
      <x:alignment wrapText="1"/>
    </x:xf>
    <x:xf numFmtId="0" fontId="32" fillId="61" xfId="0" applyNumberFormat="1" applyFont="1" applyFill="1" applyBorder="0" applyAlignment="1">
      <x:alignment wrapText="1"/>
    </x:xf>
    <x:xf numFmtId="0" fontId="32" fillId="61" borderId="174" xfId="0" applyNumberFormat="1" applyFont="1" applyFill="1" applyBorder="1" applyAlignment="1">
      <x:alignment wrapText="1"/>
    </x:xf>
    <x:xf numFmtId="0" fontId="32" fillId="61" borderId="175" xfId="0" applyNumberFormat="1" applyFont="1" applyFill="1" applyBorder="1" applyAlignment="1">
      <x:alignment wrapText="1"/>
    </x:xf>
    <x:xf numFmtId="0" fontId="32" fillId="61" borderId="176" xfId="0" applyNumberFormat="1" applyFont="1" applyFill="1" applyBorder="1" applyAlignment="1">
      <x:alignment wrapText="1"/>
    </x:xf>
    <x:xf numFmtId="0" fontId="32" fillId="61" borderId="177" xfId="0" applyNumberFormat="1" applyFont="1" applyFill="1" applyBorder="1" applyAlignment="1">
      <x:alignment wrapText="1"/>
    </x:xf>
    <x:xf numFmtId="0" fontId="32" fillId="61" borderId="170" xfId="0" applyNumberFormat="1" applyFont="1" applyFill="1" applyBorder="1" applyAlignment="1">
      <x:alignment horizontal="center" wrapText="1"/>
    </x:xf>
    <x:xf numFmtId="0" fontId="32" fillId="61" borderId="171" xfId="0" applyNumberFormat="1" applyFont="1" applyFill="1" applyBorder="1" applyAlignment="1">
      <x:alignment horizontal="center" wrapText="1"/>
    </x:xf>
    <x:xf numFmtId="0" fontId="32" fillId="61" borderId="172" xfId="0" applyNumberFormat="1" applyFont="1" applyFill="1" applyBorder="1" applyAlignment="1">
      <x:alignment horizontal="center" wrapText="1"/>
    </x:xf>
    <x:xf numFmtId="0" fontId="32" fillId="61" borderId="173" xfId="0" applyNumberFormat="1" applyFont="1" applyFill="1" applyBorder="1" applyAlignment="1">
      <x:alignment horizontal="center" wrapText="1"/>
    </x:xf>
    <x:xf numFmtId="0" fontId="32" fillId="61" xfId="0" applyNumberFormat="1" applyFont="1" applyFill="1" applyBorder="0" applyAlignment="1">
      <x:alignment horizontal="center" wrapText="1"/>
    </x:xf>
    <x:xf numFmtId="0" fontId="32" fillId="61" borderId="174" xfId="0" applyNumberFormat="1" applyFont="1" applyFill="1" applyBorder="1" applyAlignment="1">
      <x:alignment horizontal="center" wrapText="1"/>
    </x:xf>
    <x:xf numFmtId="0" fontId="32" fillId="61" borderId="175" xfId="0" applyNumberFormat="1" applyFont="1" applyFill="1" applyBorder="1" applyAlignment="1">
      <x:alignment horizontal="center" wrapText="1"/>
    </x:xf>
    <x:xf numFmtId="0" fontId="32" fillId="61" borderId="176" xfId="0" applyNumberFormat="1" applyFont="1" applyFill="1" applyBorder="1" applyAlignment="1">
      <x:alignment horizontal="center" wrapText="1"/>
    </x:xf>
    <x:xf numFmtId="0" fontId="32" fillId="61" borderId="177" xfId="0" applyNumberFormat="1" applyFont="1" applyFill="1" applyBorder="1" applyAlignment="1">
      <x:alignment horizontal="center" wrapText="1"/>
    </x:xf>
    <x:xf numFmtId="0" fontId="32" fillId="61" borderId="170" xfId="0" applyNumberFormat="1" applyFont="1" applyFill="1" applyBorder="1" applyAlignment="1">
      <x:alignment horizontal="center" vertical="center" wrapText="1"/>
    </x:xf>
    <x:xf numFmtId="0" fontId="32" fillId="61" borderId="171" xfId="0" applyNumberFormat="1" applyFont="1" applyFill="1" applyBorder="1" applyAlignment="1">
      <x:alignment horizontal="center" vertical="center" wrapText="1"/>
    </x:xf>
    <x:xf numFmtId="0" fontId="32" fillId="61" borderId="172" xfId="0" applyNumberFormat="1" applyFont="1" applyFill="1" applyBorder="1" applyAlignment="1">
      <x:alignment horizontal="center" vertical="center" wrapText="1"/>
    </x:xf>
    <x:xf numFmtId="0" fontId="32" fillId="61" borderId="173" xfId="0" applyNumberFormat="1" applyFont="1" applyFill="1" applyBorder="1" applyAlignment="1">
      <x:alignment horizontal="center" vertical="center" wrapText="1"/>
    </x:xf>
    <x:xf numFmtId="0" fontId="32" fillId="61" xfId="0" applyNumberFormat="1" applyFont="1" applyFill="1" applyBorder="0" applyAlignment="1">
      <x:alignment horizontal="center" vertical="center" wrapText="1"/>
    </x:xf>
    <x:xf numFmtId="0" fontId="32" fillId="61" borderId="174" xfId="0" applyNumberFormat="1" applyFont="1" applyFill="1" applyBorder="1" applyAlignment="1">
      <x:alignment horizontal="center" vertical="center" wrapText="1"/>
    </x:xf>
    <x:xf numFmtId="0" fontId="32" fillId="61" borderId="175" xfId="0" applyNumberFormat="1" applyFont="1" applyFill="1" applyBorder="1" applyAlignment="1">
      <x:alignment horizontal="center" vertical="center" wrapText="1"/>
    </x:xf>
    <x:xf numFmtId="0" fontId="32" fillId="61" borderId="176" xfId="0" applyNumberFormat="1" applyFont="1" applyFill="1" applyBorder="1" applyAlignment="1">
      <x:alignment horizontal="center" vertical="center" wrapText="1"/>
    </x:xf>
    <x:xf numFmtId="0" fontId="32" fillId="61" borderId="177" xfId="0" applyNumberFormat="1" applyFont="1" applyFill="1" applyBorder="1" applyAlignment="1">
      <x:alignment horizontal="center" vertical="center" wrapText="1"/>
    </x:xf>
    <x:xf numFmtId="0" fontId="40" fillId="56" borderId="162" xfId="0" applyNumberFormat="1" applyFont="1" applyFill="1" applyBorder="1"/>
    <x:xf numFmtId="0" fontId="41" fillId="55" borderId="0" xfId="0" applyNumberFormat="1" applyFont="1" applyFill="1" applyBorder="1" applyAlignment="1">
      <x:alignment wrapText="1"/>
    </x:xf>
    <x:xf numFmtId="0" fontId="40" fillId="57" borderId="0" xfId="0" applyNumberFormat="1" applyFont="1" applyFill="1" applyBorder="1"/>
    <x:xf numFmtId="0" fontId="41" fillId="58" borderId="0" xfId="0" applyNumberFormat="1" applyFont="1" applyFill="1" applyBorder="1" applyAlignment="1">
      <x:alignment vertical="top" wrapText="1"/>
    </x:xf>
    <x:xf numFmtId="0" fontId="41" fillId="59" borderId="0" xfId="0" applyNumberFormat="1" applyFont="1" applyFill="1" applyBorder="1" applyAlignment="1">
      <x:alignment vertical="top" wrapText="1"/>
    </x:xf>
    <x:xf numFmtId="0" fontId="40" fillId="56" borderId="163" xfId="0" applyNumberFormat="1" applyFont="1" applyFill="1" applyBorder="1" applyAlignment="1">
      <x:alignment horizontal="center" vertical="center" wrapText="1"/>
    </x:xf>
    <x:xf numFmtId="0" fontId="40" fillId="56" borderId="164" xfId="0" applyNumberFormat="1" applyFont="1" applyFill="1" applyBorder="1" applyAlignment="1">
      <x:alignment horizontal="center" vertical="center" wrapText="1"/>
    </x:xf>
    <x:xf numFmtId="0" fontId="40" fillId="56" borderId="165" xfId="0" applyNumberFormat="1" applyFont="1" applyFill="1" applyBorder="1" applyAlignment="1">
      <x:alignment horizontal="center" vertical="center" wrapText="1"/>
    </x:xf>
    <x:xf numFmtId="0" fontId="40" fillId="58" borderId="170" xfId="0" applyNumberFormat="1" applyFont="1" applyFill="1" applyBorder="1" applyAlignment="1">
      <x:alignment horizontal="center" vertical="center" wrapText="1"/>
    </x:xf>
    <x:xf numFmtId="0" fontId="40" fillId="58" borderId="171" xfId="0" applyNumberFormat="1" applyFont="1" applyFill="1" applyBorder="1" applyAlignment="1">
      <x:alignment horizontal="center" vertical="center" wrapText="1"/>
    </x:xf>
    <x:xf numFmtId="0" fontId="40" fillId="58" borderId="172" xfId="0" applyNumberFormat="1" applyFont="1" applyFill="1" applyBorder="1" applyAlignment="1">
      <x:alignment horizontal="center" vertical="center" wrapText="1"/>
    </x:xf>
    <x:xf numFmtId="0" fontId="40" fillId="56" borderId="166" xfId="0" applyNumberFormat="1" applyFont="1" applyFill="1" applyBorder="1" applyAlignment="1">
      <x:alignment horizontal="center" vertical="center" wrapText="1"/>
    </x:xf>
    <x:xf numFmtId="0" fontId="40" fillId="56" xfId="0" applyNumberFormat="1" applyFont="1" applyFill="1" applyBorder="0" applyAlignment="1">
      <x:alignment horizontal="center" vertical="center" wrapText="1"/>
    </x:xf>
    <x:xf numFmtId="0" fontId="40" fillId="56" borderId="167" xfId="0" applyNumberFormat="1" applyFont="1" applyFill="1" applyBorder="1" applyAlignment="1">
      <x:alignment horizontal="center" vertical="center" wrapText="1"/>
    </x:xf>
    <x:xf numFmtId="0" fontId="40" fillId="58" borderId="173" xfId="0" applyNumberFormat="1" applyFont="1" applyFill="1" applyBorder="1" applyAlignment="1">
      <x:alignment horizontal="center" vertical="center" wrapText="1"/>
    </x:xf>
    <x:xf numFmtId="0" fontId="40" fillId="58" xfId="0" applyNumberFormat="1" applyFont="1" applyFill="1" applyBorder="0" applyAlignment="1">
      <x:alignment horizontal="center" vertical="center" wrapText="1"/>
    </x:xf>
    <x:xf numFmtId="0" fontId="40" fillId="58" borderId="174" xfId="0" applyNumberFormat="1" applyFont="1" applyFill="1" applyBorder="1" applyAlignment="1">
      <x:alignment horizontal="center" vertical="center" wrapText="1"/>
    </x:xf>
    <x:xf numFmtId="0" fontId="40" fillId="56" borderId="168" xfId="0" applyNumberFormat="1" applyFont="1" applyFill="1" applyBorder="1" applyAlignment="1">
      <x:alignment horizontal="center" vertical="center" wrapText="1"/>
    </x:xf>
    <x:xf numFmtId="0" fontId="40" fillId="56" borderId="162" xfId="0" applyNumberFormat="1" applyFont="1" applyFill="1" applyBorder="1" applyAlignment="1">
      <x:alignment horizontal="center" vertical="center" wrapText="1"/>
    </x:xf>
    <x:xf numFmtId="0" fontId="40" fillId="56" borderId="169" xfId="0" applyNumberFormat="1" applyFont="1" applyFill="1" applyBorder="1" applyAlignment="1">
      <x:alignment horizontal="center" vertical="center" wrapText="1"/>
    </x:xf>
    <x:xf numFmtId="0" fontId="40" fillId="58" borderId="175" xfId="0" applyNumberFormat="1" applyFont="1" applyFill="1" applyBorder="1" applyAlignment="1">
      <x:alignment horizontal="center" vertical="center" wrapText="1"/>
    </x:xf>
    <x:xf numFmtId="0" fontId="40" fillId="58" borderId="176" xfId="0" applyNumberFormat="1" applyFont="1" applyFill="1" applyBorder="1" applyAlignment="1">
      <x:alignment horizontal="center" vertical="center" wrapText="1"/>
    </x:xf>
    <x:xf numFmtId="0" fontId="40" fillId="58" borderId="177" xfId="0" applyNumberFormat="1" applyFont="1" applyFill="1" applyBorder="1" applyAlignment="1">
      <x:alignment horizontal="center" vertical="center" wrapText="1"/>
    </x:xf>
    <x:xf numFmtId="0" fontId="41" fillId="55" borderId="0" xfId="0" applyNumberFormat="1" applyFont="1" applyFill="1" applyBorder="1" applyAlignment="1">
      <x:alignment vertical="center" wrapText="1"/>
    </x:xf>
    <x:xf numFmtId="0" fontId="40" fillId="55" borderId="0" xfId="0" applyNumberFormat="1" applyFont="1" applyFill="1" applyBorder="1" applyAlignment="1">
      <x:alignment wrapText="1"/>
    </x:xf>
    <x:xf numFmtId="0" fontId="40" fillId="59" borderId="170" xfId="0" applyNumberFormat="1" applyFont="1" applyFill="1" applyBorder="1" applyAlignment="1">
      <x:alignment horizontal="center" vertical="center" wrapText="1"/>
    </x:xf>
    <x:xf numFmtId="0" fontId="40" fillId="59" borderId="171" xfId="0" applyNumberFormat="1" applyFont="1" applyFill="1" applyBorder="1" applyAlignment="1">
      <x:alignment horizontal="center" vertical="center" wrapText="1"/>
    </x:xf>
    <x:xf numFmtId="0" fontId="40" fillId="59" borderId="172" xfId="0" applyNumberFormat="1" applyFont="1" applyFill="1" applyBorder="1" applyAlignment="1">
      <x:alignment horizontal="center" vertical="center" wrapText="1"/>
    </x:xf>
    <x:xf numFmtId="0" fontId="40" fillId="60" borderId="163" xfId="0" applyNumberFormat="1" applyFont="1" applyFill="1" applyBorder="1" applyAlignment="1">
      <x:alignment horizontal="center" vertical="center" wrapText="1"/>
    </x:xf>
    <x:xf numFmtId="0" fontId="40" fillId="60" borderId="164" xfId="0" applyNumberFormat="1" applyFont="1" applyFill="1" applyBorder="1" applyAlignment="1">
      <x:alignment horizontal="center" vertical="center" wrapText="1"/>
    </x:xf>
    <x:xf numFmtId="0" fontId="40" fillId="60" borderId="165" xfId="0" applyNumberFormat="1" applyFont="1" applyFill="1" applyBorder="1" applyAlignment="1">
      <x:alignment horizontal="center" vertical="center" wrapText="1"/>
    </x:xf>
    <x:xf numFmtId="0" fontId="40" fillId="61" borderId="163" xfId="0" applyNumberFormat="1" applyFont="1" applyFill="1" applyBorder="1" applyAlignment="1">
      <x:alignment horizontal="center" vertical="center" wrapText="1"/>
    </x:xf>
    <x:xf numFmtId="0" fontId="40" fillId="61" borderId="165" xfId="0" applyNumberFormat="1" applyFont="1" applyFill="1" applyBorder="1" applyAlignment="1">
      <x:alignment horizontal="center" vertical="center" wrapText="1"/>
    </x:xf>
    <x:xf numFmtId="0" fontId="40" fillId="59" borderId="173" xfId="0" applyNumberFormat="1" applyFont="1" applyFill="1" applyBorder="1" applyAlignment="1">
      <x:alignment horizontal="center" vertical="center" wrapText="1"/>
    </x:xf>
    <x:xf numFmtId="0" fontId="40" fillId="59" xfId="0" applyNumberFormat="1" applyFont="1" applyFill="1" applyBorder="0" applyAlignment="1">
      <x:alignment horizontal="center" vertical="center" wrapText="1"/>
    </x:xf>
    <x:xf numFmtId="0" fontId="40" fillId="59" borderId="174" xfId="0" applyNumberFormat="1" applyFont="1" applyFill="1" applyBorder="1" applyAlignment="1">
      <x:alignment horizontal="center" vertical="center" wrapText="1"/>
    </x:xf>
    <x:xf numFmtId="0" fontId="40" fillId="60" borderId="166" xfId="0" applyNumberFormat="1" applyFont="1" applyFill="1" applyBorder="1" applyAlignment="1">
      <x:alignment horizontal="center" vertical="center" wrapText="1"/>
    </x:xf>
    <x:xf numFmtId="0" fontId="40" fillId="60" xfId="0" applyNumberFormat="1" applyFont="1" applyFill="1" applyBorder="0" applyAlignment="1">
      <x:alignment horizontal="center" vertical="center" wrapText="1"/>
    </x:xf>
    <x:xf numFmtId="0" fontId="40" fillId="60" borderId="167" xfId="0" applyNumberFormat="1" applyFont="1" applyFill="1" applyBorder="1" applyAlignment="1">
      <x:alignment horizontal="center" vertical="center" wrapText="1"/>
    </x:xf>
    <x:xf numFmtId="0" fontId="40" fillId="61" borderId="166" xfId="0" applyNumberFormat="1" applyFont="1" applyFill="1" applyBorder="1" applyAlignment="1">
      <x:alignment horizontal="center" vertical="center" wrapText="1"/>
    </x:xf>
    <x:xf numFmtId="0" fontId="40" fillId="61" borderId="167" xfId="0" applyNumberFormat="1" applyFont="1" applyFill="1" applyBorder="1" applyAlignment="1">
      <x:alignment horizontal="center" vertical="center" wrapText="1"/>
    </x:xf>
    <x:xf numFmtId="0" fontId="40" fillId="59" borderId="175" xfId="0" applyNumberFormat="1" applyFont="1" applyFill="1" applyBorder="1" applyAlignment="1">
      <x:alignment horizontal="center" vertical="center" wrapText="1"/>
    </x:xf>
    <x:xf numFmtId="0" fontId="40" fillId="59" borderId="176" xfId="0" applyNumberFormat="1" applyFont="1" applyFill="1" applyBorder="1" applyAlignment="1">
      <x:alignment horizontal="center" vertical="center" wrapText="1"/>
    </x:xf>
    <x:xf numFmtId="0" fontId="40" fillId="59" borderId="177" xfId="0" applyNumberFormat="1" applyFont="1" applyFill="1" applyBorder="1" applyAlignment="1">
      <x:alignment horizontal="center" vertical="center" wrapText="1"/>
    </x:xf>
    <x:xf numFmtId="0" fontId="40" fillId="60" borderId="168" xfId="0" applyNumberFormat="1" applyFont="1" applyFill="1" applyBorder="1" applyAlignment="1">
      <x:alignment horizontal="center" vertical="center" wrapText="1"/>
    </x:xf>
    <x:xf numFmtId="0" fontId="40" fillId="60" borderId="162" xfId="0" applyNumberFormat="1" applyFont="1" applyFill="1" applyBorder="1" applyAlignment="1">
      <x:alignment horizontal="center" vertical="center" wrapText="1"/>
    </x:xf>
    <x:xf numFmtId="0" fontId="40" fillId="60" borderId="169" xfId="0" applyNumberFormat="1" applyFont="1" applyFill="1" applyBorder="1" applyAlignment="1">
      <x:alignment horizontal="center" vertical="center" wrapText="1"/>
    </x:xf>
    <x:xf numFmtId="0" fontId="40" fillId="61" borderId="168" xfId="0" applyNumberFormat="1" applyFont="1" applyFill="1" applyBorder="1" applyAlignment="1">
      <x:alignment horizontal="center" vertical="center" wrapText="1"/>
    </x:xf>
    <x:xf numFmtId="0" fontId="40" fillId="61" borderId="169" xfId="0" applyNumberFormat="1" applyFont="1" applyFill="1" applyBorder="1" applyAlignment="1">
      <x:alignment horizontal="center" vertical="center" wrapText="1"/>
    </x:xf>
    <x:xf numFmtId="0" fontId="41" fillId="58" borderId="0" xfId="0" applyNumberFormat="1" applyFont="1" applyFill="1" applyBorder="1" applyAlignment="1">
      <x:alignment vertical="center" wrapText="1"/>
    </x:xf>
    <x:xf numFmtId="0" fontId="40" fillId="61" borderId="170" xfId="0" applyNumberFormat="1" applyFont="1" applyFill="1" applyBorder="1" applyAlignment="1">
      <x:alignment horizontal="center" vertical="center" wrapText="1"/>
    </x:xf>
    <x:xf numFmtId="0" fontId="40" fillId="61" borderId="171" xfId="0" applyNumberFormat="1" applyFont="1" applyFill="1" applyBorder="1" applyAlignment="1">
      <x:alignment horizontal="center" vertical="center" wrapText="1"/>
    </x:xf>
    <x:xf numFmtId="0" fontId="40" fillId="61" borderId="172" xfId="0" applyNumberFormat="1" applyFont="1" applyFill="1" applyBorder="1" applyAlignment="1">
      <x:alignment horizontal="center" vertical="center" wrapText="1"/>
    </x:xf>
    <x:xf numFmtId="0" fontId="40" fillId="61" borderId="173" xfId="0" applyNumberFormat="1" applyFont="1" applyFill="1" applyBorder="1" applyAlignment="1">
      <x:alignment horizontal="center" vertical="center" wrapText="1"/>
    </x:xf>
    <x:xf numFmtId="0" fontId="40" fillId="61" xfId="0" applyNumberFormat="1" applyFont="1" applyFill="1" applyBorder="0" applyAlignment="1">
      <x:alignment horizontal="center" vertical="center" wrapText="1"/>
    </x:xf>
    <x:xf numFmtId="0" fontId="40" fillId="61" borderId="174" xfId="0" applyNumberFormat="1" applyFont="1" applyFill="1" applyBorder="1" applyAlignment="1">
      <x:alignment horizontal="center" vertical="center" wrapText="1"/>
    </x:xf>
    <x:xf numFmtId="0" fontId="40" fillId="61" borderId="175" xfId="0" applyNumberFormat="1" applyFont="1" applyFill="1" applyBorder="1" applyAlignment="1">
      <x:alignment horizontal="center" vertical="center" wrapText="1"/>
    </x:xf>
    <x:xf numFmtId="0" fontId="40" fillId="61" borderId="176" xfId="0" applyNumberFormat="1" applyFont="1" applyFill="1" applyBorder="1" applyAlignment="1">
      <x:alignment horizontal="center" vertical="center" wrapText="1"/>
    </x:xf>
    <x:xf numFmtId="0" fontId="40" fillId="61" borderId="177" xfId="0" applyNumberFormat="1" applyFont="1" applyFill="1" applyBorder="1" applyAlignment="1">
      <x:alignment horizontal="center" vertical="center" wrapText="1"/>
    </x:xf>
    <x:xf numFmtId="0" fontId="42" fillId="56" borderId="162" xfId="0" applyNumberFormat="1" applyFont="1" applyFill="1" applyBorder="1"/>
    <x:xf numFmtId="0" fontId="28" fillId="57" borderId="0" xfId="0" applyNumberFormat="1" applyFont="1" applyFill="1" applyBorder="1"/>
    <x:xf numFmtId="0" fontId="38" fillId="55" borderId="0" xfId="0" applyNumberFormat="1" applyFont="1" applyFill="1" applyBorder="1"/>
    <x:xf numFmtId="0" fontId="33" fillId="58" borderId="0" xfId="0" applyNumberFormat="1" applyFont="1" applyFill="1" applyBorder="1"/>
    <x:xf numFmtId="0" fontId="33" fillId="58" borderId="178" xfId="0" applyNumberFormat="1" applyFont="1" applyFill="1" applyBorder="1"/>
    <x:xf numFmtId="0" fontId="43" fillId="58" borderId="0" xfId="0" applyNumberFormat="1" applyFont="1" applyFill="1" applyBorder="1"/>
    <x:xf numFmtId="0" fontId="43" fillId="58" borderId="0" xfId="0" applyNumberFormat="1" applyFont="1" applyFill="1" applyBorder="1" applyAlignment="1">
      <x:alignment wrapText="1"/>
    </x:xf>
    <x:xf numFmtId="0" fontId="43" fillId="58" borderId="0" xfId="0" applyNumberFormat="1" applyFont="1" applyFill="1" applyBorder="1" applyAlignment="1">
      <x:alignment horizontal="center" wrapText="1"/>
    </x:xf>
    <x:xf numFmtId="0" fontId="43" fillId="58" borderId="0" xfId="0" applyNumberFormat="1" applyFont="1" applyFill="1" applyBorder="1" applyAlignment="1">
      <x:alignment horizontal="center" vertical="center" wrapText="1"/>
    </x:xf>
    <x:xf numFmtId="0" fontId="33" fillId="55" borderId="0" xfId="0" applyNumberFormat="1" applyFont="1" applyFill="1" applyBorder="1"/>
    <x:xf numFmtId="0" fontId="43" fillId="55" borderId="0" xfId="0" applyNumberFormat="1" applyFont="1" applyFill="1" applyBorder="1"/>
    <x:xf numFmtId="0" fontId="43" fillId="55" borderId="0" xfId="0" applyNumberFormat="1" applyFont="1" applyFill="1" applyBorder="1" applyAlignment="1">
      <x:alignment wrapText="1"/>
    </x:xf>
    <x:xf numFmtId="0" fontId="43" fillId="55" borderId="0" xfId="0" applyNumberFormat="1" applyFont="1" applyFill="1" applyBorder="1" applyAlignment="1">
      <x:alignment vertical="center" wrapText="1"/>
    </x:xf>
    <x:xf numFmtId="0" fontId="33" fillId="59" borderId="178" xfId="0" applyNumberFormat="1" applyFont="1" applyFill="1" applyBorder="1"/>
    <x:xf numFmtId="0" fontId="43" fillId="59" borderId="0" xfId="0" applyNumberFormat="1" applyFont="1" applyFill="1" applyBorder="1" applyAlignment="1">
      <x:alignment horizontal="center" vertical="center" wrapText="1"/>
    </x:xf>
    <x:xf numFmtId="0" fontId="39" fillId="59" borderId="0" xfId="0" applyNumberFormat="1" applyFont="1" applyFill="1" applyBorder="1"/>
    <x:xf numFmtId="0" fontId="39" fillId="59" borderId="178" xfId="0" applyNumberFormat="1" applyFont="1" applyFill="1" applyBorder="1"/>
    <x:xf numFmtId="0" fontId="39" fillId="59" borderId="0" xfId="0" applyNumberFormat="1" applyFont="1" applyFill="1" applyBorder="1" applyAlignment="1">
      <x:alignment horizontal="center" vertical="center" wrapText="1"/>
    </x:xf>
    <x:xf numFmtId="0" fontId="39" fillId="59" borderId="170" xfId="0" applyNumberFormat="1" applyFont="1" applyFill="1" applyBorder="1"/>
    <x:xf numFmtId="0" fontId="39" fillId="59" borderId="171" xfId="0" applyNumberFormat="1" applyFont="1" applyFill="1" applyBorder="1"/>
    <x:xf numFmtId="0" fontId="39" fillId="59" borderId="172" xfId="0" applyNumberFormat="1" applyFont="1" applyFill="1" applyBorder="1"/>
    <x:xf numFmtId="0" fontId="39" fillId="59" borderId="173" xfId="0" applyNumberFormat="1" applyFont="1" applyFill="1" applyBorder="1"/>
    <x:xf numFmtId="0" fontId="39" fillId="59" xfId="0" applyNumberFormat="1" applyFont="1" applyFill="1" applyBorder="0"/>
    <x:xf numFmtId="0" fontId="39" fillId="59" borderId="174" xfId="0" applyNumberFormat="1" applyFont="1" applyFill="1" applyBorder="1"/>
    <x:xf numFmtId="0" fontId="39" fillId="59" borderId="179" xfId="0" applyNumberFormat="1" applyFont="1" applyFill="1" applyBorder="1"/>
    <x:xf numFmtId="0" fontId="39" fillId="59" borderId="180" xfId="0" applyNumberFormat="1" applyFont="1" applyFill="1" applyBorder="1"/>
    <x:xf numFmtId="0" fontId="39" fillId="59" borderId="173" xfId="0" applyNumberFormat="1" applyFont="1" applyFill="1" applyBorder="1" applyAlignment="1">
      <x:alignment horizontal="center" vertical="center" wrapText="1"/>
    </x:xf>
    <x:xf numFmtId="0" fontId="39" fillId="59" xfId="0" applyNumberFormat="1" applyFont="1" applyFill="1" applyBorder="0" applyAlignment="1">
      <x:alignment horizontal="center" vertical="center" wrapText="1"/>
    </x:xf>
    <x:xf numFmtId="0" fontId="39" fillId="59" borderId="174" xfId="0" applyNumberFormat="1" applyFont="1" applyFill="1" applyBorder="1" applyAlignment="1">
      <x:alignment horizontal="center" vertical="center" wrapText="1"/>
    </x:xf>
    <x:xf numFmtId="0" fontId="39" fillId="59" borderId="175" xfId="0" applyNumberFormat="1" applyFont="1" applyFill="1" applyBorder="1" applyAlignment="1">
      <x:alignment horizontal="center" vertical="center" wrapText="1"/>
    </x:xf>
    <x:xf numFmtId="0" fontId="39" fillId="59" borderId="176" xfId="0" applyNumberFormat="1" applyFont="1" applyFill="1" applyBorder="1" applyAlignment="1">
      <x:alignment horizontal="center" vertical="center" wrapText="1"/>
    </x:xf>
    <x:xf numFmtId="0" fontId="39" fillId="59" borderId="177" xfId="0" applyNumberFormat="1" applyFont="1" applyFill="1" applyBorder="1" applyAlignment="1">
      <x:alignment horizontal="center" vertical="center" wrapText="1"/>
    </x:xf>
    <x:xf numFmtId="0" fontId="39" fillId="59" borderId="170" xfId="0" applyNumberFormat="1" applyFont="1" applyFill="1" applyBorder="1" applyAlignment="1">
      <x:alignment wrapText="1"/>
    </x:xf>
    <x:xf numFmtId="0" fontId="39" fillId="59" borderId="171" xfId="0" applyNumberFormat="1" applyFont="1" applyFill="1" applyBorder="1" applyAlignment="1">
      <x:alignment wrapText="1"/>
    </x:xf>
    <x:xf numFmtId="0" fontId="39" fillId="59" borderId="172" xfId="0" applyNumberFormat="1" applyFont="1" applyFill="1" applyBorder="1" applyAlignment="1">
      <x:alignment wrapText="1"/>
    </x:xf>
    <x:xf numFmtId="0" fontId="39" fillId="59" borderId="173" xfId="0" applyNumberFormat="1" applyFont="1" applyFill="1" applyBorder="1" applyAlignment="1">
      <x:alignment wrapText="1"/>
    </x:xf>
    <x:xf numFmtId="0" fontId="39" fillId="59" xfId="0" applyNumberFormat="1" applyFont="1" applyFill="1" applyBorder="0" applyAlignment="1">
      <x:alignment wrapText="1"/>
    </x:xf>
    <x:xf numFmtId="0" fontId="39" fillId="59" borderId="174" xfId="0" applyNumberFormat="1" applyFont="1" applyFill="1" applyBorder="1" applyAlignment="1">
      <x:alignment wrapText="1"/>
    </x:xf>
    <x:xf numFmtId="0" fontId="39" fillId="59" borderId="179" xfId="0" applyNumberFormat="1" applyFont="1" applyFill="1" applyBorder="1" applyAlignment="1">
      <x:alignment wrapText="1"/>
    </x:xf>
    <x:xf numFmtId="0" fontId="39" fillId="59" borderId="178" xfId="0" applyNumberFormat="1" applyFont="1" applyFill="1" applyBorder="1" applyAlignment="1">
      <x:alignment wrapText="1"/>
    </x:xf>
    <x:xf numFmtId="0" fontId="39" fillId="59" borderId="180" xfId="0" applyNumberFormat="1" applyFont="1" applyFill="1" applyBorder="1" applyAlignment="1">
      <x:alignment wrapText="1"/>
    </x:xf>
    <x:xf numFmtId="0" fontId="39" fillId="59" borderId="170" xfId="0" applyNumberFormat="1" applyFont="1" applyFill="1" applyBorder="1" applyAlignment="1">
      <x:alignment horizontal="center" wrapText="1"/>
    </x:xf>
    <x:xf numFmtId="0" fontId="39" fillId="59" borderId="171" xfId="0" applyNumberFormat="1" applyFont="1" applyFill="1" applyBorder="1" applyAlignment="1">
      <x:alignment horizontal="center" wrapText="1"/>
    </x:xf>
    <x:xf numFmtId="0" fontId="39" fillId="59" borderId="172" xfId="0" applyNumberFormat="1" applyFont="1" applyFill="1" applyBorder="1" applyAlignment="1">
      <x:alignment horizontal="center" wrapText="1"/>
    </x:xf>
    <x:xf numFmtId="0" fontId="39" fillId="59" borderId="173" xfId="0" applyNumberFormat="1" applyFont="1" applyFill="1" applyBorder="1" applyAlignment="1">
      <x:alignment horizontal="center" wrapText="1"/>
    </x:xf>
    <x:xf numFmtId="0" fontId="39" fillId="59" xfId="0" applyNumberFormat="1" applyFont="1" applyFill="1" applyBorder="0" applyAlignment="1">
      <x:alignment horizontal="center" wrapText="1"/>
    </x:xf>
    <x:xf numFmtId="0" fontId="39" fillId="59" borderId="174" xfId="0" applyNumberFormat="1" applyFont="1" applyFill="1" applyBorder="1" applyAlignment="1">
      <x:alignment horizontal="center" wrapText="1"/>
    </x:xf>
    <x:xf numFmtId="0" fontId="39" fillId="59" borderId="179" xfId="0" applyNumberFormat="1" applyFont="1" applyFill="1" applyBorder="1" applyAlignment="1">
      <x:alignment horizontal="center" wrapText="1"/>
    </x:xf>
    <x:xf numFmtId="0" fontId="39" fillId="59" borderId="178" xfId="0" applyNumberFormat="1" applyFont="1" applyFill="1" applyBorder="1" applyAlignment="1">
      <x:alignment horizontal="center" wrapText="1"/>
    </x:xf>
    <x:xf numFmtId="0" fontId="39" fillId="59" borderId="180" xfId="0" applyNumberFormat="1" applyFont="1" applyFill="1" applyBorder="1" applyAlignment="1">
      <x:alignment horizontal="center" wrapText="1"/>
    </x:xf>
    <x:xf numFmtId="0" fontId="39" fillId="59" borderId="170" xfId="0" applyNumberFormat="1" applyFont="1" applyFill="1" applyBorder="1" applyAlignment="1">
      <x:alignment horizontal="center" vertical="center" wrapText="1"/>
    </x:xf>
    <x:xf numFmtId="0" fontId="39" fillId="59" borderId="171" xfId="0" applyNumberFormat="1" applyFont="1" applyFill="1" applyBorder="1" applyAlignment="1">
      <x:alignment horizontal="center" vertical="center" wrapText="1"/>
    </x:xf>
    <x:xf numFmtId="0" fontId="39" fillId="59" borderId="172" xfId="0" applyNumberFormat="1" applyFont="1" applyFill="1" applyBorder="1" applyAlignment="1">
      <x:alignment horizontal="center" vertical="center" wrapText="1"/>
    </x:xf>
    <x:xf numFmtId="0" fontId="39" fillId="59" borderId="179" xfId="0" applyNumberFormat="1" applyFont="1" applyFill="1" applyBorder="1" applyAlignment="1">
      <x:alignment horizontal="center" vertical="center" wrapText="1"/>
    </x:xf>
    <x:xf numFmtId="0" fontId="39" fillId="59" borderId="178" xfId="0" applyNumberFormat="1" applyFont="1" applyFill="1" applyBorder="1" applyAlignment="1">
      <x:alignment horizontal="center" vertical="center" wrapText="1"/>
    </x:xf>
    <x:xf numFmtId="0" fontId="39" fillId="59" borderId="180" xfId="0" applyNumberFormat="1" applyFont="1" applyFill="1" applyBorder="1" applyAlignment="1">
      <x:alignment horizontal="center" vertical="center" wrapText="1"/>
    </x:xf>
    <x:xf numFmtId="0" fontId="22" fillId="58" borderId="178" xfId="0" applyNumberFormat="1" applyFont="1" applyFill="1" applyBorder="1"/>
    <x:xf numFmtId="0" fontId="22" fillId="58" borderId="178" xfId="0" applyNumberFormat="1" applyFont="1" applyFill="1" applyBorder="1" applyAlignment="1">
      <x:alignment horizontal="center"/>
    </x:xf>
    <x:xf numFmtId="0" fontId="22" fillId="58" borderId="178" xfId="0" applyNumberFormat="1" applyFont="1" applyFill="1" applyBorder="1" applyAlignment="1">
      <x:alignment horizontal="center" vertical="center"/>
    </x:xf>
    <x:xf numFmtId="0" fontId="33" fillId="60" borderId="178" xfId="0" applyNumberFormat="1" applyFont="1" applyFill="1" applyBorder="1"/>
    <x:xf numFmtId="0" fontId="43" fillId="60" borderId="0" xfId="0" applyNumberFormat="1" applyFont="1" applyFill="1" applyBorder="1" applyAlignment="1">
      <x:alignment horizontal="center" vertical="center" wrapText="1"/>
    </x:xf>
    <x:xf numFmtId="0" fontId="39" fillId="60" borderId="0" xfId="0" applyNumberFormat="1" applyFont="1" applyFill="1" applyBorder="1"/>
    <x:xf numFmtId="0" fontId="39" fillId="60" borderId="178" xfId="0" applyNumberFormat="1" applyFont="1" applyFill="1" applyBorder="1"/>
    <x:xf numFmtId="0" fontId="39" fillId="60" borderId="0" xfId="0" applyNumberFormat="1" applyFont="1" applyFill="1" applyBorder="1" applyAlignment="1">
      <x:alignment horizontal="center" vertical="center" wrapText="1"/>
    </x:xf>
    <x:xf numFmtId="0" fontId="39" fillId="60" borderId="170" xfId="0" applyNumberFormat="1" applyFont="1" applyFill="1" applyBorder="1"/>
    <x:xf numFmtId="0" fontId="39" fillId="60" borderId="171" xfId="0" applyNumberFormat="1" applyFont="1" applyFill="1" applyBorder="1"/>
    <x:xf numFmtId="0" fontId="39" fillId="60" borderId="172" xfId="0" applyNumberFormat="1" applyFont="1" applyFill="1" applyBorder="1"/>
    <x:xf numFmtId="0" fontId="39" fillId="60" borderId="173" xfId="0" applyNumberFormat="1" applyFont="1" applyFill="1" applyBorder="1"/>
    <x:xf numFmtId="0" fontId="39" fillId="60" xfId="0" applyNumberFormat="1" applyFont="1" applyFill="1" applyBorder="0"/>
    <x:xf numFmtId="0" fontId="39" fillId="60" borderId="174" xfId="0" applyNumberFormat="1" applyFont="1" applyFill="1" applyBorder="1"/>
    <x:xf numFmtId="0" fontId="39" fillId="60" borderId="179" xfId="0" applyNumberFormat="1" applyFont="1" applyFill="1" applyBorder="1"/>
    <x:xf numFmtId="0" fontId="39" fillId="60" borderId="180" xfId="0" applyNumberFormat="1" applyFont="1" applyFill="1" applyBorder="1"/>
    <x:xf numFmtId="0" fontId="39" fillId="60" borderId="173" xfId="0" applyNumberFormat="1" applyFont="1" applyFill="1" applyBorder="1" applyAlignment="1">
      <x:alignment horizontal="center" vertical="center" wrapText="1"/>
    </x:xf>
    <x:xf numFmtId="0" fontId="39" fillId="60" xfId="0" applyNumberFormat="1" applyFont="1" applyFill="1" applyBorder="0" applyAlignment="1">
      <x:alignment horizontal="center" vertical="center" wrapText="1"/>
    </x:xf>
    <x:xf numFmtId="0" fontId="39" fillId="60" borderId="174" xfId="0" applyNumberFormat="1" applyFont="1" applyFill="1" applyBorder="1" applyAlignment="1">
      <x:alignment horizontal="center" vertical="center" wrapText="1"/>
    </x:xf>
    <x:xf numFmtId="0" fontId="39" fillId="60" borderId="175" xfId="0" applyNumberFormat="1" applyFont="1" applyFill="1" applyBorder="1" applyAlignment="1">
      <x:alignment horizontal="center" vertical="center" wrapText="1"/>
    </x:xf>
    <x:xf numFmtId="0" fontId="39" fillId="60" borderId="176" xfId="0" applyNumberFormat="1" applyFont="1" applyFill="1" applyBorder="1" applyAlignment="1">
      <x:alignment horizontal="center" vertical="center" wrapText="1"/>
    </x:xf>
    <x:xf numFmtId="0" fontId="39" fillId="60" borderId="177" xfId="0" applyNumberFormat="1" applyFont="1" applyFill="1" applyBorder="1" applyAlignment="1">
      <x:alignment horizontal="center" vertical="center" wrapText="1"/>
    </x:xf>
    <x:xf numFmtId="0" fontId="39" fillId="60" borderId="170" xfId="0" applyNumberFormat="1" applyFont="1" applyFill="1" applyBorder="1" applyAlignment="1">
      <x:alignment wrapText="1"/>
    </x:xf>
    <x:xf numFmtId="0" fontId="39" fillId="60" borderId="171" xfId="0" applyNumberFormat="1" applyFont="1" applyFill="1" applyBorder="1" applyAlignment="1">
      <x:alignment wrapText="1"/>
    </x:xf>
    <x:xf numFmtId="0" fontId="39" fillId="60" borderId="172" xfId="0" applyNumberFormat="1" applyFont="1" applyFill="1" applyBorder="1" applyAlignment="1">
      <x:alignment wrapText="1"/>
    </x:xf>
    <x:xf numFmtId="0" fontId="39" fillId="60" borderId="173" xfId="0" applyNumberFormat="1" applyFont="1" applyFill="1" applyBorder="1" applyAlignment="1">
      <x:alignment wrapText="1"/>
    </x:xf>
    <x:xf numFmtId="0" fontId="39" fillId="60" xfId="0" applyNumberFormat="1" applyFont="1" applyFill="1" applyBorder="0" applyAlignment="1">
      <x:alignment wrapText="1"/>
    </x:xf>
    <x:xf numFmtId="0" fontId="39" fillId="60" borderId="174" xfId="0" applyNumberFormat="1" applyFont="1" applyFill="1" applyBorder="1" applyAlignment="1">
      <x:alignment wrapText="1"/>
    </x:xf>
    <x:xf numFmtId="0" fontId="39" fillId="60" borderId="179" xfId="0" applyNumberFormat="1" applyFont="1" applyFill="1" applyBorder="1" applyAlignment="1">
      <x:alignment wrapText="1"/>
    </x:xf>
    <x:xf numFmtId="0" fontId="39" fillId="60" borderId="178" xfId="0" applyNumberFormat="1" applyFont="1" applyFill="1" applyBorder="1" applyAlignment="1">
      <x:alignment wrapText="1"/>
    </x:xf>
    <x:xf numFmtId="0" fontId="39" fillId="60" borderId="180" xfId="0" applyNumberFormat="1" applyFont="1" applyFill="1" applyBorder="1" applyAlignment="1">
      <x:alignment wrapText="1"/>
    </x:xf>
    <x:xf numFmtId="0" fontId="39" fillId="60" borderId="170" xfId="0" applyNumberFormat="1" applyFont="1" applyFill="1" applyBorder="1" applyAlignment="1">
      <x:alignment horizontal="center" wrapText="1"/>
    </x:xf>
    <x:xf numFmtId="0" fontId="39" fillId="60" borderId="171" xfId="0" applyNumberFormat="1" applyFont="1" applyFill="1" applyBorder="1" applyAlignment="1">
      <x:alignment horizontal="center" wrapText="1"/>
    </x:xf>
    <x:xf numFmtId="0" fontId="39" fillId="60" borderId="172" xfId="0" applyNumberFormat="1" applyFont="1" applyFill="1" applyBorder="1" applyAlignment="1">
      <x:alignment horizontal="center" wrapText="1"/>
    </x:xf>
    <x:xf numFmtId="0" fontId="39" fillId="60" borderId="173" xfId="0" applyNumberFormat="1" applyFont="1" applyFill="1" applyBorder="1" applyAlignment="1">
      <x:alignment horizontal="center" wrapText="1"/>
    </x:xf>
    <x:xf numFmtId="0" fontId="39" fillId="60" xfId="0" applyNumberFormat="1" applyFont="1" applyFill="1" applyBorder="0" applyAlignment="1">
      <x:alignment horizontal="center" wrapText="1"/>
    </x:xf>
    <x:xf numFmtId="0" fontId="39" fillId="60" borderId="174" xfId="0" applyNumberFormat="1" applyFont="1" applyFill="1" applyBorder="1" applyAlignment="1">
      <x:alignment horizontal="center" wrapText="1"/>
    </x:xf>
    <x:xf numFmtId="0" fontId="39" fillId="60" borderId="179" xfId="0" applyNumberFormat="1" applyFont="1" applyFill="1" applyBorder="1" applyAlignment="1">
      <x:alignment horizontal="center" wrapText="1"/>
    </x:xf>
    <x:xf numFmtId="0" fontId="39" fillId="60" borderId="178" xfId="0" applyNumberFormat="1" applyFont="1" applyFill="1" applyBorder="1" applyAlignment="1">
      <x:alignment horizontal="center" wrapText="1"/>
    </x:xf>
    <x:xf numFmtId="0" fontId="39" fillId="60" borderId="180" xfId="0" applyNumberFormat="1" applyFont="1" applyFill="1" applyBorder="1" applyAlignment="1">
      <x:alignment horizontal="center" wrapText="1"/>
    </x:xf>
    <x:xf numFmtId="0" fontId="39" fillId="60" borderId="170" xfId="0" applyNumberFormat="1" applyFont="1" applyFill="1" applyBorder="1" applyAlignment="1">
      <x:alignment horizontal="center" vertical="center" wrapText="1"/>
    </x:xf>
    <x:xf numFmtId="0" fontId="39" fillId="60" borderId="171" xfId="0" applyNumberFormat="1" applyFont="1" applyFill="1" applyBorder="1" applyAlignment="1">
      <x:alignment horizontal="center" vertical="center" wrapText="1"/>
    </x:xf>
    <x:xf numFmtId="0" fontId="39" fillId="60" borderId="172" xfId="0" applyNumberFormat="1" applyFont="1" applyFill="1" applyBorder="1" applyAlignment="1">
      <x:alignment horizontal="center" vertical="center" wrapText="1"/>
    </x:xf>
    <x:xf numFmtId="0" fontId="39" fillId="60" borderId="179" xfId="0" applyNumberFormat="1" applyFont="1" applyFill="1" applyBorder="1" applyAlignment="1">
      <x:alignment horizontal="center" vertical="center" wrapText="1"/>
    </x:xf>
    <x:xf numFmtId="0" fontId="39" fillId="60" borderId="178" xfId="0" applyNumberFormat="1" applyFont="1" applyFill="1" applyBorder="1" applyAlignment="1">
      <x:alignment horizontal="center" vertical="center" wrapText="1"/>
    </x:xf>
    <x:xf numFmtId="0" fontId="39" fillId="60" borderId="180" xfId="0" applyNumberFormat="1" applyFont="1" applyFill="1" applyBorder="1" applyAlignment="1">
      <x:alignment horizontal="center" vertical="center" wrapText="1"/>
    </x:xf>
    <x:xf numFmtId="0" fontId="40" fillId="55" borderId="0" xfId="0" applyNumberFormat="1" applyFont="1" applyFill="1" applyBorder="1"/>
    <x:xf numFmtId="0" fontId="40" fillId="60" borderId="170" xfId="0" applyNumberFormat="1" applyFont="1" applyFill="1" applyBorder="1" applyAlignment="1">
      <x:alignment horizontal="center" vertical="center" wrapText="1"/>
    </x:xf>
    <x:xf numFmtId="0" fontId="40" fillId="60" borderId="171" xfId="0" applyNumberFormat="1" applyFont="1" applyFill="1" applyBorder="1" applyAlignment="1">
      <x:alignment horizontal="center" vertical="center" wrapText="1"/>
    </x:xf>
    <x:xf numFmtId="0" fontId="40" fillId="60" borderId="172" xfId="0" applyNumberFormat="1" applyFont="1" applyFill="1" applyBorder="1" applyAlignment="1">
      <x:alignment horizontal="center" vertical="center" wrapText="1"/>
    </x:xf>
    <x:xf numFmtId="0" fontId="40" fillId="60" borderId="173" xfId="0" applyNumberFormat="1" applyFont="1" applyFill="1" applyBorder="1" applyAlignment="1">
      <x:alignment horizontal="center" vertical="center" wrapText="1"/>
    </x:xf>
    <x:xf numFmtId="0" fontId="40" fillId="60" borderId="174" xfId="0" applyNumberFormat="1" applyFont="1" applyFill="1" applyBorder="1" applyAlignment="1">
      <x:alignment horizontal="center" vertical="center" wrapText="1"/>
    </x:xf>
    <x:xf numFmtId="0" fontId="40" fillId="58" borderId="178" xfId="0" applyNumberFormat="1" applyFont="1" applyFill="1" applyBorder="1"/>
    <x:xf numFmtId="0" fontId="40" fillId="59" borderId="179" xfId="0" applyNumberFormat="1" applyFont="1" applyFill="1" applyBorder="1" applyAlignment="1">
      <x:alignment horizontal="center" vertical="center" wrapText="1"/>
    </x:xf>
    <x:xf numFmtId="0" fontId="40" fillId="59" borderId="178" xfId="0" applyNumberFormat="1" applyFont="1" applyFill="1" applyBorder="1" applyAlignment="1">
      <x:alignment horizontal="center" vertical="center" wrapText="1"/>
    </x:xf>
    <x:xf numFmtId="0" fontId="40" fillId="59" borderId="180" xfId="0" applyNumberFormat="1" applyFont="1" applyFill="1" applyBorder="1" applyAlignment="1">
      <x:alignment horizontal="center" vertical="center" wrapText="1"/>
    </x:xf>
    <x:xf numFmtId="0" fontId="40" fillId="58" borderId="178" xfId="0" applyNumberFormat="1" applyFont="1" applyFill="1" applyBorder="1" applyAlignment="1">
      <x:alignment horizontal="center" vertical="center"/>
    </x:xf>
    <x:xf numFmtId="0" fontId="40" fillId="60" borderId="179" xfId="0" applyNumberFormat="1" applyFont="1" applyFill="1" applyBorder="1" applyAlignment="1">
      <x:alignment horizontal="center" vertical="center" wrapText="1"/>
    </x:xf>
    <x:xf numFmtId="0" fontId="40" fillId="60" borderId="178" xfId="0" applyNumberFormat="1" applyFont="1" applyFill="1" applyBorder="1" applyAlignment="1">
      <x:alignment horizontal="center" vertical="center" wrapText="1"/>
    </x:xf>
    <x:xf numFmtId="0" fontId="40" fillId="60" borderId="180" xfId="0" applyNumberFormat="1" applyFont="1" applyFill="1" applyBorder="1" applyAlignment="1">
      <x:alignment horizontal="center" vertical="center" wrapText="1"/>
    </x:xf>
    <x:xf numFmtId="0" fontId="41" fillId="58" borderId="0" xfId="0" applyNumberFormat="1" applyFont="1" applyFill="1" applyBorder="1" applyAlignment="1">
      <x:alignment horizontal="center" vertical="center" wrapText="1"/>
    </x:xf>
    <x:xf numFmtId="0" fontId="40" fillId="60" borderId="175" xfId="0" applyNumberFormat="1" applyFont="1" applyFill="1" applyBorder="1" applyAlignment="1">
      <x:alignment horizontal="center" vertical="center" wrapText="1"/>
    </x:xf>
    <x:xf numFmtId="0" fontId="40" fillId="60" borderId="176" xfId="0" applyNumberFormat="1" applyFont="1" applyFill="1" applyBorder="1" applyAlignment="1">
      <x:alignment horizontal="center" vertical="center" wrapText="1"/>
    </x:xf>
    <x:xf numFmtId="0" fontId="40" fillId="60" borderId="177" xfId="0" applyNumberFormat="1" applyFont="1" applyFill="1" applyBorder="1" applyAlignment="1">
      <x:alignment horizontal="center" vertical="center" wrapText="1"/>
    </x:xf>
    <x:xf numFmtId="0" fontId="44" fillId="55" borderId="0" xfId="0" applyNumberFormat="1" applyFont="1" applyFill="1" applyBorder="1"/>
    <x:xf numFmtId="0" fontId="43" fillId="36" borderId="0" xfId="0" applyNumberFormat="1" applyFont="1" applyFill="1" applyBorder="1"/>
    <x:xf numFmtId="0" fontId="43" fillId="36" borderId="0" xfId="0" applyNumberFormat="1" applyFont="1" applyFill="1" applyBorder="1" applyAlignment="1">
      <x:alignment wrapText="1"/>
    </x:xf>
    <x:xf numFmtId="0" fontId="43" fillId="36" borderId="0" xfId="0" applyNumberFormat="1" applyFont="1" applyFill="1" applyBorder="1" applyAlignment="1">
      <x:alignment vertical="center" wrapText="1"/>
    </x:xf>
    <x:xf numFmtId="0" fontId="33" fillId="40" borderId="0" xfId="0" applyNumberFormat="1" applyFont="1" applyFill="1" applyBorder="1"/>
    <x:xf numFmtId="0" fontId="43" fillId="40" borderId="0" xfId="0" applyNumberFormat="1" applyFont="1" applyFill="1" applyBorder="1" applyAlignment="1">
      <x:alignment horizontal="center" vertical="center" wrapText="1"/>
    </x:xf>
    <x:xf numFmtId="0" fontId="22" fillId="23" borderId="0" xfId="0" applyNumberFormat="1" applyFont="1" applyFill="1" applyBorder="1"/>
    <x:xf numFmtId="0" fontId="22" fillId="23" borderId="0" xfId="0" applyNumberFormat="1" applyFont="1" applyFill="1" applyBorder="1" applyAlignment="1">
      <x:alignment horizontal="center"/>
    </x:xf>
    <x:xf numFmtId="0" fontId="22" fillId="23" borderId="0" xfId="0" applyNumberFormat="1" applyFont="1" applyFill="1" applyBorder="1" applyAlignment="1">
      <x:alignment horizontal="center" vertical="center"/>
    </x:xf>
    <x:xf numFmtId="0" fontId="33" fillId="35" borderId="0" xfId="0" applyNumberFormat="1" applyFont="1" applyFill="1" applyBorder="1"/>
    <x:xf numFmtId="0" fontId="43" fillId="35" borderId="0" xfId="0" applyNumberFormat="1" applyFont="1" applyFill="1" applyBorder="1" applyAlignment="1">
      <x:alignment horizontal="center" vertical="center" wrapText="1"/>
    </x:xf>
    <x:xf numFmtId="0" fontId="39" fillId="35" borderId="0" xfId="0" applyNumberFormat="1" applyFont="1" applyFill="1" applyBorder="1"/>
    <x:xf numFmtId="0" fontId="39" fillId="35" borderId="0" xfId="0" applyNumberFormat="1" applyFont="1" applyFill="1" applyBorder="1" applyAlignment="1">
      <x:alignment horizontal="center" vertical="center" wrapText="1"/>
    </x:xf>
    <x:xf numFmtId="0" fontId="39" fillId="35" xfId="0" applyNumberFormat="1" applyFont="1" applyFill="1" applyBorder="0"/>
    <x:xf numFmtId="0" fontId="39" fillId="35" xfId="0" applyNumberFormat="1" applyFont="1" applyFill="1" applyBorder="0" applyAlignment="1">
      <x:alignment horizontal="center" vertical="center" wrapText="1"/>
    </x:xf>
    <x:xf numFmtId="0" fontId="39" fillId="35" borderId="0" xfId="0" applyNumberFormat="1" applyFont="1" applyFill="1" applyBorder="1" applyAlignment="1">
      <x:alignment wrapText="1"/>
    </x:xf>
    <x:xf numFmtId="0" fontId="39" fillId="35" xfId="0" applyNumberFormat="1" applyFont="1" applyFill="1" applyBorder="0" applyAlignment="1">
      <x:alignment wrapText="1"/>
    </x:xf>
    <x:xf numFmtId="0" fontId="39" fillId="35" borderId="0" xfId="0" applyNumberFormat="1" applyFont="1" applyFill="1" applyBorder="1" applyAlignment="1">
      <x:alignment horizontal="center" wrapText="1"/>
    </x:xf>
    <x:xf numFmtId="0" fontId="39" fillId="35" xfId="0" applyNumberFormat="1" applyFont="1" applyFill="1" applyBorder="0" applyAlignment="1">
      <x:alignment horizontal="center" wrapText="1"/>
    </x:xf>
    <x:xf numFmtId="0" fontId="40" fillId="23" borderId="0" xfId="0" applyNumberFormat="1" applyFont="1" applyFill="1" applyBorder="1" applyAlignment="1">
      <x:alignment horizontal="center" vertical="center"/>
    </x:xf>
    <x:xf numFmtId="0" fontId="0" fillId="62" borderId="0" xfId="0" applyNumberFormat="1" applyFont="1" applyFill="1" applyBorder="1"/>
    <x:xf numFmtId="0" fontId="30" fillId="62" borderId="0" xfId="0" applyNumberFormat="1" applyFont="1" applyFill="1" applyBorder="1"/>
    <x:xf numFmtId="0" fontId="30" fillId="62" borderId="0" xfId="0" applyNumberFormat="1" applyFont="1" applyFill="1" applyBorder="1" applyAlignment="1">
      <x:alignment wrapText="1"/>
    </x:xf>
    <x:xf numFmtId="0" fontId="41" fillId="63" borderId="0" xfId="0" applyNumberFormat="1" applyFont="1" applyFill="1" applyBorder="1"/>
    <x:xf numFmtId="0" fontId="45" fillId="63" borderId="0" xfId="0" applyNumberFormat="1" applyFont="1" applyFill="1" applyBorder="1"/>
    <x:xf numFmtId="0" fontId="45" fillId="63" borderId="0" xfId="0" applyNumberFormat="1" applyFont="1" applyFill="1" applyBorder="1" applyAlignment="1">
      <x:alignment wrapText="1"/>
    </x:xf>
    <x:xf numFmtId="0" fontId="45" fillId="63" borderId="0" xfId="0" applyNumberFormat="1" applyFont="1" applyFill="1" applyBorder="1" applyAlignment="1">
      <x:alignment vertical="center" wrapText="1"/>
    </x:xf>
    <x:xf numFmtId="0" fontId="0" fillId="64" borderId="0" xfId="0" applyNumberFormat="1" applyFont="1" applyFill="1" applyBorder="1"/>
    <x:xf numFmtId="0" fontId="36" fillId="64" borderId="0" xfId="0" applyNumberFormat="1" applyFont="1" applyFill="1" applyBorder="1"/>
    <x:xf numFmtId="0" fontId="36" fillId="64" borderId="181" xfId="0" applyNumberFormat="1" applyFont="1" applyFill="1" applyBorder="1"/>
    <x:xf numFmtId="0" fontId="20" fillId="62" borderId="0" xfId="0" applyNumberFormat="1" applyFont="1" applyFill="1" applyBorder="1"/>
    <x:xf numFmtId="0" fontId="20" fillId="62" borderId="0" xfId="0" applyNumberFormat="1" applyFont="1" applyFill="1" applyBorder="1" applyAlignment="1">
      <x:alignment wrapText="1"/>
    </x:xf>
    <x:xf numFmtId="0" fontId="0" fillId="65" borderId="0" xfId="0" applyNumberFormat="1" applyFont="1" applyFill="1" applyBorder="1"/>
    <x:xf numFmtId="0" fontId="37" fillId="65" borderId="0" xfId="0" applyNumberFormat="1" applyFont="1" applyFill="1" applyBorder="1"/>
    <x:xf numFmtId="0" fontId="37" fillId="65" borderId="0" xfId="0" applyNumberFormat="1" applyFont="1" applyFill="1" applyBorder="1" applyAlignment="1">
      <x:alignment wrapText="1"/>
    </x:xf>
    <x:xf numFmtId="0" fontId="0" fillId="66" borderId="0" xfId="0" applyNumberFormat="1" applyFont="1" applyFill="1" applyBorder="1" applyAlignment="1">
      <x:alignment wrapText="1"/>
    </x:xf>
    <x:xf numFmtId="0" fontId="0" fillId="63" borderId="0" xfId="0" applyNumberFormat="1" applyFont="1" applyFill="1" applyBorder="1" applyAlignment="1">
      <x:alignment wrapText="1"/>
    </x:xf>
    <x:xf numFmtId="0" fontId="31" fillId="64" borderId="0" xfId="0" applyNumberFormat="1" applyFont="1" applyFill="1" applyBorder="1"/>
    <x:xf numFmtId="0" fontId="31" fillId="64" borderId="181" xfId="0" applyNumberFormat="1" applyFont="1" applyFill="1" applyBorder="1"/>
    <x:xf numFmtId="0" fontId="21" fillId="65" borderId="0" xfId="0" applyNumberFormat="1" applyFont="1" applyFill="1" applyBorder="1"/>
    <x:xf numFmtId="0" fontId="0" fillId="63" borderId="0" xfId="0" applyNumberFormat="1" applyFont="1" applyFill="1" applyBorder="1"/>
    <x:xf numFmtId="0" fontId="32" fillId="63" borderId="0" xfId="0" applyNumberFormat="1" applyFont="1" applyFill="1" applyBorder="1"/>
    <x:xf numFmtId="0" fontId="32" fillId="63" borderId="182" xfId="0" applyNumberFormat="1" applyFont="1" applyFill="1" applyBorder="1"/>
    <x:xf numFmtId="0" fontId="32" fillId="63" borderId="183" xfId="0" applyNumberFormat="1" applyFont="1" applyFill="1" applyBorder="1"/>
    <x:xf numFmtId="0" fontId="32" fillId="63" borderId="184" xfId="0" applyNumberFormat="1" applyFont="1" applyFill="1" applyBorder="1"/>
    <x:xf numFmtId="0" fontId="32" fillId="63" borderId="185" xfId="0" applyNumberFormat="1" applyFont="1" applyFill="1" applyBorder="1"/>
    <x:xf numFmtId="0" fontId="32" fillId="63" xfId="0" applyNumberFormat="1" applyFont="1" applyFill="1" applyBorder="0"/>
    <x:xf numFmtId="0" fontId="32" fillId="63" borderId="186" xfId="0" applyNumberFormat="1" applyFont="1" applyFill="1" applyBorder="1"/>
    <x:xf numFmtId="0" fontId="32" fillId="63" borderId="187" xfId="0" applyNumberFormat="1" applyFont="1" applyFill="1" applyBorder="1"/>
    <x:xf numFmtId="0" fontId="32" fillId="63" borderId="181" xfId="0" applyNumberFormat="1" applyFont="1" applyFill="1" applyBorder="1"/>
    <x:xf numFmtId="0" fontId="32" fillId="63" borderId="188" xfId="0" applyNumberFormat="1" applyFont="1" applyFill="1" applyBorder="1"/>
    <x:xf numFmtId="0" fontId="32" fillId="63" borderId="182" xfId="0" applyNumberFormat="1" applyFont="1" applyFill="1" applyBorder="1" applyAlignment="1">
      <x:alignment wrapText="1"/>
    </x:xf>
    <x:xf numFmtId="0" fontId="32" fillId="63" borderId="183" xfId="0" applyNumberFormat="1" applyFont="1" applyFill="1" applyBorder="1" applyAlignment="1">
      <x:alignment wrapText="1"/>
    </x:xf>
    <x:xf numFmtId="0" fontId="32" fillId="63" borderId="184" xfId="0" applyNumberFormat="1" applyFont="1" applyFill="1" applyBorder="1" applyAlignment="1">
      <x:alignment wrapText="1"/>
    </x:xf>
    <x:xf numFmtId="0" fontId="32" fillId="63" borderId="185" xfId="0" applyNumberFormat="1" applyFont="1" applyFill="1" applyBorder="1" applyAlignment="1">
      <x:alignment wrapText="1"/>
    </x:xf>
    <x:xf numFmtId="0" fontId="32" fillId="63" xfId="0" applyNumberFormat="1" applyFont="1" applyFill="1" applyBorder="0" applyAlignment="1">
      <x:alignment wrapText="1"/>
    </x:xf>
    <x:xf numFmtId="0" fontId="32" fillId="63" borderId="186" xfId="0" applyNumberFormat="1" applyFont="1" applyFill="1" applyBorder="1" applyAlignment="1">
      <x:alignment wrapText="1"/>
    </x:xf>
    <x:xf numFmtId="0" fontId="32" fillId="63" borderId="187" xfId="0" applyNumberFormat="1" applyFont="1" applyFill="1" applyBorder="1" applyAlignment="1">
      <x:alignment wrapText="1"/>
    </x:xf>
    <x:xf numFmtId="0" fontId="32" fillId="63" borderId="181" xfId="0" applyNumberFormat="1" applyFont="1" applyFill="1" applyBorder="1" applyAlignment="1">
      <x:alignment wrapText="1"/>
    </x:xf>
    <x:xf numFmtId="0" fontId="32" fillId="63" borderId="188" xfId="0" applyNumberFormat="1" applyFont="1" applyFill="1" applyBorder="1" applyAlignment="1">
      <x:alignment wrapText="1"/>
    </x:xf>
    <x:xf numFmtId="0" fontId="32" fillId="63" borderId="182" xfId="0" applyNumberFormat="1" applyFont="1" applyFill="1" applyBorder="1" applyAlignment="1">
      <x:alignment horizontal="center" wrapText="1"/>
    </x:xf>
    <x:xf numFmtId="0" fontId="32" fillId="63" borderId="183" xfId="0" applyNumberFormat="1" applyFont="1" applyFill="1" applyBorder="1" applyAlignment="1">
      <x:alignment horizontal="center" wrapText="1"/>
    </x:xf>
    <x:xf numFmtId="0" fontId="32" fillId="63" borderId="184" xfId="0" applyNumberFormat="1" applyFont="1" applyFill="1" applyBorder="1" applyAlignment="1">
      <x:alignment horizontal="center" wrapText="1"/>
    </x:xf>
    <x:xf numFmtId="0" fontId="32" fillId="63" borderId="185" xfId="0" applyNumberFormat="1" applyFont="1" applyFill="1" applyBorder="1" applyAlignment="1">
      <x:alignment horizontal="center" wrapText="1"/>
    </x:xf>
    <x:xf numFmtId="0" fontId="32" fillId="63" xfId="0" applyNumberFormat="1" applyFont="1" applyFill="1" applyBorder="0" applyAlignment="1">
      <x:alignment horizontal="center" wrapText="1"/>
    </x:xf>
    <x:xf numFmtId="0" fontId="32" fillId="63" borderId="186" xfId="0" applyNumberFormat="1" applyFont="1" applyFill="1" applyBorder="1" applyAlignment="1">
      <x:alignment horizontal="center" wrapText="1"/>
    </x:xf>
    <x:xf numFmtId="0" fontId="32" fillId="63" borderId="187" xfId="0" applyNumberFormat="1" applyFont="1" applyFill="1" applyBorder="1" applyAlignment="1">
      <x:alignment horizontal="center" wrapText="1"/>
    </x:xf>
    <x:xf numFmtId="0" fontId="32" fillId="63" borderId="181" xfId="0" applyNumberFormat="1" applyFont="1" applyFill="1" applyBorder="1" applyAlignment="1">
      <x:alignment horizontal="center" wrapText="1"/>
    </x:xf>
    <x:xf numFmtId="0" fontId="32" fillId="63" borderId="188" xfId="0" applyNumberFormat="1" applyFont="1" applyFill="1" applyBorder="1" applyAlignment="1">
      <x:alignment horizontal="center" wrapText="1"/>
    </x:xf>
    <x:xf numFmtId="0" fontId="32" fillId="63" borderId="182" xfId="0" applyNumberFormat="1" applyFont="1" applyFill="1" applyBorder="1" applyAlignment="1">
      <x:alignment horizontal="center" vertical="center" wrapText="1"/>
    </x:xf>
    <x:xf numFmtId="0" fontId="32" fillId="63" borderId="183" xfId="0" applyNumberFormat="1" applyFont="1" applyFill="1" applyBorder="1" applyAlignment="1">
      <x:alignment horizontal="center" vertical="center" wrapText="1"/>
    </x:xf>
    <x:xf numFmtId="0" fontId="32" fillId="63" borderId="184" xfId="0" applyNumberFormat="1" applyFont="1" applyFill="1" applyBorder="1" applyAlignment="1">
      <x:alignment horizontal="center" vertical="center" wrapText="1"/>
    </x:xf>
    <x:xf numFmtId="0" fontId="32" fillId="63" borderId="185" xfId="0" applyNumberFormat="1" applyFont="1" applyFill="1" applyBorder="1" applyAlignment="1">
      <x:alignment horizontal="center" vertical="center" wrapText="1"/>
    </x:xf>
    <x:xf numFmtId="0" fontId="32" fillId="63" xfId="0" applyNumberFormat="1" applyFont="1" applyFill="1" applyBorder="0" applyAlignment="1">
      <x:alignment horizontal="center" vertical="center" wrapText="1"/>
    </x:xf>
    <x:xf numFmtId="0" fontId="32" fillId="63" borderId="186" xfId="0" applyNumberFormat="1" applyFont="1" applyFill="1" applyBorder="1" applyAlignment="1">
      <x:alignment horizontal="center" vertical="center" wrapText="1"/>
    </x:xf>
    <x:xf numFmtId="0" fontId="32" fillId="63" borderId="187" xfId="0" applyNumberFormat="1" applyFont="1" applyFill="1" applyBorder="1" applyAlignment="1">
      <x:alignment horizontal="center" vertical="center" wrapText="1"/>
    </x:xf>
    <x:xf numFmtId="0" fontId="32" fillId="63" borderId="181" xfId="0" applyNumberFormat="1" applyFont="1" applyFill="1" applyBorder="1" applyAlignment="1">
      <x:alignment horizontal="center" vertical="center" wrapText="1"/>
    </x:xf>
    <x:xf numFmtId="0" fontId="32" fillId="63" borderId="188" xfId="0" applyNumberFormat="1" applyFont="1" applyFill="1" applyBorder="1" applyAlignment="1">
      <x:alignment horizontal="center" vertical="center" wrapText="1"/>
    </x:xf>
    <x:xf numFmtId="0" fontId="32" fillId="64" borderId="0" xfId="0" applyNumberFormat="1" applyFont="1" applyFill="1" applyBorder="1"/>
    <x:xf numFmtId="0" fontId="32" fillId="64" borderId="182" xfId="0" applyNumberFormat="1" applyFont="1" applyFill="1" applyBorder="1"/>
    <x:xf numFmtId="0" fontId="32" fillId="64" borderId="183" xfId="0" applyNumberFormat="1" applyFont="1" applyFill="1" applyBorder="1"/>
    <x:xf numFmtId="0" fontId="32" fillId="64" borderId="184" xfId="0" applyNumberFormat="1" applyFont="1" applyFill="1" applyBorder="1"/>
    <x:xf numFmtId="0" fontId="32" fillId="64" borderId="185" xfId="0" applyNumberFormat="1" applyFont="1" applyFill="1" applyBorder="1"/>
    <x:xf numFmtId="0" fontId="32" fillId="64" xfId="0" applyNumberFormat="1" applyFont="1" applyFill="1" applyBorder="0"/>
    <x:xf numFmtId="0" fontId="32" fillId="64" borderId="186" xfId="0" applyNumberFormat="1" applyFont="1" applyFill="1" applyBorder="1"/>
    <x:xf numFmtId="0" fontId="32" fillId="64" borderId="187" xfId="0" applyNumberFormat="1" applyFont="1" applyFill="1" applyBorder="1"/>
    <x:xf numFmtId="0" fontId="32" fillId="64" borderId="181" xfId="0" applyNumberFormat="1" applyFont="1" applyFill="1" applyBorder="1"/>
    <x:xf numFmtId="0" fontId="32" fillId="64" borderId="188" xfId="0" applyNumberFormat="1" applyFont="1" applyFill="1" applyBorder="1"/>
    <x:xf numFmtId="0" fontId="32" fillId="64" borderId="182" xfId="0" applyNumberFormat="1" applyFont="1" applyFill="1" applyBorder="1" applyAlignment="1">
      <x:alignment wrapText="1"/>
    </x:xf>
    <x:xf numFmtId="0" fontId="32" fillId="64" borderId="183" xfId="0" applyNumberFormat="1" applyFont="1" applyFill="1" applyBorder="1" applyAlignment="1">
      <x:alignment wrapText="1"/>
    </x:xf>
    <x:xf numFmtId="0" fontId="32" fillId="64" borderId="184" xfId="0" applyNumberFormat="1" applyFont="1" applyFill="1" applyBorder="1" applyAlignment="1">
      <x:alignment wrapText="1"/>
    </x:xf>
    <x:xf numFmtId="0" fontId="32" fillId="64" borderId="185" xfId="0" applyNumberFormat="1" applyFont="1" applyFill="1" applyBorder="1" applyAlignment="1">
      <x:alignment wrapText="1"/>
    </x:xf>
    <x:xf numFmtId="0" fontId="32" fillId="64" xfId="0" applyNumberFormat="1" applyFont="1" applyFill="1" applyBorder="0" applyAlignment="1">
      <x:alignment wrapText="1"/>
    </x:xf>
    <x:xf numFmtId="0" fontId="32" fillId="64" borderId="186" xfId="0" applyNumberFormat="1" applyFont="1" applyFill="1" applyBorder="1" applyAlignment="1">
      <x:alignment wrapText="1"/>
    </x:xf>
    <x:xf numFmtId="0" fontId="32" fillId="64" borderId="187" xfId="0" applyNumberFormat="1" applyFont="1" applyFill="1" applyBorder="1" applyAlignment="1">
      <x:alignment wrapText="1"/>
    </x:xf>
    <x:xf numFmtId="0" fontId="32" fillId="64" borderId="181" xfId="0" applyNumberFormat="1" applyFont="1" applyFill="1" applyBorder="1" applyAlignment="1">
      <x:alignment wrapText="1"/>
    </x:xf>
    <x:xf numFmtId="0" fontId="32" fillId="64" borderId="188" xfId="0" applyNumberFormat="1" applyFont="1" applyFill="1" applyBorder="1" applyAlignment="1">
      <x:alignment wrapText="1"/>
    </x:xf>
    <x:xf numFmtId="0" fontId="32" fillId="64" borderId="182" xfId="0" applyNumberFormat="1" applyFont="1" applyFill="1" applyBorder="1" applyAlignment="1">
      <x:alignment horizontal="center" wrapText="1"/>
    </x:xf>
    <x:xf numFmtId="0" fontId="32" fillId="64" borderId="183" xfId="0" applyNumberFormat="1" applyFont="1" applyFill="1" applyBorder="1" applyAlignment="1">
      <x:alignment horizontal="center" wrapText="1"/>
    </x:xf>
    <x:xf numFmtId="0" fontId="32" fillId="64" borderId="184" xfId="0" applyNumberFormat="1" applyFont="1" applyFill="1" applyBorder="1" applyAlignment="1">
      <x:alignment horizontal="center" wrapText="1"/>
    </x:xf>
    <x:xf numFmtId="0" fontId="32" fillId="64" borderId="185" xfId="0" applyNumberFormat="1" applyFont="1" applyFill="1" applyBorder="1" applyAlignment="1">
      <x:alignment horizontal="center" wrapText="1"/>
    </x:xf>
    <x:xf numFmtId="0" fontId="32" fillId="64" xfId="0" applyNumberFormat="1" applyFont="1" applyFill="1" applyBorder="0" applyAlignment="1">
      <x:alignment horizontal="center" wrapText="1"/>
    </x:xf>
    <x:xf numFmtId="0" fontId="32" fillId="64" borderId="186" xfId="0" applyNumberFormat="1" applyFont="1" applyFill="1" applyBorder="1" applyAlignment="1">
      <x:alignment horizontal="center" wrapText="1"/>
    </x:xf>
    <x:xf numFmtId="0" fontId="32" fillId="64" borderId="187" xfId="0" applyNumberFormat="1" applyFont="1" applyFill="1" applyBorder="1" applyAlignment="1">
      <x:alignment horizontal="center" wrapText="1"/>
    </x:xf>
    <x:xf numFmtId="0" fontId="32" fillId="64" borderId="181" xfId="0" applyNumberFormat="1" applyFont="1" applyFill="1" applyBorder="1" applyAlignment="1">
      <x:alignment horizontal="center" wrapText="1"/>
    </x:xf>
    <x:xf numFmtId="0" fontId="32" fillId="64" borderId="188" xfId="0" applyNumberFormat="1" applyFont="1" applyFill="1" applyBorder="1" applyAlignment="1">
      <x:alignment horizontal="center" wrapText="1"/>
    </x:xf>
    <x:xf numFmtId="0" fontId="32" fillId="64" borderId="182" xfId="0" applyNumberFormat="1" applyFont="1" applyFill="1" applyBorder="1" applyAlignment="1">
      <x:alignment horizontal="center" vertical="center" wrapText="1"/>
    </x:xf>
    <x:xf numFmtId="0" fontId="32" fillId="64" borderId="183" xfId="0" applyNumberFormat="1" applyFont="1" applyFill="1" applyBorder="1" applyAlignment="1">
      <x:alignment horizontal="center" vertical="center" wrapText="1"/>
    </x:xf>
    <x:xf numFmtId="0" fontId="32" fillId="64" borderId="184" xfId="0" applyNumberFormat="1" applyFont="1" applyFill="1" applyBorder="1" applyAlignment="1">
      <x:alignment horizontal="center" vertical="center" wrapText="1"/>
    </x:xf>
    <x:xf numFmtId="0" fontId="32" fillId="64" borderId="185" xfId="0" applyNumberFormat="1" applyFont="1" applyFill="1" applyBorder="1" applyAlignment="1">
      <x:alignment horizontal="center" vertical="center" wrapText="1"/>
    </x:xf>
    <x:xf numFmtId="0" fontId="32" fillId="64" xfId="0" applyNumberFormat="1" applyFont="1" applyFill="1" applyBorder="0" applyAlignment="1">
      <x:alignment horizontal="center" vertical="center" wrapText="1"/>
    </x:xf>
    <x:xf numFmtId="0" fontId="32" fillId="64" borderId="186" xfId="0" applyNumberFormat="1" applyFont="1" applyFill="1" applyBorder="1" applyAlignment="1">
      <x:alignment horizontal="center" vertical="center" wrapText="1"/>
    </x:xf>
    <x:xf numFmtId="0" fontId="32" fillId="64" borderId="187" xfId="0" applyNumberFormat="1" applyFont="1" applyFill="1" applyBorder="1" applyAlignment="1">
      <x:alignment horizontal="center" vertical="center" wrapText="1"/>
    </x:xf>
    <x:xf numFmtId="0" fontId="32" fillId="64" borderId="181" xfId="0" applyNumberFormat="1" applyFont="1" applyFill="1" applyBorder="1" applyAlignment="1">
      <x:alignment horizontal="center" vertical="center" wrapText="1"/>
    </x:xf>
    <x:xf numFmtId="0" fontId="32" fillId="64" borderId="188" xfId="0" applyNumberFormat="1" applyFont="1" applyFill="1" applyBorder="1" applyAlignment="1">
      <x:alignment horizontal="center" vertical="center" wrapText="1"/>
    </x:xf>
    <x:xf numFmtId="0" fontId="0" fillId="67" borderId="0" xfId="0" applyNumberFormat="1" applyFont="1" applyFill="1" applyBorder="1"/>
    <x:xf numFmtId="0" fontId="32" fillId="67" borderId="0" xfId="0" applyNumberFormat="1" applyFont="1" applyFill="1" applyBorder="1"/>
    <x:xf numFmtId="0" fontId="32" fillId="67" borderId="189" xfId="0" applyNumberFormat="1" applyFont="1" applyFill="1" applyBorder="1"/>
    <x:xf numFmtId="0" fontId="32" fillId="67" borderId="190" xfId="0" applyNumberFormat="1" applyFont="1" applyFill="1" applyBorder="1"/>
    <x:xf numFmtId="0" fontId="32" fillId="67" borderId="191" xfId="0" applyNumberFormat="1" applyFont="1" applyFill="1" applyBorder="1"/>
    <x:xf numFmtId="0" fontId="32" fillId="67" borderId="192" xfId="0" applyNumberFormat="1" applyFont="1" applyFill="1" applyBorder="1"/>
    <x:xf numFmtId="0" fontId="32" fillId="67" xfId="0" applyNumberFormat="1" applyFont="1" applyFill="1" applyBorder="0"/>
    <x:xf numFmtId="0" fontId="32" fillId="67" borderId="193" xfId="0" applyNumberFormat="1" applyFont="1" applyFill="1" applyBorder="1"/>
    <x:xf numFmtId="0" fontId="32" fillId="67" borderId="194" xfId="0" applyNumberFormat="1" applyFont="1" applyFill="1" applyBorder="1"/>
    <x:xf numFmtId="0" fontId="32" fillId="67" borderId="195" xfId="0" applyNumberFormat="1" applyFont="1" applyFill="1" applyBorder="1"/>
    <x:xf numFmtId="0" fontId="32" fillId="67" borderId="196" xfId="0" applyNumberFormat="1" applyFont="1" applyFill="1" applyBorder="1"/>
    <x:xf numFmtId="0" fontId="32" fillId="67" borderId="189" xfId="0" applyNumberFormat="1" applyFont="1" applyFill="1" applyBorder="1" applyAlignment="1">
      <x:alignment wrapText="1"/>
    </x:xf>
    <x:xf numFmtId="0" fontId="32" fillId="67" borderId="190" xfId="0" applyNumberFormat="1" applyFont="1" applyFill="1" applyBorder="1" applyAlignment="1">
      <x:alignment wrapText="1"/>
    </x:xf>
    <x:xf numFmtId="0" fontId="32" fillId="67" borderId="191" xfId="0" applyNumberFormat="1" applyFont="1" applyFill="1" applyBorder="1" applyAlignment="1">
      <x:alignment wrapText="1"/>
    </x:xf>
    <x:xf numFmtId="0" fontId="32" fillId="67" borderId="192" xfId="0" applyNumberFormat="1" applyFont="1" applyFill="1" applyBorder="1" applyAlignment="1">
      <x:alignment wrapText="1"/>
    </x:xf>
    <x:xf numFmtId="0" fontId="32" fillId="67" xfId="0" applyNumberFormat="1" applyFont="1" applyFill="1" applyBorder="0" applyAlignment="1">
      <x:alignment wrapText="1"/>
    </x:xf>
    <x:xf numFmtId="0" fontId="32" fillId="67" borderId="193" xfId="0" applyNumberFormat="1" applyFont="1" applyFill="1" applyBorder="1" applyAlignment="1">
      <x:alignment wrapText="1"/>
    </x:xf>
    <x:xf numFmtId="0" fontId="32" fillId="67" borderId="194" xfId="0" applyNumberFormat="1" applyFont="1" applyFill="1" applyBorder="1" applyAlignment="1">
      <x:alignment wrapText="1"/>
    </x:xf>
    <x:xf numFmtId="0" fontId="32" fillId="67" borderId="195" xfId="0" applyNumberFormat="1" applyFont="1" applyFill="1" applyBorder="1" applyAlignment="1">
      <x:alignment wrapText="1"/>
    </x:xf>
    <x:xf numFmtId="0" fontId="32" fillId="67" borderId="196" xfId="0" applyNumberFormat="1" applyFont="1" applyFill="1" applyBorder="1" applyAlignment="1">
      <x:alignment wrapText="1"/>
    </x:xf>
    <x:xf numFmtId="0" fontId="32" fillId="67" borderId="189" xfId="0" applyNumberFormat="1" applyFont="1" applyFill="1" applyBorder="1" applyAlignment="1">
      <x:alignment horizontal="center" wrapText="1"/>
    </x:xf>
    <x:xf numFmtId="0" fontId="32" fillId="67" borderId="190" xfId="0" applyNumberFormat="1" applyFont="1" applyFill="1" applyBorder="1" applyAlignment="1">
      <x:alignment horizontal="center" wrapText="1"/>
    </x:xf>
    <x:xf numFmtId="0" fontId="32" fillId="67" borderId="191" xfId="0" applyNumberFormat="1" applyFont="1" applyFill="1" applyBorder="1" applyAlignment="1">
      <x:alignment horizontal="center" wrapText="1"/>
    </x:xf>
    <x:xf numFmtId="0" fontId="32" fillId="67" borderId="192" xfId="0" applyNumberFormat="1" applyFont="1" applyFill="1" applyBorder="1" applyAlignment="1">
      <x:alignment horizontal="center" wrapText="1"/>
    </x:xf>
    <x:xf numFmtId="0" fontId="32" fillId="67" xfId="0" applyNumberFormat="1" applyFont="1" applyFill="1" applyBorder="0" applyAlignment="1">
      <x:alignment horizontal="center" wrapText="1"/>
    </x:xf>
    <x:xf numFmtId="0" fontId="32" fillId="67" borderId="193" xfId="0" applyNumberFormat="1" applyFont="1" applyFill="1" applyBorder="1" applyAlignment="1">
      <x:alignment horizontal="center" wrapText="1"/>
    </x:xf>
    <x:xf numFmtId="0" fontId="32" fillId="67" borderId="194" xfId="0" applyNumberFormat="1" applyFont="1" applyFill="1" applyBorder="1" applyAlignment="1">
      <x:alignment horizontal="center" wrapText="1"/>
    </x:xf>
    <x:xf numFmtId="0" fontId="32" fillId="67" borderId="195" xfId="0" applyNumberFormat="1" applyFont="1" applyFill="1" applyBorder="1" applyAlignment="1">
      <x:alignment horizontal="center" wrapText="1"/>
    </x:xf>
    <x:xf numFmtId="0" fontId="32" fillId="67" borderId="196" xfId="0" applyNumberFormat="1" applyFont="1" applyFill="1" applyBorder="1" applyAlignment="1">
      <x:alignment horizontal="center" wrapText="1"/>
    </x:xf>
    <x:xf numFmtId="0" fontId="32" fillId="67" borderId="189" xfId="0" applyNumberFormat="1" applyFont="1" applyFill="1" applyBorder="1" applyAlignment="1">
      <x:alignment horizontal="center" vertical="center" wrapText="1"/>
    </x:xf>
    <x:xf numFmtId="0" fontId="32" fillId="67" borderId="190" xfId="0" applyNumberFormat="1" applyFont="1" applyFill="1" applyBorder="1" applyAlignment="1">
      <x:alignment horizontal="center" vertical="center" wrapText="1"/>
    </x:xf>
    <x:xf numFmtId="0" fontId="32" fillId="67" borderId="191" xfId="0" applyNumberFormat="1" applyFont="1" applyFill="1" applyBorder="1" applyAlignment="1">
      <x:alignment horizontal="center" vertical="center" wrapText="1"/>
    </x:xf>
    <x:xf numFmtId="0" fontId="32" fillId="67" borderId="192" xfId="0" applyNumberFormat="1" applyFont="1" applyFill="1" applyBorder="1" applyAlignment="1">
      <x:alignment horizontal="center" vertical="center" wrapText="1"/>
    </x:xf>
    <x:xf numFmtId="0" fontId="32" fillId="67" xfId="0" applyNumberFormat="1" applyFont="1" applyFill="1" applyBorder="0" applyAlignment="1">
      <x:alignment horizontal="center" vertical="center" wrapText="1"/>
    </x:xf>
    <x:xf numFmtId="0" fontId="32" fillId="67" borderId="193" xfId="0" applyNumberFormat="1" applyFont="1" applyFill="1" applyBorder="1" applyAlignment="1">
      <x:alignment horizontal="center" vertical="center" wrapText="1"/>
    </x:xf>
    <x:xf numFmtId="0" fontId="32" fillId="67" borderId="194" xfId="0" applyNumberFormat="1" applyFont="1" applyFill="1" applyBorder="1" applyAlignment="1">
      <x:alignment horizontal="center" vertical="center" wrapText="1"/>
    </x:xf>
    <x:xf numFmtId="0" fontId="32" fillId="67" borderId="195" xfId="0" applyNumberFormat="1" applyFont="1" applyFill="1" applyBorder="1" applyAlignment="1">
      <x:alignment horizontal="center" vertical="center" wrapText="1"/>
    </x:xf>
    <x:xf numFmtId="0" fontId="32" fillId="67" borderId="196" xfId="0" applyNumberFormat="1" applyFont="1" applyFill="1" applyBorder="1" applyAlignment="1">
      <x:alignment horizontal="center" vertical="center" wrapText="1"/>
    </x:xf>
    <x:xf numFmtId="0" fontId="0" fillId="68" borderId="0" xfId="0" applyNumberFormat="1" applyFont="1" applyFill="1" applyBorder="1"/>
    <x:xf numFmtId="0" fontId="35" fillId="68" borderId="0" xfId="0" applyNumberFormat="1" applyFont="1" applyFill="1" applyBorder="1"/>
    <x:xf numFmtId="0" fontId="35" fillId="68" borderId="0" xfId="0" applyNumberFormat="1" applyFont="1" applyFill="1" applyBorder="1" applyAlignment="1">
      <x:alignment wrapText="1"/>
    </x:xf>
    <x:xf numFmtId="0" fontId="35" fillId="68" borderId="0" xfId="0" applyNumberFormat="1" applyFont="1" applyFill="1" applyBorder="1" applyAlignment="1">
      <x:alignment vertical="center" wrapText="1"/>
    </x:xf>
    <x:xf numFmtId="0" fontId="34" fillId="62" borderId="0" xfId="0" applyNumberFormat="1" applyFont="1" applyFill="1" applyBorder="1"/>
    <x:xf numFmtId="0" fontId="34" fillId="62" borderId="0" xfId="0" applyNumberFormat="1" applyFont="1" applyFill="1" applyBorder="1" applyAlignment="1">
      <x:alignment wrapText="1"/>
    </x:xf>
    <x:xf numFmtId="0" fontId="35" fillId="68" borderId="0" xfId="0" applyNumberFormat="1" applyFont="1" applyFill="1" applyBorder="1" applyAlignment="1">
      <x:alignment vertical="top" wrapText="1"/>
    </x:xf>
    <x:xf numFmtId="0" fontId="32" fillId="68" borderId="0" xfId="0" applyNumberFormat="1" applyFont="1" applyFill="1" applyBorder="1"/>
    <x:xf numFmtId="0" fontId="32" fillId="68" borderId="189" xfId="0" applyNumberFormat="1" applyFont="1" applyFill="1" applyBorder="1"/>
    <x:xf numFmtId="0" fontId="32" fillId="68" borderId="190" xfId="0" applyNumberFormat="1" applyFont="1" applyFill="1" applyBorder="1"/>
    <x:xf numFmtId="0" fontId="32" fillId="68" borderId="191" xfId="0" applyNumberFormat="1" applyFont="1" applyFill="1" applyBorder="1"/>
    <x:xf numFmtId="0" fontId="32" fillId="68" borderId="192" xfId="0" applyNumberFormat="1" applyFont="1" applyFill="1" applyBorder="1"/>
    <x:xf numFmtId="0" fontId="32" fillId="68" xfId="0" applyNumberFormat="1" applyFont="1" applyFill="1" applyBorder="0"/>
    <x:xf numFmtId="0" fontId="32" fillId="68" borderId="193" xfId="0" applyNumberFormat="1" applyFont="1" applyFill="1" applyBorder="1"/>
    <x:xf numFmtId="0" fontId="32" fillId="68" borderId="194" xfId="0" applyNumberFormat="1" applyFont="1" applyFill="1" applyBorder="1"/>
    <x:xf numFmtId="0" fontId="32" fillId="68" borderId="195" xfId="0" applyNumberFormat="1" applyFont="1" applyFill="1" applyBorder="1"/>
    <x:xf numFmtId="0" fontId="32" fillId="68" borderId="196" xfId="0" applyNumberFormat="1" applyFont="1" applyFill="1" applyBorder="1"/>
    <x:xf numFmtId="0" fontId="32" fillId="68" borderId="189" xfId="0" applyNumberFormat="1" applyFont="1" applyFill="1" applyBorder="1" applyAlignment="1">
      <x:alignment wrapText="1"/>
    </x:xf>
    <x:xf numFmtId="0" fontId="32" fillId="68" borderId="190" xfId="0" applyNumberFormat="1" applyFont="1" applyFill="1" applyBorder="1" applyAlignment="1">
      <x:alignment wrapText="1"/>
    </x:xf>
    <x:xf numFmtId="0" fontId="32" fillId="68" borderId="191" xfId="0" applyNumberFormat="1" applyFont="1" applyFill="1" applyBorder="1" applyAlignment="1">
      <x:alignment wrapText="1"/>
    </x:xf>
    <x:xf numFmtId="0" fontId="32" fillId="68" borderId="192" xfId="0" applyNumberFormat="1" applyFont="1" applyFill="1" applyBorder="1" applyAlignment="1">
      <x:alignment wrapText="1"/>
    </x:xf>
    <x:xf numFmtId="0" fontId="32" fillId="68" xfId="0" applyNumberFormat="1" applyFont="1" applyFill="1" applyBorder="0" applyAlignment="1">
      <x:alignment wrapText="1"/>
    </x:xf>
    <x:xf numFmtId="0" fontId="32" fillId="68" borderId="193" xfId="0" applyNumberFormat="1" applyFont="1" applyFill="1" applyBorder="1" applyAlignment="1">
      <x:alignment wrapText="1"/>
    </x:xf>
    <x:xf numFmtId="0" fontId="32" fillId="68" borderId="194" xfId="0" applyNumberFormat="1" applyFont="1" applyFill="1" applyBorder="1" applyAlignment="1">
      <x:alignment wrapText="1"/>
    </x:xf>
    <x:xf numFmtId="0" fontId="32" fillId="68" borderId="195" xfId="0" applyNumberFormat="1" applyFont="1" applyFill="1" applyBorder="1" applyAlignment="1">
      <x:alignment wrapText="1"/>
    </x:xf>
    <x:xf numFmtId="0" fontId="32" fillId="68" borderId="196" xfId="0" applyNumberFormat="1" applyFont="1" applyFill="1" applyBorder="1" applyAlignment="1">
      <x:alignment wrapText="1"/>
    </x:xf>
    <x:xf numFmtId="0" fontId="32" fillId="68" borderId="189" xfId="0" applyNumberFormat="1" applyFont="1" applyFill="1" applyBorder="1" applyAlignment="1">
      <x:alignment horizontal="center" wrapText="1"/>
    </x:xf>
    <x:xf numFmtId="0" fontId="32" fillId="68" borderId="190" xfId="0" applyNumberFormat="1" applyFont="1" applyFill="1" applyBorder="1" applyAlignment="1">
      <x:alignment horizontal="center" wrapText="1"/>
    </x:xf>
    <x:xf numFmtId="0" fontId="32" fillId="68" borderId="191" xfId="0" applyNumberFormat="1" applyFont="1" applyFill="1" applyBorder="1" applyAlignment="1">
      <x:alignment horizontal="center" wrapText="1"/>
    </x:xf>
    <x:xf numFmtId="0" fontId="32" fillId="68" borderId="192" xfId="0" applyNumberFormat="1" applyFont="1" applyFill="1" applyBorder="1" applyAlignment="1">
      <x:alignment horizontal="center" wrapText="1"/>
    </x:xf>
    <x:xf numFmtId="0" fontId="32" fillId="68" xfId="0" applyNumberFormat="1" applyFont="1" applyFill="1" applyBorder="0" applyAlignment="1">
      <x:alignment horizontal="center" wrapText="1"/>
    </x:xf>
    <x:xf numFmtId="0" fontId="32" fillId="68" borderId="193" xfId="0" applyNumberFormat="1" applyFont="1" applyFill="1" applyBorder="1" applyAlignment="1">
      <x:alignment horizontal="center" wrapText="1"/>
    </x:xf>
    <x:xf numFmtId="0" fontId="32" fillId="68" borderId="194" xfId="0" applyNumberFormat="1" applyFont="1" applyFill="1" applyBorder="1" applyAlignment="1">
      <x:alignment horizontal="center" wrapText="1"/>
    </x:xf>
    <x:xf numFmtId="0" fontId="32" fillId="68" borderId="195" xfId="0" applyNumberFormat="1" applyFont="1" applyFill="1" applyBorder="1" applyAlignment="1">
      <x:alignment horizontal="center" wrapText="1"/>
    </x:xf>
    <x:xf numFmtId="0" fontId="32" fillId="68" borderId="196" xfId="0" applyNumberFormat="1" applyFont="1" applyFill="1" applyBorder="1" applyAlignment="1">
      <x:alignment horizontal="center" wrapText="1"/>
    </x:xf>
    <x:xf numFmtId="0" fontId="32" fillId="68" borderId="189" xfId="0" applyNumberFormat="1" applyFont="1" applyFill="1" applyBorder="1" applyAlignment="1">
      <x:alignment horizontal="center" vertical="center" wrapText="1"/>
    </x:xf>
    <x:xf numFmtId="0" fontId="32" fillId="68" borderId="190" xfId="0" applyNumberFormat="1" applyFont="1" applyFill="1" applyBorder="1" applyAlignment="1">
      <x:alignment horizontal="center" vertical="center" wrapText="1"/>
    </x:xf>
    <x:xf numFmtId="0" fontId="32" fillId="68" borderId="191" xfId="0" applyNumberFormat="1" applyFont="1" applyFill="1" applyBorder="1" applyAlignment="1">
      <x:alignment horizontal="center" vertical="center" wrapText="1"/>
    </x:xf>
    <x:xf numFmtId="0" fontId="32" fillId="68" borderId="192" xfId="0" applyNumberFormat="1" applyFont="1" applyFill="1" applyBorder="1" applyAlignment="1">
      <x:alignment horizontal="center" vertical="center" wrapText="1"/>
    </x:xf>
    <x:xf numFmtId="0" fontId="32" fillId="68" xfId="0" applyNumberFormat="1" applyFont="1" applyFill="1" applyBorder="0" applyAlignment="1">
      <x:alignment horizontal="center" vertical="center" wrapText="1"/>
    </x:xf>
    <x:xf numFmtId="0" fontId="32" fillId="68" borderId="193" xfId="0" applyNumberFormat="1" applyFont="1" applyFill="1" applyBorder="1" applyAlignment="1">
      <x:alignment horizontal="center" vertical="center" wrapText="1"/>
    </x:xf>
    <x:xf numFmtId="0" fontId="32" fillId="68" borderId="194" xfId="0" applyNumberFormat="1" applyFont="1" applyFill="1" applyBorder="1" applyAlignment="1">
      <x:alignment horizontal="center" vertical="center" wrapText="1"/>
    </x:xf>
    <x:xf numFmtId="0" fontId="32" fillId="68" borderId="195" xfId="0" applyNumberFormat="1" applyFont="1" applyFill="1" applyBorder="1" applyAlignment="1">
      <x:alignment horizontal="center" vertical="center" wrapText="1"/>
    </x:xf>
    <x:xf numFmtId="0" fontId="32" fillId="68" borderId="196" xfId="0" applyNumberFormat="1" applyFont="1" applyFill="1" applyBorder="1" applyAlignment="1">
      <x:alignment horizontal="center" vertical="center" wrapText="1"/>
    </x:xf>
    <x:xf numFmtId="0" fontId="32" fillId="63" borderId="189" xfId="0" applyNumberFormat="1" applyFont="1" applyFill="1" applyBorder="1"/>
    <x:xf numFmtId="0" fontId="32" fillId="63" borderId="191" xfId="0" applyNumberFormat="1" applyFont="1" applyFill="1" applyBorder="1"/>
    <x:xf numFmtId="0" fontId="32" fillId="63" borderId="192" xfId="0" applyNumberFormat="1" applyFont="1" applyFill="1" applyBorder="1"/>
    <x:xf numFmtId="0" fontId="32" fillId="63" borderId="193" xfId="0" applyNumberFormat="1" applyFont="1" applyFill="1" applyBorder="1"/>
    <x:xf numFmtId="0" fontId="32" fillId="63" borderId="194" xfId="0" applyNumberFormat="1" applyFont="1" applyFill="1" applyBorder="1"/>
    <x:xf numFmtId="0" fontId="32" fillId="63" borderId="196" xfId="0" applyNumberFormat="1" applyFont="1" applyFill="1" applyBorder="1"/>
    <x:xf numFmtId="0" fontId="32" fillId="63" borderId="189" xfId="0" applyNumberFormat="1" applyFont="1" applyFill="1" applyBorder="1" applyAlignment="1">
      <x:alignment wrapText="1"/>
    </x:xf>
    <x:xf numFmtId="0" fontId="32" fillId="63" borderId="191" xfId="0" applyNumberFormat="1" applyFont="1" applyFill="1" applyBorder="1" applyAlignment="1">
      <x:alignment wrapText="1"/>
    </x:xf>
    <x:xf numFmtId="0" fontId="32" fillId="63" borderId="192" xfId="0" applyNumberFormat="1" applyFont="1" applyFill="1" applyBorder="1" applyAlignment="1">
      <x:alignment wrapText="1"/>
    </x:xf>
    <x:xf numFmtId="0" fontId="32" fillId="63" borderId="193" xfId="0" applyNumberFormat="1" applyFont="1" applyFill="1" applyBorder="1" applyAlignment="1">
      <x:alignment wrapText="1"/>
    </x:xf>
    <x:xf numFmtId="0" fontId="32" fillId="63" borderId="194" xfId="0" applyNumberFormat="1" applyFont="1" applyFill="1" applyBorder="1" applyAlignment="1">
      <x:alignment wrapText="1"/>
    </x:xf>
    <x:xf numFmtId="0" fontId="32" fillId="63" borderId="196" xfId="0" applyNumberFormat="1" applyFont="1" applyFill="1" applyBorder="1" applyAlignment="1">
      <x:alignment wrapText="1"/>
    </x:xf>
    <x:xf numFmtId="0" fontId="32" fillId="63" borderId="189" xfId="0" applyNumberFormat="1" applyFont="1" applyFill="1" applyBorder="1" applyAlignment="1">
      <x:alignment horizontal="center" wrapText="1"/>
    </x:xf>
    <x:xf numFmtId="0" fontId="32" fillId="63" borderId="191" xfId="0" applyNumberFormat="1" applyFont="1" applyFill="1" applyBorder="1" applyAlignment="1">
      <x:alignment horizontal="center" wrapText="1"/>
    </x:xf>
    <x:xf numFmtId="0" fontId="32" fillId="63" borderId="192" xfId="0" applyNumberFormat="1" applyFont="1" applyFill="1" applyBorder="1" applyAlignment="1">
      <x:alignment horizontal="center" wrapText="1"/>
    </x:xf>
    <x:xf numFmtId="0" fontId="32" fillId="63" borderId="193" xfId="0" applyNumberFormat="1" applyFont="1" applyFill="1" applyBorder="1" applyAlignment="1">
      <x:alignment horizontal="center" wrapText="1"/>
    </x:xf>
    <x:xf numFmtId="0" fontId="32" fillId="63" borderId="194" xfId="0" applyNumberFormat="1" applyFont="1" applyFill="1" applyBorder="1" applyAlignment="1">
      <x:alignment horizontal="center" wrapText="1"/>
    </x:xf>
    <x:xf numFmtId="0" fontId="32" fillId="63" borderId="196" xfId="0" applyNumberFormat="1" applyFont="1" applyFill="1" applyBorder="1" applyAlignment="1">
      <x:alignment horizontal="center" wrapText="1"/>
    </x:xf>
    <x:xf numFmtId="0" fontId="32" fillId="63" borderId="189" xfId="0" applyNumberFormat="1" applyFont="1" applyFill="1" applyBorder="1" applyAlignment="1">
      <x:alignment horizontal="center" vertical="center" wrapText="1"/>
    </x:xf>
    <x:xf numFmtId="0" fontId="32" fillId="63" borderId="191" xfId="0" applyNumberFormat="1" applyFont="1" applyFill="1" applyBorder="1" applyAlignment="1">
      <x:alignment horizontal="center" vertical="center" wrapText="1"/>
    </x:xf>
    <x:xf numFmtId="0" fontId="32" fillId="63" borderId="192" xfId="0" applyNumberFormat="1" applyFont="1" applyFill="1" applyBorder="1" applyAlignment="1">
      <x:alignment horizontal="center" vertical="center" wrapText="1"/>
    </x:xf>
    <x:xf numFmtId="0" fontId="32" fillId="63" borderId="193" xfId="0" applyNumberFormat="1" applyFont="1" applyFill="1" applyBorder="1" applyAlignment="1">
      <x:alignment horizontal="center" vertical="center" wrapText="1"/>
    </x:xf>
    <x:xf numFmtId="0" fontId="32" fillId="63" borderId="194" xfId="0" applyNumberFormat="1" applyFont="1" applyFill="1" applyBorder="1" applyAlignment="1">
      <x:alignment horizontal="center" vertical="center" wrapText="1"/>
    </x:xf>
    <x:xf numFmtId="0" fontId="32" fillId="63" borderId="196" xfId="0" applyNumberFormat="1" applyFont="1" applyFill="1" applyBorder="1" applyAlignment="1">
      <x:alignment horizontal="center" vertical="center" wrapText="1"/>
    </x:xf>
    <x:xf numFmtId="0" fontId="35" fillId="62" borderId="0" xfId="0" applyNumberFormat="1" applyFont="1" applyFill="1" applyBorder="1"/>
    <x:xf numFmtId="0" fontId="35" fillId="62" borderId="0" xfId="0" applyNumberFormat="1" applyFont="1" applyFill="1" applyBorder="1" applyAlignment="1">
      <x:alignment wrapText="1"/>
    </x:xf>
    <x:xf numFmtId="0" fontId="35" fillId="62" borderId="0" xfId="0" applyNumberFormat="1" applyFont="1" applyFill="1" applyBorder="1" applyAlignment="1">
      <x:alignment vertical="center" wrapText="1"/>
    </x:xf>
    <x:xf numFmtId="0" fontId="0" fillId="66" borderId="0" xfId="0" applyNumberFormat="1" applyFont="1" applyFill="1" applyBorder="1"/>
    <x:xf numFmtId="0" fontId="32" fillId="66" borderId="0" xfId="0" applyNumberFormat="1" applyFont="1" applyFill="1" applyBorder="1"/>
    <x:xf numFmtId="0" fontId="32" fillId="66" borderId="189" xfId="0" applyNumberFormat="1" applyFont="1" applyFill="1" applyBorder="1"/>
    <x:xf numFmtId="0" fontId="32" fillId="66" borderId="191" xfId="0" applyNumberFormat="1" applyFont="1" applyFill="1" applyBorder="1"/>
    <x:xf numFmtId="0" fontId="32" fillId="66" borderId="192" xfId="0" applyNumberFormat="1" applyFont="1" applyFill="1" applyBorder="1"/>
    <x:xf numFmtId="0" fontId="32" fillId="66" borderId="193" xfId="0" applyNumberFormat="1" applyFont="1" applyFill="1" applyBorder="1"/>
    <x:xf numFmtId="0" fontId="32" fillId="66" borderId="194" xfId="0" applyNumberFormat="1" applyFont="1" applyFill="1" applyBorder="1"/>
    <x:xf numFmtId="0" fontId="32" fillId="66" borderId="196" xfId="0" applyNumberFormat="1" applyFont="1" applyFill="1" applyBorder="1"/>
    <x:xf numFmtId="0" fontId="32" fillId="66" borderId="189" xfId="0" applyNumberFormat="1" applyFont="1" applyFill="1" applyBorder="1" applyAlignment="1">
      <x:alignment wrapText="1"/>
    </x:xf>
    <x:xf numFmtId="0" fontId="32" fillId="66" borderId="191" xfId="0" applyNumberFormat="1" applyFont="1" applyFill="1" applyBorder="1" applyAlignment="1">
      <x:alignment wrapText="1"/>
    </x:xf>
    <x:xf numFmtId="0" fontId="32" fillId="66" borderId="192" xfId="0" applyNumberFormat="1" applyFont="1" applyFill="1" applyBorder="1" applyAlignment="1">
      <x:alignment wrapText="1"/>
    </x:xf>
    <x:xf numFmtId="0" fontId="32" fillId="66" borderId="193" xfId="0" applyNumberFormat="1" applyFont="1" applyFill="1" applyBorder="1" applyAlignment="1">
      <x:alignment wrapText="1"/>
    </x:xf>
    <x:xf numFmtId="0" fontId="32" fillId="66" borderId="194" xfId="0" applyNumberFormat="1" applyFont="1" applyFill="1" applyBorder="1" applyAlignment="1">
      <x:alignment wrapText="1"/>
    </x:xf>
    <x:xf numFmtId="0" fontId="32" fillId="66" borderId="196" xfId="0" applyNumberFormat="1" applyFont="1" applyFill="1" applyBorder="1" applyAlignment="1">
      <x:alignment wrapText="1"/>
    </x:xf>
    <x:xf numFmtId="0" fontId="32" fillId="66" borderId="189" xfId="0" applyNumberFormat="1" applyFont="1" applyFill="1" applyBorder="1" applyAlignment="1">
      <x:alignment horizontal="center" wrapText="1"/>
    </x:xf>
    <x:xf numFmtId="0" fontId="32" fillId="66" borderId="191" xfId="0" applyNumberFormat="1" applyFont="1" applyFill="1" applyBorder="1" applyAlignment="1">
      <x:alignment horizontal="center" wrapText="1"/>
    </x:xf>
    <x:xf numFmtId="0" fontId="32" fillId="66" borderId="192" xfId="0" applyNumberFormat="1" applyFont="1" applyFill="1" applyBorder="1" applyAlignment="1">
      <x:alignment horizontal="center" wrapText="1"/>
    </x:xf>
    <x:xf numFmtId="0" fontId="32" fillId="66" borderId="193" xfId="0" applyNumberFormat="1" applyFont="1" applyFill="1" applyBorder="1" applyAlignment="1">
      <x:alignment horizontal="center" wrapText="1"/>
    </x:xf>
    <x:xf numFmtId="0" fontId="32" fillId="66" borderId="194" xfId="0" applyNumberFormat="1" applyFont="1" applyFill="1" applyBorder="1" applyAlignment="1">
      <x:alignment horizontal="center" wrapText="1"/>
    </x:xf>
    <x:xf numFmtId="0" fontId="32" fillId="66" borderId="196" xfId="0" applyNumberFormat="1" applyFont="1" applyFill="1" applyBorder="1" applyAlignment="1">
      <x:alignment horizontal="center" wrapText="1"/>
    </x:xf>
    <x:xf numFmtId="0" fontId="32" fillId="66" borderId="189" xfId="0" applyNumberFormat="1" applyFont="1" applyFill="1" applyBorder="1" applyAlignment="1">
      <x:alignment horizontal="center" vertical="center" wrapText="1"/>
    </x:xf>
    <x:xf numFmtId="0" fontId="32" fillId="66" borderId="191" xfId="0" applyNumberFormat="1" applyFont="1" applyFill="1" applyBorder="1" applyAlignment="1">
      <x:alignment horizontal="center" vertical="center" wrapText="1"/>
    </x:xf>
    <x:xf numFmtId="0" fontId="32" fillId="66" borderId="192" xfId="0" applyNumberFormat="1" applyFont="1" applyFill="1" applyBorder="1" applyAlignment="1">
      <x:alignment horizontal="center" vertical="center" wrapText="1"/>
    </x:xf>
    <x:xf numFmtId="0" fontId="32" fillId="66" borderId="193" xfId="0" applyNumberFormat="1" applyFont="1" applyFill="1" applyBorder="1" applyAlignment="1">
      <x:alignment horizontal="center" vertical="center" wrapText="1"/>
    </x:xf>
    <x:xf numFmtId="0" fontId="32" fillId="66" borderId="194" xfId="0" applyNumberFormat="1" applyFont="1" applyFill="1" applyBorder="1" applyAlignment="1">
      <x:alignment horizontal="center" vertical="center" wrapText="1"/>
    </x:xf>
    <x:xf numFmtId="0" fontId="32" fillId="66" borderId="196" xfId="0" applyNumberFormat="1" applyFont="1" applyFill="1" applyBorder="1" applyAlignment="1">
      <x:alignment horizontal="center" vertical="center" wrapText="1"/>
    </x:xf>
    <x:xf numFmtId="0" fontId="32" fillId="63" borderId="190" xfId="0" applyNumberFormat="1" applyFont="1" applyFill="1" applyBorder="1"/>
    <x:xf numFmtId="0" fontId="32" fillId="63" borderId="195" xfId="0" applyNumberFormat="1" applyFont="1" applyFill="1" applyBorder="1"/>
    <x:xf numFmtId="0" fontId="32" fillId="63" borderId="190" xfId="0" applyNumberFormat="1" applyFont="1" applyFill="1" applyBorder="1" applyAlignment="1">
      <x:alignment wrapText="1"/>
    </x:xf>
    <x:xf numFmtId="0" fontId="32" fillId="63" borderId="195" xfId="0" applyNumberFormat="1" applyFont="1" applyFill="1" applyBorder="1" applyAlignment="1">
      <x:alignment wrapText="1"/>
    </x:xf>
    <x:xf numFmtId="0" fontId="32" fillId="63" borderId="190" xfId="0" applyNumberFormat="1" applyFont="1" applyFill="1" applyBorder="1" applyAlignment="1">
      <x:alignment horizontal="center" wrapText="1"/>
    </x:xf>
    <x:xf numFmtId="0" fontId="32" fillId="63" borderId="195" xfId="0" applyNumberFormat="1" applyFont="1" applyFill="1" applyBorder="1" applyAlignment="1">
      <x:alignment horizontal="center" wrapText="1"/>
    </x:xf>
    <x:xf numFmtId="0" fontId="32" fillId="63" borderId="190" xfId="0" applyNumberFormat="1" applyFont="1" applyFill="1" applyBorder="1" applyAlignment="1">
      <x:alignment horizontal="center" vertical="center" wrapText="1"/>
    </x:xf>
    <x:xf numFmtId="0" fontId="32" fillId="63" borderId="195" xfId="0" applyNumberFormat="1" applyFont="1" applyFill="1" applyBorder="1" applyAlignment="1">
      <x:alignment horizontal="center" vertical="center" wrapText="1"/>
    </x:xf>
    <x:xf numFmtId="0" fontId="40" fillId="64" borderId="181" xfId="0" applyNumberFormat="1" applyFont="1" applyFill="1" applyBorder="1"/>
    <x:xf numFmtId="0" fontId="41" fillId="62" borderId="0" xfId="0" applyNumberFormat="1" applyFont="1" applyFill="1" applyBorder="1" applyAlignment="1">
      <x:alignment wrapText="1"/>
    </x:xf>
    <x:xf numFmtId="0" fontId="40" fillId="65" borderId="0" xfId="0" applyNumberFormat="1" applyFont="1" applyFill="1" applyBorder="1"/>
    <x:xf numFmtId="0" fontId="40" fillId="63" borderId="182" xfId="0" applyNumberFormat="1" applyFont="1" applyFill="1" applyBorder="1" applyAlignment="1">
      <x:alignment horizontal="center" vertical="center" wrapText="1"/>
    </x:xf>
    <x:xf numFmtId="0" fontId="40" fillId="63" borderId="183" xfId="0" applyNumberFormat="1" applyFont="1" applyFill="1" applyBorder="1" applyAlignment="1">
      <x:alignment horizontal="center" vertical="center" wrapText="1"/>
    </x:xf>
    <x:xf numFmtId="0" fontId="40" fillId="63" borderId="184" xfId="0" applyNumberFormat="1" applyFont="1" applyFill="1" applyBorder="1" applyAlignment="1">
      <x:alignment horizontal="center" vertical="center" wrapText="1"/>
    </x:xf>
    <x:xf numFmtId="0" fontId="40" fillId="64" borderId="182" xfId="0" applyNumberFormat="1" applyFont="1" applyFill="1" applyBorder="1" applyAlignment="1">
      <x:alignment horizontal="center" vertical="center" wrapText="1"/>
    </x:xf>
    <x:xf numFmtId="0" fontId="40" fillId="64" borderId="183" xfId="0" applyNumberFormat="1" applyFont="1" applyFill="1" applyBorder="1" applyAlignment="1">
      <x:alignment horizontal="center" vertical="center" wrapText="1"/>
    </x:xf>
    <x:xf numFmtId="0" fontId="40" fillId="64" borderId="184" xfId="0" applyNumberFormat="1" applyFont="1" applyFill="1" applyBorder="1" applyAlignment="1">
      <x:alignment horizontal="center" vertical="center" wrapText="1"/>
    </x:xf>
    <x:xf numFmtId="0" fontId="40" fillId="67" borderId="189" xfId="0" applyNumberFormat="1" applyFont="1" applyFill="1" applyBorder="1" applyAlignment="1">
      <x:alignment horizontal="center" vertical="center" wrapText="1"/>
    </x:xf>
    <x:xf numFmtId="0" fontId="40" fillId="67" borderId="190" xfId="0" applyNumberFormat="1" applyFont="1" applyFill="1" applyBorder="1" applyAlignment="1">
      <x:alignment horizontal="center" vertical="center" wrapText="1"/>
    </x:xf>
    <x:xf numFmtId="0" fontId="40" fillId="67" borderId="191" xfId="0" applyNumberFormat="1" applyFont="1" applyFill="1" applyBorder="1" applyAlignment="1">
      <x:alignment horizontal="center" vertical="center" wrapText="1"/>
    </x:xf>
    <x:xf numFmtId="0" fontId="40" fillId="63" borderId="185" xfId="0" applyNumberFormat="1" applyFont="1" applyFill="1" applyBorder="1" applyAlignment="1">
      <x:alignment horizontal="center" vertical="center" wrapText="1"/>
    </x:xf>
    <x:xf numFmtId="0" fontId="40" fillId="63" xfId="0" applyNumberFormat="1" applyFont="1" applyFill="1" applyBorder="0" applyAlignment="1">
      <x:alignment horizontal="center" vertical="center" wrapText="1"/>
    </x:xf>
    <x:xf numFmtId="0" fontId="40" fillId="63" borderId="186" xfId="0" applyNumberFormat="1" applyFont="1" applyFill="1" applyBorder="1" applyAlignment="1">
      <x:alignment horizontal="center" vertical="center" wrapText="1"/>
    </x:xf>
    <x:xf numFmtId="0" fontId="40" fillId="64" borderId="185" xfId="0" applyNumberFormat="1" applyFont="1" applyFill="1" applyBorder="1" applyAlignment="1">
      <x:alignment horizontal="center" vertical="center" wrapText="1"/>
    </x:xf>
    <x:xf numFmtId="0" fontId="40" fillId="64" xfId="0" applyNumberFormat="1" applyFont="1" applyFill="1" applyBorder="0" applyAlignment="1">
      <x:alignment horizontal="center" vertical="center" wrapText="1"/>
    </x:xf>
    <x:xf numFmtId="0" fontId="40" fillId="64" borderId="186" xfId="0" applyNumberFormat="1" applyFont="1" applyFill="1" applyBorder="1" applyAlignment="1">
      <x:alignment horizontal="center" vertical="center" wrapText="1"/>
    </x:xf>
    <x:xf numFmtId="0" fontId="40" fillId="67" borderId="192" xfId="0" applyNumberFormat="1" applyFont="1" applyFill="1" applyBorder="1" applyAlignment="1">
      <x:alignment horizontal="center" vertical="center" wrapText="1"/>
    </x:xf>
    <x:xf numFmtId="0" fontId="40" fillId="67" xfId="0" applyNumberFormat="1" applyFont="1" applyFill="1" applyBorder="0" applyAlignment="1">
      <x:alignment horizontal="center" vertical="center" wrapText="1"/>
    </x:xf>
    <x:xf numFmtId="0" fontId="40" fillId="67" borderId="193" xfId="0" applyNumberFormat="1" applyFont="1" applyFill="1" applyBorder="1" applyAlignment="1">
      <x:alignment horizontal="center" vertical="center" wrapText="1"/>
    </x:xf>
    <x:xf numFmtId="0" fontId="40" fillId="63" borderId="187" xfId="0" applyNumberFormat="1" applyFont="1" applyFill="1" applyBorder="1" applyAlignment="1">
      <x:alignment horizontal="center" vertical="center" wrapText="1"/>
    </x:xf>
    <x:xf numFmtId="0" fontId="40" fillId="63" borderId="181" xfId="0" applyNumberFormat="1" applyFont="1" applyFill="1" applyBorder="1" applyAlignment="1">
      <x:alignment horizontal="center" vertical="center" wrapText="1"/>
    </x:xf>
    <x:xf numFmtId="0" fontId="40" fillId="63" borderId="188" xfId="0" applyNumberFormat="1" applyFont="1" applyFill="1" applyBorder="1" applyAlignment="1">
      <x:alignment horizontal="center" vertical="center" wrapText="1"/>
    </x:xf>
    <x:xf numFmtId="0" fontId="40" fillId="64" borderId="187" xfId="0" applyNumberFormat="1" applyFont="1" applyFill="1" applyBorder="1" applyAlignment="1">
      <x:alignment horizontal="center" vertical="center" wrapText="1"/>
    </x:xf>
    <x:xf numFmtId="0" fontId="40" fillId="64" borderId="181" xfId="0" applyNumberFormat="1" applyFont="1" applyFill="1" applyBorder="1" applyAlignment="1">
      <x:alignment horizontal="center" vertical="center" wrapText="1"/>
    </x:xf>
    <x:xf numFmtId="0" fontId="40" fillId="64" borderId="188" xfId="0" applyNumberFormat="1" applyFont="1" applyFill="1" applyBorder="1" applyAlignment="1">
      <x:alignment horizontal="center" vertical="center" wrapText="1"/>
    </x:xf>
    <x:xf numFmtId="0" fontId="40" fillId="67" borderId="194" xfId="0" applyNumberFormat="1" applyFont="1" applyFill="1" applyBorder="1" applyAlignment="1">
      <x:alignment horizontal="center" vertical="center" wrapText="1"/>
    </x:xf>
    <x:xf numFmtId="0" fontId="40" fillId="67" borderId="195" xfId="0" applyNumberFormat="1" applyFont="1" applyFill="1" applyBorder="1" applyAlignment="1">
      <x:alignment horizontal="center" vertical="center" wrapText="1"/>
    </x:xf>
    <x:xf numFmtId="0" fontId="40" fillId="67" borderId="196" xfId="0" applyNumberFormat="1" applyFont="1" applyFill="1" applyBorder="1" applyAlignment="1">
      <x:alignment horizontal="center" vertical="center" wrapText="1"/>
    </x:xf>
    <x:xf numFmtId="0" fontId="41" fillId="68" borderId="0" xfId="0" applyNumberFormat="1" applyFont="1" applyFill="1" applyBorder="1" applyAlignment="1">
      <x:alignment vertical="center" wrapText="1"/>
    </x:xf>
    <x:xf numFmtId="0" fontId="40" fillId="62" borderId="0" xfId="0" applyNumberFormat="1" applyFont="1" applyFill="1" applyBorder="1" applyAlignment="1">
      <x:alignment wrapText="1"/>
    </x:xf>
    <x:xf numFmtId="0" fontId="41" fillId="68" borderId="0" xfId="0" applyNumberFormat="1" applyFont="1" applyFill="1" applyBorder="1" applyAlignment="1">
      <x:alignment vertical="top" wrapText="1"/>
    </x:xf>
    <x:xf numFmtId="0" fontId="40" fillId="68" borderId="189" xfId="0" applyNumberFormat="1" applyFont="1" applyFill="1" applyBorder="1" applyAlignment="1">
      <x:alignment horizontal="center" vertical="center" wrapText="1"/>
    </x:xf>
    <x:xf numFmtId="0" fontId="40" fillId="68" borderId="190" xfId="0" applyNumberFormat="1" applyFont="1" applyFill="1" applyBorder="1" applyAlignment="1">
      <x:alignment horizontal="center" vertical="center" wrapText="1"/>
    </x:xf>
    <x:xf numFmtId="0" fontId="40" fillId="68" borderId="191" xfId="0" applyNumberFormat="1" applyFont="1" applyFill="1" applyBorder="1" applyAlignment="1">
      <x:alignment horizontal="center" vertical="center" wrapText="1"/>
    </x:xf>
    <x:xf numFmtId="0" fontId="40" fillId="63" borderId="189" xfId="0" applyNumberFormat="1" applyFont="1" applyFill="1" applyBorder="1" applyAlignment="1">
      <x:alignment horizontal="center" vertical="center" wrapText="1"/>
    </x:xf>
    <x:xf numFmtId="0" fontId="40" fillId="63" borderId="191" xfId="0" applyNumberFormat="1" applyFont="1" applyFill="1" applyBorder="1" applyAlignment="1">
      <x:alignment horizontal="center" vertical="center" wrapText="1"/>
    </x:xf>
    <x:xf numFmtId="0" fontId="40" fillId="68" borderId="192" xfId="0" applyNumberFormat="1" applyFont="1" applyFill="1" applyBorder="1" applyAlignment="1">
      <x:alignment horizontal="center" vertical="center" wrapText="1"/>
    </x:xf>
    <x:xf numFmtId="0" fontId="40" fillId="68" xfId="0" applyNumberFormat="1" applyFont="1" applyFill="1" applyBorder="0" applyAlignment="1">
      <x:alignment horizontal="center" vertical="center" wrapText="1"/>
    </x:xf>
    <x:xf numFmtId="0" fontId="40" fillId="68" borderId="193" xfId="0" applyNumberFormat="1" applyFont="1" applyFill="1" applyBorder="1" applyAlignment="1">
      <x:alignment horizontal="center" vertical="center" wrapText="1"/>
    </x:xf>
    <x:xf numFmtId="0" fontId="40" fillId="63" borderId="192" xfId="0" applyNumberFormat="1" applyFont="1" applyFill="1" applyBorder="1" applyAlignment="1">
      <x:alignment horizontal="center" vertical="center" wrapText="1"/>
    </x:xf>
    <x:xf numFmtId="0" fontId="40" fillId="63" borderId="193" xfId="0" applyNumberFormat="1" applyFont="1" applyFill="1" applyBorder="1" applyAlignment="1">
      <x:alignment horizontal="center" vertical="center" wrapText="1"/>
    </x:xf>
    <x:xf numFmtId="0" fontId="40" fillId="68" borderId="194" xfId="0" applyNumberFormat="1" applyFont="1" applyFill="1" applyBorder="1" applyAlignment="1">
      <x:alignment horizontal="center" vertical="center" wrapText="1"/>
    </x:xf>
    <x:xf numFmtId="0" fontId="40" fillId="68" borderId="195" xfId="0" applyNumberFormat="1" applyFont="1" applyFill="1" applyBorder="1" applyAlignment="1">
      <x:alignment horizontal="center" vertical="center" wrapText="1"/>
    </x:xf>
    <x:xf numFmtId="0" fontId="40" fillId="68" borderId="196" xfId="0" applyNumberFormat="1" applyFont="1" applyFill="1" applyBorder="1" applyAlignment="1">
      <x:alignment horizontal="center" vertical="center" wrapText="1"/>
    </x:xf>
    <x:xf numFmtId="0" fontId="40" fillId="63" borderId="194" xfId="0" applyNumberFormat="1" applyFont="1" applyFill="1" applyBorder="1" applyAlignment="1">
      <x:alignment horizontal="center" vertical="center" wrapText="1"/>
    </x:xf>
    <x:xf numFmtId="0" fontId="40" fillId="63" borderId="196" xfId="0" applyNumberFormat="1" applyFont="1" applyFill="1" applyBorder="1" applyAlignment="1">
      <x:alignment horizontal="center" vertical="center" wrapText="1"/>
    </x:xf>
    <x:xf numFmtId="0" fontId="41" fillId="62" borderId="0" xfId="0" applyNumberFormat="1" applyFont="1" applyFill="1" applyBorder="1" applyAlignment="1">
      <x:alignment vertical="center" wrapText="1"/>
    </x:xf>
    <x:xf numFmtId="0" fontId="40" fillId="66" borderId="189" xfId="0" applyNumberFormat="1" applyFont="1" applyFill="1" applyBorder="1" applyAlignment="1">
      <x:alignment horizontal="center" vertical="center" wrapText="1"/>
    </x:xf>
    <x:xf numFmtId="0" fontId="40" fillId="66" borderId="191" xfId="0" applyNumberFormat="1" applyFont="1" applyFill="1" applyBorder="1" applyAlignment="1">
      <x:alignment horizontal="center" vertical="center" wrapText="1"/>
    </x:xf>
    <x:xf numFmtId="0" fontId="40" fillId="66" borderId="192" xfId="0" applyNumberFormat="1" applyFont="1" applyFill="1" applyBorder="1" applyAlignment="1">
      <x:alignment horizontal="center" vertical="center" wrapText="1"/>
    </x:xf>
    <x:xf numFmtId="0" fontId="40" fillId="66" borderId="193" xfId="0" applyNumberFormat="1" applyFont="1" applyFill="1" applyBorder="1" applyAlignment="1">
      <x:alignment horizontal="center" vertical="center" wrapText="1"/>
    </x:xf>
    <x:xf numFmtId="0" fontId="40" fillId="66" borderId="194" xfId="0" applyNumberFormat="1" applyFont="1" applyFill="1" applyBorder="1" applyAlignment="1">
      <x:alignment horizontal="center" vertical="center" wrapText="1"/>
    </x:xf>
    <x:xf numFmtId="0" fontId="40" fillId="66" borderId="196" xfId="0" applyNumberFormat="1" applyFont="1" applyFill="1" applyBorder="1" applyAlignment="1">
      <x:alignment horizontal="center" vertical="center" wrapText="1"/>
    </x:xf>
    <x:xf numFmtId="0" fontId="40" fillId="63" borderId="190" xfId="0" applyNumberFormat="1" applyFont="1" applyFill="1" applyBorder="1" applyAlignment="1">
      <x:alignment horizontal="center" vertical="center" wrapText="1"/>
    </x:xf>
    <x:xf numFmtId="0" fontId="40" fillId="63" borderId="195" xfId="0" applyNumberFormat="1" applyFont="1" applyFill="1" applyBorder="1" applyAlignment="1">
      <x:alignment horizontal="center" vertical="center" wrapText="1"/>
    </x:xf>
    <x:xf numFmtId="0" fontId="42" fillId="64" borderId="181" xfId="0" applyNumberFormat="1" applyFont="1" applyFill="1" applyBorder="1"/>
    <x:xf numFmtId="0" fontId="28" fillId="65" borderId="0" xfId="0" applyNumberFormat="1" applyFont="1" applyFill="1" applyBorder="1"/>
    <x:xf numFmtId="0" fontId="38" fillId="62" borderId="0" xfId="0" applyNumberFormat="1" applyFont="1" applyFill="1" applyBorder="1"/>
    <x:xf numFmtId="0" fontId="33" fillId="68" borderId="0" xfId="0" applyNumberFormat="1" applyFont="1" applyFill="1" applyBorder="1"/>
    <x:xf numFmtId="0" fontId="33" fillId="68" borderId="197" xfId="0" applyNumberFormat="1" applyFont="1" applyFill="1" applyBorder="1"/>
    <x:xf numFmtId="0" fontId="43" fillId="68" borderId="0" xfId="0" applyNumberFormat="1" applyFont="1" applyFill="1" applyBorder="1"/>
    <x:xf numFmtId="0" fontId="43" fillId="68" borderId="0" xfId="0" applyNumberFormat="1" applyFont="1" applyFill="1" applyBorder="1" applyAlignment="1">
      <x:alignment wrapText="1"/>
    </x:xf>
    <x:xf numFmtId="0" fontId="43" fillId="68" borderId="0" xfId="0" applyNumberFormat="1" applyFont="1" applyFill="1" applyBorder="1" applyAlignment="1">
      <x:alignment horizontal="center" wrapText="1"/>
    </x:xf>
    <x:xf numFmtId="0" fontId="43" fillId="68" borderId="0" xfId="0" applyNumberFormat="1" applyFont="1" applyFill="1" applyBorder="1" applyAlignment="1">
      <x:alignment horizontal="center" vertical="center" wrapText="1"/>
    </x:xf>
    <x:xf numFmtId="0" fontId="33" fillId="62" borderId="0" xfId="0" applyNumberFormat="1" applyFont="1" applyFill="1" applyBorder="1"/>
    <x:xf numFmtId="0" fontId="43" fillId="62" borderId="0" xfId="0" applyNumberFormat="1" applyFont="1" applyFill="1" applyBorder="1"/>
    <x:xf numFmtId="0" fontId="43" fillId="62" borderId="0" xfId="0" applyNumberFormat="1" applyFont="1" applyFill="1" applyBorder="1" applyAlignment="1">
      <x:alignment wrapText="1"/>
    </x:xf>
    <x:xf numFmtId="0" fontId="43" fillId="62" borderId="0" xfId="0" applyNumberFormat="1" applyFont="1" applyFill="1" applyBorder="1" applyAlignment="1">
      <x:alignment vertical="center" wrapText="1"/>
    </x:xf>
    <x:xf numFmtId="0" fontId="32" fillId="66" borderId="190" xfId="0" applyNumberFormat="1" applyFont="1" applyFill="1" applyBorder="1"/>
    <x:xf numFmtId="0" fontId="32" fillId="66" xfId="0" applyNumberFormat="1" applyFont="1" applyFill="1" applyBorder="0"/>
    <x:xf numFmtId="0" fontId="32" fillId="66" borderId="195" xfId="0" applyNumberFormat="1" applyFont="1" applyFill="1" applyBorder="1"/>
    <x:xf numFmtId="0" fontId="32" fillId="66" borderId="190" xfId="0" applyNumberFormat="1" applyFont="1" applyFill="1" applyBorder="1" applyAlignment="1">
      <x:alignment wrapText="1"/>
    </x:xf>
    <x:xf numFmtId="0" fontId="32" fillId="66" xfId="0" applyNumberFormat="1" applyFont="1" applyFill="1" applyBorder="0" applyAlignment="1">
      <x:alignment wrapText="1"/>
    </x:xf>
    <x:xf numFmtId="0" fontId="32" fillId="66" borderId="195" xfId="0" applyNumberFormat="1" applyFont="1" applyFill="1" applyBorder="1" applyAlignment="1">
      <x:alignment wrapText="1"/>
    </x:xf>
    <x:xf numFmtId="0" fontId="32" fillId="66" borderId="190" xfId="0" applyNumberFormat="1" applyFont="1" applyFill="1" applyBorder="1" applyAlignment="1">
      <x:alignment horizontal="center" wrapText="1"/>
    </x:xf>
    <x:xf numFmtId="0" fontId="32" fillId="66" xfId="0" applyNumberFormat="1" applyFont="1" applyFill="1" applyBorder="0" applyAlignment="1">
      <x:alignment horizontal="center" wrapText="1"/>
    </x:xf>
    <x:xf numFmtId="0" fontId="32" fillId="66" borderId="195" xfId="0" applyNumberFormat="1" applyFont="1" applyFill="1" applyBorder="1" applyAlignment="1">
      <x:alignment horizontal="center" wrapText="1"/>
    </x:xf>
    <x:xf numFmtId="0" fontId="32" fillId="66" borderId="190" xfId="0" applyNumberFormat="1" applyFont="1" applyFill="1" applyBorder="1" applyAlignment="1">
      <x:alignment horizontal="center" vertical="center" wrapText="1"/>
    </x:xf>
    <x:xf numFmtId="0" fontId="32" fillId="66" xfId="0" applyNumberFormat="1" applyFont="1" applyFill="1" applyBorder="0" applyAlignment="1">
      <x:alignment horizontal="center" vertical="center" wrapText="1"/>
    </x:xf>
    <x:xf numFmtId="0" fontId="32" fillId="66" borderId="195" xfId="0" applyNumberFormat="1" applyFont="1" applyFill="1" applyBorder="1" applyAlignment="1">
      <x:alignment horizontal="center" vertical="center" wrapText="1"/>
    </x:xf>
    <x:xf numFmtId="0" fontId="32" fillId="64" borderId="198" xfId="0" applyNumberFormat="1" applyFont="1" applyFill="1" applyBorder="1"/>
    <x:xf numFmtId="0" fontId="32" fillId="64" borderId="199" xfId="0" applyNumberFormat="1" applyFont="1" applyFill="1" applyBorder="1"/>
    <x:xf numFmtId="0" fontId="32" fillId="64" borderId="200" xfId="0" applyNumberFormat="1" applyFont="1" applyFill="1" applyBorder="1"/>
    <x:xf numFmtId="0" fontId="32" fillId="64" borderId="198" xfId="0" applyNumberFormat="1" applyFont="1" applyFill="1" applyBorder="1" applyAlignment="1">
      <x:alignment wrapText="1"/>
    </x:xf>
    <x:xf numFmtId="0" fontId="32" fillId="64" borderId="199" xfId="0" applyNumberFormat="1" applyFont="1" applyFill="1" applyBorder="1" applyAlignment="1">
      <x:alignment wrapText="1"/>
    </x:xf>
    <x:xf numFmtId="0" fontId="32" fillId="64" borderId="200" xfId="0" applyNumberFormat="1" applyFont="1" applyFill="1" applyBorder="1" applyAlignment="1">
      <x:alignment wrapText="1"/>
    </x:xf>
    <x:xf numFmtId="0" fontId="32" fillId="64" borderId="198" xfId="0" applyNumberFormat="1" applyFont="1" applyFill="1" applyBorder="1" applyAlignment="1">
      <x:alignment horizontal="center" wrapText="1"/>
    </x:xf>
    <x:xf numFmtId="0" fontId="32" fillId="64" borderId="199" xfId="0" applyNumberFormat="1" applyFont="1" applyFill="1" applyBorder="1" applyAlignment="1">
      <x:alignment horizontal="center" wrapText="1"/>
    </x:xf>
    <x:xf numFmtId="0" fontId="32" fillId="64" borderId="200" xfId="0" applyNumberFormat="1" applyFont="1" applyFill="1" applyBorder="1" applyAlignment="1">
      <x:alignment horizontal="center" wrapText="1"/>
    </x:xf>
    <x:xf numFmtId="0" fontId="32" fillId="64" borderId="198" xfId="0" applyNumberFormat="1" applyFont="1" applyFill="1" applyBorder="1" applyAlignment="1">
      <x:alignment horizontal="center" vertical="center" wrapText="1"/>
    </x:xf>
    <x:xf numFmtId="0" fontId="32" fillId="64" borderId="199" xfId="0" applyNumberFormat="1" applyFont="1" applyFill="1" applyBorder="1" applyAlignment="1">
      <x:alignment horizontal="center" vertical="center" wrapText="1"/>
    </x:xf>
    <x:xf numFmtId="0" fontId="32" fillId="64" borderId="200" xfId="0" applyNumberFormat="1" applyFont="1" applyFill="1" applyBorder="1" applyAlignment="1">
      <x:alignment horizontal="center" vertical="center" wrapText="1"/>
    </x:xf>
    <x:xf numFmtId="0" fontId="40" fillId="62" borderId="0" xfId="0" applyNumberFormat="1" applyFont="1" applyFill="1" applyBorder="1"/>
    <x:xf numFmtId="0" fontId="40" fillId="68" borderId="197" xfId="0" applyNumberFormat="1" applyFont="1" applyFill="1" applyBorder="1"/>
    <x:xf numFmtId="0" fontId="41" fillId="68" borderId="0" xfId="0" applyNumberFormat="1" applyFont="1" applyFill="1" applyBorder="1" applyAlignment="1">
      <x:alignment horizontal="center" vertical="center" wrapText="1"/>
    </x:xf>
    <x:xf numFmtId="0" fontId="40" fillId="66" borderId="190" xfId="0" applyNumberFormat="1" applyFont="1" applyFill="1" applyBorder="1" applyAlignment="1">
      <x:alignment horizontal="center" vertical="center" wrapText="1"/>
    </x:xf>
    <x:xf numFmtId="0" fontId="40" fillId="66" xfId="0" applyNumberFormat="1" applyFont="1" applyFill="1" applyBorder="0" applyAlignment="1">
      <x:alignment horizontal="center" vertical="center" wrapText="1"/>
    </x:xf>
    <x:xf numFmtId="0" fontId="40" fillId="66" borderId="195" xfId="0" applyNumberFormat="1" applyFont="1" applyFill="1" applyBorder="1" applyAlignment="1">
      <x:alignment horizontal="center" vertical="center" wrapText="1"/>
    </x:xf>
    <x:xf numFmtId="0" fontId="40" fillId="64" borderId="198" xfId="0" applyNumberFormat="1" applyFont="1" applyFill="1" applyBorder="1" applyAlignment="1">
      <x:alignment horizontal="center" vertical="center" wrapText="1"/>
    </x:xf>
    <x:xf numFmtId="0" fontId="40" fillId="64" borderId="199" xfId="0" applyNumberFormat="1" applyFont="1" applyFill="1" applyBorder="1" applyAlignment="1">
      <x:alignment horizontal="center" vertical="center" wrapText="1"/>
    </x:xf>
    <x:xf numFmtId="0" fontId="40" fillId="64" borderId="200" xfId="0" applyNumberFormat="1" applyFont="1" applyFill="1" applyBorder="1" applyAlignment="1">
      <x:alignment horizontal="center" vertical="center" wrapText="1"/>
    </x:xf>
    <x:xf numFmtId="0" fontId="44" fillId="62" borderId="0" xfId="0" applyNumberFormat="1" applyFont="1" applyFill="1" applyBorder="1"/>
    <x:xf numFmtId="0" fontId="41" fillId="35" borderId="0" xfId="0" applyNumberFormat="1" applyFont="1" applyFill="1" applyBorder="1"/>
    <x:xf numFmtId="0" fontId="45" fillId="35" borderId="0" xfId="0" applyNumberFormat="1" applyFont="1" applyFill="1" applyBorder="1"/>
    <x:xf numFmtId="0" fontId="45" fillId="35" borderId="0" xfId="0" applyNumberFormat="1" applyFont="1" applyFill="1" applyBorder="1" applyAlignment="1">
      <x:alignment wrapText="1"/>
    </x:xf>
    <x:xf numFmtId="0" fontId="45" fillId="35" borderId="0" xfId="0" applyNumberFormat="1" applyFont="1" applyFill="1" applyBorder="1" applyAlignment="1">
      <x:alignment vertical="center" wrapText="1"/>
    </x:xf>
    <x:xf numFmtId="0" fontId="0" fillId="53" borderId="0" xfId="0" applyNumberFormat="1" applyFont="1" applyFill="1" applyBorder="1" applyAlignment="1">
      <x:alignment wrapText="1"/>
    </x:xf>
    <x:xf numFmtId="0" fontId="0" fillId="35" borderId="0" xfId="0" applyNumberFormat="1" applyFont="1" applyFill="1" applyBorder="1" applyAlignment="1">
      <x:alignment wrapText="1"/>
    </x:xf>
    <x:xf numFmtId="0" fontId="0" fillId="69" borderId="0" xfId="0" applyNumberFormat="1" applyFont="1" applyFill="1" applyBorder="1"/>
    <x:xf numFmtId="0" fontId="31" fillId="69" borderId="0" xfId="0" applyNumberFormat="1" applyFont="1" applyFill="1" applyBorder="1"/>
    <x:xf numFmtId="0" fontId="31" fillId="69" borderId="201" xfId="0" applyNumberFormat="1" applyFont="1" applyFill="1" applyBorder="1"/>
    <x:xf numFmtId="0" fontId="0" fillId="70" borderId="0" xfId="0" applyNumberFormat="1" applyFont="1" applyFill="1" applyBorder="1"/>
    <x:xf numFmtId="0" fontId="20" fillId="70" borderId="0" xfId="0" applyNumberFormat="1" applyFont="1" applyFill="1" applyBorder="1"/>
    <x:xf numFmtId="0" fontId="20" fillId="70" borderId="0" xfId="0" applyNumberFormat="1" applyFont="1" applyFill="1" applyBorder="1" applyAlignment="1">
      <x:alignment wrapText="1"/>
    </x:xf>
    <x:xf numFmtId="0" fontId="0" fillId="71" borderId="0" xfId="0" applyNumberFormat="1" applyFont="1" applyFill="1" applyBorder="1"/>
    <x:xf numFmtId="0" fontId="34" fillId="71" borderId="0" xfId="0" applyNumberFormat="1" applyFont="1" applyFill="1" applyBorder="1"/>
    <x:xf numFmtId="0" fontId="34" fillId="71" borderId="0" xfId="0" applyNumberFormat="1" applyFont="1" applyFill="1" applyBorder="1" applyAlignment="1">
      <x:alignment wrapText="1"/>
    </x:xf>
    <x:xf numFmtId="0" fontId="0" fillId="72" borderId="0" xfId="0" applyNumberFormat="1" applyFont="1" applyFill="1" applyBorder="1"/>
    <x:xf numFmtId="0" fontId="37" fillId="72" borderId="0" xfId="0" applyNumberFormat="1" applyFont="1" applyFill="1" applyBorder="1"/>
    <x:xf numFmtId="0" fontId="37" fillId="72" borderId="0" xfId="0" applyNumberFormat="1" applyFont="1" applyFill="1" applyBorder="1" applyAlignment="1">
      <x:alignment wrapText="1"/>
    </x:xf>
    <x:xf numFmtId="0" fontId="0" fillId="71" borderId="0" xfId="0" applyNumberFormat="1" applyFont="1" applyFill="1" applyBorder="1" applyAlignment="1">
      <x:alignment wrapText="1"/>
    </x:xf>
    <x:xf numFmtId="0" fontId="0" fillId="73" borderId="0" xfId="0" applyNumberFormat="1" applyFont="1" applyFill="1" applyBorder="1" applyAlignment="1">
      <x:alignment wrapText="1"/>
    </x:xf>
    <x:xf numFmtId="0" fontId="0" fillId="74" borderId="0" xfId="0" applyNumberFormat="1" applyFont="1" applyFill="1" applyBorder="1" applyAlignment="1">
      <x:alignment wrapText="1"/>
    </x:xf>
    <x:xf numFmtId="0" fontId="36" fillId="69" borderId="0" xfId="0" applyNumberFormat="1" applyFont="1" applyFill="1" applyBorder="1"/>
    <x:xf numFmtId="0" fontId="36" fillId="69" borderId="201" xfId="0" applyNumberFormat="1" applyFont="1" applyFill="1" applyBorder="1"/>
    <x:xf numFmtId="0" fontId="21" fillId="72" borderId="0" xfId="0" applyNumberFormat="1" applyFont="1" applyFill="1" applyBorder="1"/>
    <x:xf numFmtId="0" fontId="34" fillId="70" borderId="0" xfId="0" applyNumberFormat="1" applyFont="1" applyFill="1" applyBorder="1"/>
    <x:xf numFmtId="0" fontId="34" fillId="70" borderId="0" xfId="0" applyNumberFormat="1" applyFont="1" applyFill="1" applyBorder="1" applyAlignment="1">
      <x:alignment wrapText="1"/>
    </x:xf>
    <x:xf numFmtId="0" fontId="28" fillId="71" borderId="0" xfId="0" applyNumberFormat="1" applyFont="1" applyFill="1" applyBorder="1"/>
    <x:xf numFmtId="0" fontId="41" fillId="71" borderId="0" xfId="0" applyNumberFormat="1" applyFont="1" applyFill="1" applyBorder="1"/>
    <x:xf numFmtId="0" fontId="40" fillId="71" borderId="0" xfId="0" applyNumberFormat="1" applyFont="1" applyFill="1" applyBorder="1"/>
    <x:xf numFmtId="0" fontId="40" fillId="71" borderId="0" xfId="0" applyNumberFormat="1" applyFont="1" applyFill="1" applyBorder="1" applyAlignment="1">
      <x:alignment wrapText="1"/>
    </x:xf>
    <x:xf numFmtId="0" fontId="41" fillId="71" borderId="0" xfId="0" applyNumberFormat="1" applyFont="1" applyFill="1" applyBorder="1" applyAlignment="1">
      <x:alignment wrapText="1"/>
    </x:xf>
    <x:xf numFmtId="0" fontId="40" fillId="71" borderId="0" xfId="0" applyNumberFormat="1" applyFont="1" applyFill="1" applyBorder="1" applyAlignment="1">
      <x:alignment vertical="top" wrapText="1"/>
    </x:xf>
    <x:xf numFmtId="0" fontId="41" fillId="71" borderId="0" xfId="0" applyNumberFormat="1" applyFont="1" applyFill="1" applyBorder="1" applyAlignment="1">
      <x:alignment vertical="top" wrapText="1"/>
    </x:xf>
    <x:xf numFmtId="0" fontId="0" fillId="73" borderId="0" xfId="0" applyNumberFormat="1" applyFont="1" applyFill="1" applyBorder="1"/>
    <x:xf numFmtId="0" fontId="32" fillId="73" borderId="0" xfId="0" applyNumberFormat="1" applyFont="1" applyFill="1" applyBorder="1"/>
    <x:xf numFmtId="0" fontId="32" fillId="73" borderId="202" xfId="0" applyNumberFormat="1" applyFont="1" applyFill="1" applyBorder="1"/>
    <x:xf numFmtId="0" fontId="32" fillId="73" borderId="203" xfId="0" applyNumberFormat="1" applyFont="1" applyFill="1" applyBorder="1"/>
    <x:xf numFmtId="0" fontId="32" fillId="73" borderId="204" xfId="0" applyNumberFormat="1" applyFont="1" applyFill="1" applyBorder="1"/>
    <x:xf numFmtId="0" fontId="32" fillId="73" borderId="205" xfId="0" applyNumberFormat="1" applyFont="1" applyFill="1" applyBorder="1"/>
    <x:xf numFmtId="0" fontId="32" fillId="73" xfId="0" applyNumberFormat="1" applyFont="1" applyFill="1" applyBorder="0"/>
    <x:xf numFmtId="0" fontId="32" fillId="73" borderId="206" xfId="0" applyNumberFormat="1" applyFont="1" applyFill="1" applyBorder="1"/>
    <x:xf numFmtId="0" fontId="32" fillId="73" borderId="207" xfId="0" applyNumberFormat="1" applyFont="1" applyFill="1" applyBorder="1"/>
    <x:xf numFmtId="0" fontId="32" fillId="73" borderId="201" xfId="0" applyNumberFormat="1" applyFont="1" applyFill="1" applyBorder="1"/>
    <x:xf numFmtId="0" fontId="32" fillId="73" borderId="208" xfId="0" applyNumberFormat="1" applyFont="1" applyFill="1" applyBorder="1"/>
    <x:xf numFmtId="0" fontId="32" fillId="73" borderId="202" xfId="0" applyNumberFormat="1" applyFont="1" applyFill="1" applyBorder="1" applyAlignment="1">
      <x:alignment wrapText="1"/>
    </x:xf>
    <x:xf numFmtId="0" fontId="32" fillId="73" borderId="203" xfId="0" applyNumberFormat="1" applyFont="1" applyFill="1" applyBorder="1" applyAlignment="1">
      <x:alignment wrapText="1"/>
    </x:xf>
    <x:xf numFmtId="0" fontId="32" fillId="73" borderId="204" xfId="0" applyNumberFormat="1" applyFont="1" applyFill="1" applyBorder="1" applyAlignment="1">
      <x:alignment wrapText="1"/>
    </x:xf>
    <x:xf numFmtId="0" fontId="32" fillId="73" borderId="205" xfId="0" applyNumberFormat="1" applyFont="1" applyFill="1" applyBorder="1" applyAlignment="1">
      <x:alignment wrapText="1"/>
    </x:xf>
    <x:xf numFmtId="0" fontId="32" fillId="73" xfId="0" applyNumberFormat="1" applyFont="1" applyFill="1" applyBorder="0" applyAlignment="1">
      <x:alignment wrapText="1"/>
    </x:xf>
    <x:xf numFmtId="0" fontId="32" fillId="73" borderId="206" xfId="0" applyNumberFormat="1" applyFont="1" applyFill="1" applyBorder="1" applyAlignment="1">
      <x:alignment wrapText="1"/>
    </x:xf>
    <x:xf numFmtId="0" fontId="32" fillId="73" borderId="207" xfId="0" applyNumberFormat="1" applyFont="1" applyFill="1" applyBorder="1" applyAlignment="1">
      <x:alignment wrapText="1"/>
    </x:xf>
    <x:xf numFmtId="0" fontId="32" fillId="73" borderId="201" xfId="0" applyNumberFormat="1" applyFont="1" applyFill="1" applyBorder="1" applyAlignment="1">
      <x:alignment wrapText="1"/>
    </x:xf>
    <x:xf numFmtId="0" fontId="32" fillId="73" borderId="208" xfId="0" applyNumberFormat="1" applyFont="1" applyFill="1" applyBorder="1" applyAlignment="1">
      <x:alignment wrapText="1"/>
    </x:xf>
    <x:xf numFmtId="0" fontId="32" fillId="73" borderId="202" xfId="0" applyNumberFormat="1" applyFont="1" applyFill="1" applyBorder="1" applyAlignment="1">
      <x:alignment horizontal="center" wrapText="1"/>
    </x:xf>
    <x:xf numFmtId="0" fontId="32" fillId="73" borderId="203" xfId="0" applyNumberFormat="1" applyFont="1" applyFill="1" applyBorder="1" applyAlignment="1">
      <x:alignment horizontal="center" wrapText="1"/>
    </x:xf>
    <x:xf numFmtId="0" fontId="32" fillId="73" borderId="204" xfId="0" applyNumberFormat="1" applyFont="1" applyFill="1" applyBorder="1" applyAlignment="1">
      <x:alignment horizontal="center" wrapText="1"/>
    </x:xf>
    <x:xf numFmtId="0" fontId="32" fillId="73" borderId="205" xfId="0" applyNumberFormat="1" applyFont="1" applyFill="1" applyBorder="1" applyAlignment="1">
      <x:alignment horizontal="center" wrapText="1"/>
    </x:xf>
    <x:xf numFmtId="0" fontId="32" fillId="73" xfId="0" applyNumberFormat="1" applyFont="1" applyFill="1" applyBorder="0" applyAlignment="1">
      <x:alignment horizontal="center" wrapText="1"/>
    </x:xf>
    <x:xf numFmtId="0" fontId="32" fillId="73" borderId="206" xfId="0" applyNumberFormat="1" applyFont="1" applyFill="1" applyBorder="1" applyAlignment="1">
      <x:alignment horizontal="center" wrapText="1"/>
    </x:xf>
    <x:xf numFmtId="0" fontId="32" fillId="73" borderId="207" xfId="0" applyNumberFormat="1" applyFont="1" applyFill="1" applyBorder="1" applyAlignment="1">
      <x:alignment horizontal="center" wrapText="1"/>
    </x:xf>
    <x:xf numFmtId="0" fontId="32" fillId="73" borderId="201" xfId="0" applyNumberFormat="1" applyFont="1" applyFill="1" applyBorder="1" applyAlignment="1">
      <x:alignment horizontal="center" wrapText="1"/>
    </x:xf>
    <x:xf numFmtId="0" fontId="32" fillId="73" borderId="208" xfId="0" applyNumberFormat="1" applyFont="1" applyFill="1" applyBorder="1" applyAlignment="1">
      <x:alignment horizontal="center" wrapText="1"/>
    </x:xf>
    <x:xf numFmtId="0" fontId="32" fillId="73" borderId="202" xfId="0" applyNumberFormat="1" applyFont="1" applyFill="1" applyBorder="1" applyAlignment="1">
      <x:alignment horizontal="center" vertical="center" wrapText="1"/>
    </x:xf>
    <x:xf numFmtId="0" fontId="32" fillId="73" borderId="203" xfId="0" applyNumberFormat="1" applyFont="1" applyFill="1" applyBorder="1" applyAlignment="1">
      <x:alignment horizontal="center" vertical="center" wrapText="1"/>
    </x:xf>
    <x:xf numFmtId="0" fontId="32" fillId="73" borderId="204" xfId="0" applyNumberFormat="1" applyFont="1" applyFill="1" applyBorder="1" applyAlignment="1">
      <x:alignment horizontal="center" vertical="center" wrapText="1"/>
    </x:xf>
    <x:xf numFmtId="0" fontId="32" fillId="73" borderId="205" xfId="0" applyNumberFormat="1" applyFont="1" applyFill="1" applyBorder="1" applyAlignment="1">
      <x:alignment horizontal="center" vertical="center" wrapText="1"/>
    </x:xf>
    <x:xf numFmtId="0" fontId="32" fillId="73" xfId="0" applyNumberFormat="1" applyFont="1" applyFill="1" applyBorder="0" applyAlignment="1">
      <x:alignment horizontal="center" vertical="center" wrapText="1"/>
    </x:xf>
    <x:xf numFmtId="0" fontId="32" fillId="73" borderId="206" xfId="0" applyNumberFormat="1" applyFont="1" applyFill="1" applyBorder="1" applyAlignment="1">
      <x:alignment horizontal="center" vertical="center" wrapText="1"/>
    </x:xf>
    <x:xf numFmtId="0" fontId="32" fillId="73" borderId="207" xfId="0" applyNumberFormat="1" applyFont="1" applyFill="1" applyBorder="1" applyAlignment="1">
      <x:alignment horizontal="center" vertical="center" wrapText="1"/>
    </x:xf>
    <x:xf numFmtId="0" fontId="32" fillId="73" borderId="201" xfId="0" applyNumberFormat="1" applyFont="1" applyFill="1" applyBorder="1" applyAlignment="1">
      <x:alignment horizontal="center" vertical="center" wrapText="1"/>
    </x:xf>
    <x:xf numFmtId="0" fontId="32" fillId="73" borderId="208" xfId="0" applyNumberFormat="1" applyFont="1" applyFill="1" applyBorder="1" applyAlignment="1">
      <x:alignment horizontal="center" vertical="center" wrapText="1"/>
    </x:xf>
    <x:xf numFmtId="0" fontId="0" fillId="74" borderId="0" xfId="0" applyNumberFormat="1" applyFont="1" applyFill="1" applyBorder="1"/>
    <x:xf numFmtId="0" fontId="32" fillId="74" borderId="0" xfId="0" applyNumberFormat="1" applyFont="1" applyFill="1" applyBorder="1"/>
    <x:xf numFmtId="0" fontId="32" fillId="74" borderId="209" xfId="0" applyNumberFormat="1" applyFont="1" applyFill="1" applyBorder="1"/>
    <x:xf numFmtId="0" fontId="32" fillId="74" borderId="210" xfId="0" applyNumberFormat="1" applyFont="1" applyFill="1" applyBorder="1"/>
    <x:xf numFmtId="0" fontId="32" fillId="74" borderId="211" xfId="0" applyNumberFormat="1" applyFont="1" applyFill="1" applyBorder="1"/>
    <x:xf numFmtId="0" fontId="32" fillId="74" borderId="212" xfId="0" applyNumberFormat="1" applyFont="1" applyFill="1" applyBorder="1"/>
    <x:xf numFmtId="0" fontId="32" fillId="74" xfId="0" applyNumberFormat="1" applyFont="1" applyFill="1" applyBorder="0"/>
    <x:xf numFmtId="0" fontId="32" fillId="74" borderId="213" xfId="0" applyNumberFormat="1" applyFont="1" applyFill="1" applyBorder="1"/>
    <x:xf numFmtId="0" fontId="32" fillId="74" borderId="214" xfId="0" applyNumberFormat="1" applyFont="1" applyFill="1" applyBorder="1"/>
    <x:xf numFmtId="0" fontId="32" fillId="74" borderId="215" xfId="0" applyNumberFormat="1" applyFont="1" applyFill="1" applyBorder="1"/>
    <x:xf numFmtId="0" fontId="32" fillId="74" borderId="216" xfId="0" applyNumberFormat="1" applyFont="1" applyFill="1" applyBorder="1"/>
    <x:xf numFmtId="0" fontId="32" fillId="74" borderId="209" xfId="0" applyNumberFormat="1" applyFont="1" applyFill="1" applyBorder="1" applyAlignment="1">
      <x:alignment wrapText="1"/>
    </x:xf>
    <x:xf numFmtId="0" fontId="32" fillId="74" borderId="210" xfId="0" applyNumberFormat="1" applyFont="1" applyFill="1" applyBorder="1" applyAlignment="1">
      <x:alignment wrapText="1"/>
    </x:xf>
    <x:xf numFmtId="0" fontId="32" fillId="74" borderId="211" xfId="0" applyNumberFormat="1" applyFont="1" applyFill="1" applyBorder="1" applyAlignment="1">
      <x:alignment wrapText="1"/>
    </x:xf>
    <x:xf numFmtId="0" fontId="32" fillId="74" borderId="212" xfId="0" applyNumberFormat="1" applyFont="1" applyFill="1" applyBorder="1" applyAlignment="1">
      <x:alignment wrapText="1"/>
    </x:xf>
    <x:xf numFmtId="0" fontId="32" fillId="74" xfId="0" applyNumberFormat="1" applyFont="1" applyFill="1" applyBorder="0" applyAlignment="1">
      <x:alignment wrapText="1"/>
    </x:xf>
    <x:xf numFmtId="0" fontId="32" fillId="74" borderId="213" xfId="0" applyNumberFormat="1" applyFont="1" applyFill="1" applyBorder="1" applyAlignment="1">
      <x:alignment wrapText="1"/>
    </x:xf>
    <x:xf numFmtId="0" fontId="32" fillId="74" borderId="214" xfId="0" applyNumberFormat="1" applyFont="1" applyFill="1" applyBorder="1" applyAlignment="1">
      <x:alignment wrapText="1"/>
    </x:xf>
    <x:xf numFmtId="0" fontId="32" fillId="74" borderId="215" xfId="0" applyNumberFormat="1" applyFont="1" applyFill="1" applyBorder="1" applyAlignment="1">
      <x:alignment wrapText="1"/>
    </x:xf>
    <x:xf numFmtId="0" fontId="32" fillId="74" borderId="216" xfId="0" applyNumberFormat="1" applyFont="1" applyFill="1" applyBorder="1" applyAlignment="1">
      <x:alignment wrapText="1"/>
    </x:xf>
    <x:xf numFmtId="0" fontId="32" fillId="74" borderId="209" xfId="0" applyNumberFormat="1" applyFont="1" applyFill="1" applyBorder="1" applyAlignment="1">
      <x:alignment horizontal="center" wrapText="1"/>
    </x:xf>
    <x:xf numFmtId="0" fontId="32" fillId="74" borderId="210" xfId="0" applyNumberFormat="1" applyFont="1" applyFill="1" applyBorder="1" applyAlignment="1">
      <x:alignment horizontal="center" wrapText="1"/>
    </x:xf>
    <x:xf numFmtId="0" fontId="32" fillId="74" borderId="211" xfId="0" applyNumberFormat="1" applyFont="1" applyFill="1" applyBorder="1" applyAlignment="1">
      <x:alignment horizontal="center" wrapText="1"/>
    </x:xf>
    <x:xf numFmtId="0" fontId="32" fillId="74" borderId="212" xfId="0" applyNumberFormat="1" applyFont="1" applyFill="1" applyBorder="1" applyAlignment="1">
      <x:alignment horizontal="center" wrapText="1"/>
    </x:xf>
    <x:xf numFmtId="0" fontId="32" fillId="74" xfId="0" applyNumberFormat="1" applyFont="1" applyFill="1" applyBorder="0" applyAlignment="1">
      <x:alignment horizontal="center" wrapText="1"/>
    </x:xf>
    <x:xf numFmtId="0" fontId="32" fillId="74" borderId="213" xfId="0" applyNumberFormat="1" applyFont="1" applyFill="1" applyBorder="1" applyAlignment="1">
      <x:alignment horizontal="center" wrapText="1"/>
    </x:xf>
    <x:xf numFmtId="0" fontId="32" fillId="74" borderId="214" xfId="0" applyNumberFormat="1" applyFont="1" applyFill="1" applyBorder="1" applyAlignment="1">
      <x:alignment horizontal="center" wrapText="1"/>
    </x:xf>
    <x:xf numFmtId="0" fontId="32" fillId="74" borderId="215" xfId="0" applyNumberFormat="1" applyFont="1" applyFill="1" applyBorder="1" applyAlignment="1">
      <x:alignment horizontal="center" wrapText="1"/>
    </x:xf>
    <x:xf numFmtId="0" fontId="32" fillId="74" borderId="216" xfId="0" applyNumberFormat="1" applyFont="1" applyFill="1" applyBorder="1" applyAlignment="1">
      <x:alignment horizontal="center" wrapText="1"/>
    </x:xf>
    <x:xf numFmtId="0" fontId="32" fillId="74" borderId="209" xfId="0" applyNumberFormat="1" applyFont="1" applyFill="1" applyBorder="1" applyAlignment="1">
      <x:alignment horizontal="center" vertical="center" wrapText="1"/>
    </x:xf>
    <x:xf numFmtId="0" fontId="32" fillId="74" borderId="210" xfId="0" applyNumberFormat="1" applyFont="1" applyFill="1" applyBorder="1" applyAlignment="1">
      <x:alignment horizontal="center" vertical="center" wrapText="1"/>
    </x:xf>
    <x:xf numFmtId="0" fontId="32" fillId="74" borderId="211" xfId="0" applyNumberFormat="1" applyFont="1" applyFill="1" applyBorder="1" applyAlignment="1">
      <x:alignment horizontal="center" vertical="center" wrapText="1"/>
    </x:xf>
    <x:xf numFmtId="0" fontId="32" fillId="74" borderId="212" xfId="0" applyNumberFormat="1" applyFont="1" applyFill="1" applyBorder="1" applyAlignment="1">
      <x:alignment horizontal="center" vertical="center" wrapText="1"/>
    </x:xf>
    <x:xf numFmtId="0" fontId="32" fillId="74" xfId="0" applyNumberFormat="1" applyFont="1" applyFill="1" applyBorder="0" applyAlignment="1">
      <x:alignment horizontal="center" vertical="center" wrapText="1"/>
    </x:xf>
    <x:xf numFmtId="0" fontId="32" fillId="74" borderId="213" xfId="0" applyNumberFormat="1" applyFont="1" applyFill="1" applyBorder="1" applyAlignment="1">
      <x:alignment horizontal="center" vertical="center" wrapText="1"/>
    </x:xf>
    <x:xf numFmtId="0" fontId="32" fillId="74" borderId="214" xfId="0" applyNumberFormat="1" applyFont="1" applyFill="1" applyBorder="1" applyAlignment="1">
      <x:alignment horizontal="center" vertical="center" wrapText="1"/>
    </x:xf>
    <x:xf numFmtId="0" fontId="32" fillId="74" borderId="215" xfId="0" applyNumberFormat="1" applyFont="1" applyFill="1" applyBorder="1" applyAlignment="1">
      <x:alignment horizontal="center" vertical="center" wrapText="1"/>
    </x:xf>
    <x:xf numFmtId="0" fontId="32" fillId="74" borderId="216" xfId="0" applyNumberFormat="1" applyFont="1" applyFill="1" applyBorder="1" applyAlignment="1">
      <x:alignment horizontal="center" vertical="center" wrapText="1"/>
    </x:xf>
    <x:xf numFmtId="0" fontId="0" fillId="75" borderId="0" xfId="0" applyNumberFormat="1" applyFont="1" applyFill="1" applyBorder="1"/>
    <x:xf numFmtId="0" fontId="32" fillId="75" borderId="0" xfId="0" applyNumberFormat="1" applyFont="1" applyFill="1" applyBorder="1"/>
    <x:xf numFmtId="0" fontId="32" fillId="75" borderId="209" xfId="0" applyNumberFormat="1" applyFont="1" applyFill="1" applyBorder="1"/>
    <x:xf numFmtId="0" fontId="32" fillId="75" borderId="210" xfId="0" applyNumberFormat="1" applyFont="1" applyFill="1" applyBorder="1"/>
    <x:xf numFmtId="0" fontId="32" fillId="75" borderId="211" xfId="0" applyNumberFormat="1" applyFont="1" applyFill="1" applyBorder="1"/>
    <x:xf numFmtId="0" fontId="32" fillId="75" borderId="212" xfId="0" applyNumberFormat="1" applyFont="1" applyFill="1" applyBorder="1"/>
    <x:xf numFmtId="0" fontId="32" fillId="75" xfId="0" applyNumberFormat="1" applyFont="1" applyFill="1" applyBorder="0"/>
    <x:xf numFmtId="0" fontId="32" fillId="75" borderId="213" xfId="0" applyNumberFormat="1" applyFont="1" applyFill="1" applyBorder="1"/>
    <x:xf numFmtId="0" fontId="32" fillId="75" borderId="214" xfId="0" applyNumberFormat="1" applyFont="1" applyFill="1" applyBorder="1"/>
    <x:xf numFmtId="0" fontId="32" fillId="75" borderId="215" xfId="0" applyNumberFormat="1" applyFont="1" applyFill="1" applyBorder="1"/>
    <x:xf numFmtId="0" fontId="32" fillId="75" borderId="216" xfId="0" applyNumberFormat="1" applyFont="1" applyFill="1" applyBorder="1"/>
    <x:xf numFmtId="0" fontId="32" fillId="75" borderId="209" xfId="0" applyNumberFormat="1" applyFont="1" applyFill="1" applyBorder="1" applyAlignment="1">
      <x:alignment wrapText="1"/>
    </x:xf>
    <x:xf numFmtId="0" fontId="32" fillId="75" borderId="210" xfId="0" applyNumberFormat="1" applyFont="1" applyFill="1" applyBorder="1" applyAlignment="1">
      <x:alignment wrapText="1"/>
    </x:xf>
    <x:xf numFmtId="0" fontId="32" fillId="75" borderId="211" xfId="0" applyNumberFormat="1" applyFont="1" applyFill="1" applyBorder="1" applyAlignment="1">
      <x:alignment wrapText="1"/>
    </x:xf>
    <x:xf numFmtId="0" fontId="32" fillId="75" borderId="212" xfId="0" applyNumberFormat="1" applyFont="1" applyFill="1" applyBorder="1" applyAlignment="1">
      <x:alignment wrapText="1"/>
    </x:xf>
    <x:xf numFmtId="0" fontId="32" fillId="75" xfId="0" applyNumberFormat="1" applyFont="1" applyFill="1" applyBorder="0" applyAlignment="1">
      <x:alignment wrapText="1"/>
    </x:xf>
    <x:xf numFmtId="0" fontId="32" fillId="75" borderId="213" xfId="0" applyNumberFormat="1" applyFont="1" applyFill="1" applyBorder="1" applyAlignment="1">
      <x:alignment wrapText="1"/>
    </x:xf>
    <x:xf numFmtId="0" fontId="32" fillId="75" borderId="214" xfId="0" applyNumberFormat="1" applyFont="1" applyFill="1" applyBorder="1" applyAlignment="1">
      <x:alignment wrapText="1"/>
    </x:xf>
    <x:xf numFmtId="0" fontId="32" fillId="75" borderId="215" xfId="0" applyNumberFormat="1" applyFont="1" applyFill="1" applyBorder="1" applyAlignment="1">
      <x:alignment wrapText="1"/>
    </x:xf>
    <x:xf numFmtId="0" fontId="32" fillId="75" borderId="216" xfId="0" applyNumberFormat="1" applyFont="1" applyFill="1" applyBorder="1" applyAlignment="1">
      <x:alignment wrapText="1"/>
    </x:xf>
    <x:xf numFmtId="0" fontId="32" fillId="75" borderId="209" xfId="0" applyNumberFormat="1" applyFont="1" applyFill="1" applyBorder="1" applyAlignment="1">
      <x:alignment horizontal="center" wrapText="1"/>
    </x:xf>
    <x:xf numFmtId="0" fontId="32" fillId="75" borderId="210" xfId="0" applyNumberFormat="1" applyFont="1" applyFill="1" applyBorder="1" applyAlignment="1">
      <x:alignment horizontal="center" wrapText="1"/>
    </x:xf>
    <x:xf numFmtId="0" fontId="32" fillId="75" borderId="211" xfId="0" applyNumberFormat="1" applyFont="1" applyFill="1" applyBorder="1" applyAlignment="1">
      <x:alignment horizontal="center" wrapText="1"/>
    </x:xf>
    <x:xf numFmtId="0" fontId="32" fillId="75" borderId="212" xfId="0" applyNumberFormat="1" applyFont="1" applyFill="1" applyBorder="1" applyAlignment="1">
      <x:alignment horizontal="center" wrapText="1"/>
    </x:xf>
    <x:xf numFmtId="0" fontId="32" fillId="75" xfId="0" applyNumberFormat="1" applyFont="1" applyFill="1" applyBorder="0" applyAlignment="1">
      <x:alignment horizontal="center" wrapText="1"/>
    </x:xf>
    <x:xf numFmtId="0" fontId="32" fillId="75" borderId="213" xfId="0" applyNumberFormat="1" applyFont="1" applyFill="1" applyBorder="1" applyAlignment="1">
      <x:alignment horizontal="center" wrapText="1"/>
    </x:xf>
    <x:xf numFmtId="0" fontId="32" fillId="75" borderId="214" xfId="0" applyNumberFormat="1" applyFont="1" applyFill="1" applyBorder="1" applyAlignment="1">
      <x:alignment horizontal="center" wrapText="1"/>
    </x:xf>
    <x:xf numFmtId="0" fontId="32" fillId="75" borderId="215" xfId="0" applyNumberFormat="1" applyFont="1" applyFill="1" applyBorder="1" applyAlignment="1">
      <x:alignment horizontal="center" wrapText="1"/>
    </x:xf>
    <x:xf numFmtId="0" fontId="32" fillId="75" borderId="216" xfId="0" applyNumberFormat="1" applyFont="1" applyFill="1" applyBorder="1" applyAlignment="1">
      <x:alignment horizontal="center" wrapText="1"/>
    </x:xf>
    <x:xf numFmtId="0" fontId="32" fillId="75" borderId="209" xfId="0" applyNumberFormat="1" applyFont="1" applyFill="1" applyBorder="1" applyAlignment="1">
      <x:alignment horizontal="center" vertical="center" wrapText="1"/>
    </x:xf>
    <x:xf numFmtId="0" fontId="32" fillId="75" borderId="210" xfId="0" applyNumberFormat="1" applyFont="1" applyFill="1" applyBorder="1" applyAlignment="1">
      <x:alignment horizontal="center" vertical="center" wrapText="1"/>
    </x:xf>
    <x:xf numFmtId="0" fontId="32" fillId="75" borderId="211" xfId="0" applyNumberFormat="1" applyFont="1" applyFill="1" applyBorder="1" applyAlignment="1">
      <x:alignment horizontal="center" vertical="center" wrapText="1"/>
    </x:xf>
    <x:xf numFmtId="0" fontId="32" fillId="75" borderId="212" xfId="0" applyNumberFormat="1" applyFont="1" applyFill="1" applyBorder="1" applyAlignment="1">
      <x:alignment horizontal="center" vertical="center" wrapText="1"/>
    </x:xf>
    <x:xf numFmtId="0" fontId="32" fillId="75" xfId="0" applyNumberFormat="1" applyFont="1" applyFill="1" applyBorder="0" applyAlignment="1">
      <x:alignment horizontal="center" vertical="center" wrapText="1"/>
    </x:xf>
    <x:xf numFmtId="0" fontId="32" fillId="75" borderId="213" xfId="0" applyNumberFormat="1" applyFont="1" applyFill="1" applyBorder="1" applyAlignment="1">
      <x:alignment horizontal="center" vertical="center" wrapText="1"/>
    </x:xf>
    <x:xf numFmtId="0" fontId="32" fillId="75" borderId="214" xfId="0" applyNumberFormat="1" applyFont="1" applyFill="1" applyBorder="1" applyAlignment="1">
      <x:alignment horizontal="center" vertical="center" wrapText="1"/>
    </x:xf>
    <x:xf numFmtId="0" fontId="32" fillId="75" borderId="215" xfId="0" applyNumberFormat="1" applyFont="1" applyFill="1" applyBorder="1" applyAlignment="1">
      <x:alignment horizontal="center" vertical="center" wrapText="1"/>
    </x:xf>
    <x:xf numFmtId="0" fontId="32" fillId="75" borderId="216" xfId="0" applyNumberFormat="1" applyFont="1" applyFill="1" applyBorder="1" applyAlignment="1">
      <x:alignment horizontal="center" vertical="center" wrapText="1"/>
    </x:xf>
    <x:xf numFmtId="0" fontId="35" fillId="70" borderId="0" xfId="0" applyNumberFormat="1" applyFont="1" applyFill="1" applyBorder="1"/>
    <x:xf numFmtId="0" fontId="35" fillId="70" borderId="0" xfId="0" applyNumberFormat="1" applyFont="1" applyFill="1" applyBorder="1" applyAlignment="1">
      <x:alignment wrapText="1"/>
    </x:xf>
    <x:xf numFmtId="0" fontId="35" fillId="70" borderId="0" xfId="0" applyNumberFormat="1" applyFont="1" applyFill="1" applyBorder="1" applyAlignment="1">
      <x:alignment vertical="center" wrapText="1"/>
    </x:xf>
    <x:xf numFmtId="0" fontId="40" fillId="14" borderId="181" xfId="0" applyNumberFormat="1" applyFont="1" applyFill="1" applyBorder="1"/>
    <x:xf numFmtId="0" fontId="40" fillId="35" borderId="182" xfId="0" applyNumberFormat="1" applyFont="1" applyFill="1" applyBorder="1" applyAlignment="1">
      <x:alignment horizontal="center" vertical="center" wrapText="1"/>
    </x:xf>
    <x:xf numFmtId="0" fontId="40" fillId="35" borderId="183" xfId="0" applyNumberFormat="1" applyFont="1" applyFill="1" applyBorder="1" applyAlignment="1">
      <x:alignment horizontal="center" vertical="center" wrapText="1"/>
    </x:xf>
    <x:xf numFmtId="0" fontId="40" fillId="35" borderId="184" xfId="0" applyNumberFormat="1" applyFont="1" applyFill="1" applyBorder="1" applyAlignment="1">
      <x:alignment horizontal="center" vertical="center" wrapText="1"/>
    </x:xf>
    <x:xf numFmtId="0" fontId="40" fillId="14" borderId="182" xfId="0" applyNumberFormat="1" applyFont="1" applyFill="1" applyBorder="1" applyAlignment="1">
      <x:alignment horizontal="center" vertical="center" wrapText="1"/>
    </x:xf>
    <x:xf numFmtId="0" fontId="40" fillId="14" borderId="183" xfId="0" applyNumberFormat="1" applyFont="1" applyFill="1" applyBorder="1" applyAlignment="1">
      <x:alignment horizontal="center" vertical="center" wrapText="1"/>
    </x:xf>
    <x:xf numFmtId="0" fontId="40" fillId="14" borderId="184" xfId="0" applyNumberFormat="1" applyFont="1" applyFill="1" applyBorder="1" applyAlignment="1">
      <x:alignment horizontal="center" vertical="center" wrapText="1"/>
    </x:xf>
    <x:xf numFmtId="0" fontId="40" fillId="40" borderId="182" xfId="0" applyNumberFormat="1" applyFont="1" applyFill="1" applyBorder="1" applyAlignment="1">
      <x:alignment horizontal="center" vertical="center" wrapText="1"/>
    </x:xf>
    <x:xf numFmtId="0" fontId="40" fillId="40" borderId="183" xfId="0" applyNumberFormat="1" applyFont="1" applyFill="1" applyBorder="1" applyAlignment="1">
      <x:alignment horizontal="center" vertical="center" wrapText="1"/>
    </x:xf>
    <x:xf numFmtId="0" fontId="40" fillId="40" borderId="184" xfId="0" applyNumberFormat="1" applyFont="1" applyFill="1" applyBorder="1" applyAlignment="1">
      <x:alignment horizontal="center" vertical="center" wrapText="1"/>
    </x:xf>
    <x:xf numFmtId="0" fontId="40" fillId="35" borderId="185" xfId="0" applyNumberFormat="1" applyFont="1" applyFill="1" applyBorder="1" applyAlignment="1">
      <x:alignment horizontal="center" vertical="center" wrapText="1"/>
    </x:xf>
    <x:xf numFmtId="0" fontId="40" fillId="35" borderId="186" xfId="0" applyNumberFormat="1" applyFont="1" applyFill="1" applyBorder="1" applyAlignment="1">
      <x:alignment horizontal="center" vertical="center" wrapText="1"/>
    </x:xf>
    <x:xf numFmtId="0" fontId="40" fillId="14" borderId="185" xfId="0" applyNumberFormat="1" applyFont="1" applyFill="1" applyBorder="1" applyAlignment="1">
      <x:alignment horizontal="center" vertical="center" wrapText="1"/>
    </x:xf>
    <x:xf numFmtId="0" fontId="40" fillId="14" borderId="186" xfId="0" applyNumberFormat="1" applyFont="1" applyFill="1" applyBorder="1" applyAlignment="1">
      <x:alignment horizontal="center" vertical="center" wrapText="1"/>
    </x:xf>
    <x:xf numFmtId="0" fontId="40" fillId="40" borderId="185" xfId="0" applyNumberFormat="1" applyFont="1" applyFill="1" applyBorder="1" applyAlignment="1">
      <x:alignment horizontal="center" vertical="center" wrapText="1"/>
    </x:xf>
    <x:xf numFmtId="0" fontId="40" fillId="40" borderId="186" xfId="0" applyNumberFormat="1" applyFont="1" applyFill="1" applyBorder="1" applyAlignment="1">
      <x:alignment horizontal="center" vertical="center" wrapText="1"/>
    </x:xf>
    <x:xf numFmtId="0" fontId="40" fillId="35" borderId="187" xfId="0" applyNumberFormat="1" applyFont="1" applyFill="1" applyBorder="1" applyAlignment="1">
      <x:alignment horizontal="center" vertical="center" wrapText="1"/>
    </x:xf>
    <x:xf numFmtId="0" fontId="40" fillId="35" borderId="181" xfId="0" applyNumberFormat="1" applyFont="1" applyFill="1" applyBorder="1" applyAlignment="1">
      <x:alignment horizontal="center" vertical="center" wrapText="1"/>
    </x:xf>
    <x:xf numFmtId="0" fontId="40" fillId="35" borderId="188" xfId="0" applyNumberFormat="1" applyFont="1" applyFill="1" applyBorder="1" applyAlignment="1">
      <x:alignment horizontal="center" vertical="center" wrapText="1"/>
    </x:xf>
    <x:xf numFmtId="0" fontId="40" fillId="14" borderId="187" xfId="0" applyNumberFormat="1" applyFont="1" applyFill="1" applyBorder="1" applyAlignment="1">
      <x:alignment horizontal="center" vertical="center" wrapText="1"/>
    </x:xf>
    <x:xf numFmtId="0" fontId="40" fillId="14" borderId="181" xfId="0" applyNumberFormat="1" applyFont="1" applyFill="1" applyBorder="1" applyAlignment="1">
      <x:alignment horizontal="center" vertical="center" wrapText="1"/>
    </x:xf>
    <x:xf numFmtId="0" fontId="40" fillId="14" borderId="188" xfId="0" applyNumberFormat="1" applyFont="1" applyFill="1" applyBorder="1" applyAlignment="1">
      <x:alignment horizontal="center" vertical="center" wrapText="1"/>
    </x:xf>
    <x:xf numFmtId="0" fontId="40" fillId="40" borderId="187" xfId="0" applyNumberFormat="1" applyFont="1" applyFill="1" applyBorder="1" applyAlignment="1">
      <x:alignment horizontal="center" vertical="center" wrapText="1"/>
    </x:xf>
    <x:xf numFmtId="0" fontId="40" fillId="40" borderId="181" xfId="0" applyNumberFormat="1" applyFont="1" applyFill="1" applyBorder="1" applyAlignment="1">
      <x:alignment horizontal="center" vertical="center" wrapText="1"/>
    </x:xf>
    <x:xf numFmtId="0" fontId="40" fillId="40" borderId="188" xfId="0" applyNumberFormat="1" applyFont="1" applyFill="1" applyBorder="1" applyAlignment="1">
      <x:alignment horizontal="center" vertical="center" wrapText="1"/>
    </x:xf>
    <x:xf numFmtId="0" fontId="40" fillId="23" borderId="182" xfId="0" applyNumberFormat="1" applyFont="1" applyFill="1" applyBorder="1" applyAlignment="1">
      <x:alignment horizontal="center" vertical="center" wrapText="1"/>
    </x:xf>
    <x:xf numFmtId="0" fontId="40" fillId="23" borderId="183" xfId="0" applyNumberFormat="1" applyFont="1" applyFill="1" applyBorder="1" applyAlignment="1">
      <x:alignment horizontal="center" vertical="center" wrapText="1"/>
    </x:xf>
    <x:xf numFmtId="0" fontId="40" fillId="23" borderId="184" xfId="0" applyNumberFormat="1" applyFont="1" applyFill="1" applyBorder="1" applyAlignment="1">
      <x:alignment horizontal="center" vertical="center" wrapText="1"/>
    </x:xf>
    <x:xf numFmtId="0" fontId="40" fillId="23" borderId="185" xfId="0" applyNumberFormat="1" applyFont="1" applyFill="1" applyBorder="1" applyAlignment="1">
      <x:alignment horizontal="center" vertical="center" wrapText="1"/>
    </x:xf>
    <x:xf numFmtId="0" fontId="40" fillId="23" borderId="186" xfId="0" applyNumberFormat="1" applyFont="1" applyFill="1" applyBorder="1" applyAlignment="1">
      <x:alignment horizontal="center" vertical="center" wrapText="1"/>
    </x:xf>
    <x:xf numFmtId="0" fontId="40" fillId="23" borderId="187" xfId="0" applyNumberFormat="1" applyFont="1" applyFill="1" applyBorder="1" applyAlignment="1">
      <x:alignment horizontal="center" vertical="center" wrapText="1"/>
    </x:xf>
    <x:xf numFmtId="0" fontId="40" fillId="23" borderId="181" xfId="0" applyNumberFormat="1" applyFont="1" applyFill="1" applyBorder="1" applyAlignment="1">
      <x:alignment horizontal="center" vertical="center" wrapText="1"/>
    </x:xf>
    <x:xf numFmtId="0" fontId="40" fillId="23" borderId="188" xfId="0" applyNumberFormat="1" applyFont="1" applyFill="1" applyBorder="1" applyAlignment="1">
      <x:alignment horizontal="center" vertical="center" wrapText="1"/>
    </x:xf>
    <x:xf numFmtId="0" fontId="40" fillId="53" borderId="182" xfId="0" applyNumberFormat="1" applyFont="1" applyFill="1" applyBorder="1" applyAlignment="1">
      <x:alignment horizontal="center" vertical="center" wrapText="1"/>
    </x:xf>
    <x:xf numFmtId="0" fontId="40" fillId="53" borderId="184" xfId="0" applyNumberFormat="1" applyFont="1" applyFill="1" applyBorder="1" applyAlignment="1">
      <x:alignment horizontal="center" vertical="center" wrapText="1"/>
    </x:xf>
    <x:xf numFmtId="0" fontId="40" fillId="53" borderId="185" xfId="0" applyNumberFormat="1" applyFont="1" applyFill="1" applyBorder="1" applyAlignment="1">
      <x:alignment horizontal="center" vertical="center" wrapText="1"/>
    </x:xf>
    <x:xf numFmtId="0" fontId="40" fillId="53" borderId="186" xfId="0" applyNumberFormat="1" applyFont="1" applyFill="1" applyBorder="1" applyAlignment="1">
      <x:alignment horizontal="center" vertical="center" wrapText="1"/>
    </x:xf>
    <x:xf numFmtId="0" fontId="40" fillId="53" borderId="187" xfId="0" applyNumberFormat="1" applyFont="1" applyFill="1" applyBorder="1" applyAlignment="1">
      <x:alignment horizontal="center" vertical="center" wrapText="1"/>
    </x:xf>
    <x:xf numFmtId="0" fontId="40" fillId="53" borderId="188" xfId="0" applyNumberFormat="1" applyFont="1" applyFill="1" applyBorder="1" applyAlignment="1">
      <x:alignment horizontal="center" vertical="center" wrapText="1"/>
    </x:xf>
    <x:xf numFmtId="0" fontId="40" fillId="72" borderId="0" xfId="0" applyNumberFormat="1" applyFont="1" applyFill="1" applyBorder="1"/>
    <x:xf numFmtId="0" fontId="40" fillId="73" borderId="202" xfId="0" applyNumberFormat="1" applyFont="1" applyFill="1" applyBorder="1" applyAlignment="1">
      <x:alignment horizontal="center" vertical="center" wrapText="1"/>
    </x:xf>
    <x:xf numFmtId="0" fontId="40" fillId="73" borderId="203" xfId="0" applyNumberFormat="1" applyFont="1" applyFill="1" applyBorder="1" applyAlignment="1">
      <x:alignment horizontal="center" vertical="center" wrapText="1"/>
    </x:xf>
    <x:xf numFmtId="0" fontId="40" fillId="73" borderId="204" xfId="0" applyNumberFormat="1" applyFont="1" applyFill="1" applyBorder="1" applyAlignment="1">
      <x:alignment horizontal="center" vertical="center" wrapText="1"/>
    </x:xf>
    <x:xf numFmtId="0" fontId="40" fillId="74" borderId="209" xfId="0" applyNumberFormat="1" applyFont="1" applyFill="1" applyBorder="1" applyAlignment="1">
      <x:alignment horizontal="center" vertical="center" wrapText="1"/>
    </x:xf>
    <x:xf numFmtId="0" fontId="40" fillId="74" borderId="210" xfId="0" applyNumberFormat="1" applyFont="1" applyFill="1" applyBorder="1" applyAlignment="1">
      <x:alignment horizontal="center" vertical="center" wrapText="1"/>
    </x:xf>
    <x:xf numFmtId="0" fontId="40" fillId="74" borderId="211" xfId="0" applyNumberFormat="1" applyFont="1" applyFill="1" applyBorder="1" applyAlignment="1">
      <x:alignment horizontal="center" vertical="center" wrapText="1"/>
    </x:xf>
    <x:xf numFmtId="0" fontId="40" fillId="75" borderId="209" xfId="0" applyNumberFormat="1" applyFont="1" applyFill="1" applyBorder="1" applyAlignment="1">
      <x:alignment horizontal="center" vertical="center" wrapText="1"/>
    </x:xf>
    <x:xf numFmtId="0" fontId="40" fillId="75" borderId="210" xfId="0" applyNumberFormat="1" applyFont="1" applyFill="1" applyBorder="1" applyAlignment="1">
      <x:alignment horizontal="center" vertical="center" wrapText="1"/>
    </x:xf>
    <x:xf numFmtId="0" fontId="40" fillId="75" borderId="211" xfId="0" applyNumberFormat="1" applyFont="1" applyFill="1" applyBorder="1" applyAlignment="1">
      <x:alignment horizontal="center" vertical="center" wrapText="1"/>
    </x:xf>
    <x:xf numFmtId="0" fontId="40" fillId="73" borderId="205" xfId="0" applyNumberFormat="1" applyFont="1" applyFill="1" applyBorder="1" applyAlignment="1">
      <x:alignment horizontal="center" vertical="center" wrapText="1"/>
    </x:xf>
    <x:xf numFmtId="0" fontId="40" fillId="73" xfId="0" applyNumberFormat="1" applyFont="1" applyFill="1" applyBorder="0" applyAlignment="1">
      <x:alignment horizontal="center" vertical="center" wrapText="1"/>
    </x:xf>
    <x:xf numFmtId="0" fontId="40" fillId="73" borderId="206" xfId="0" applyNumberFormat="1" applyFont="1" applyFill="1" applyBorder="1" applyAlignment="1">
      <x:alignment horizontal="center" vertical="center" wrapText="1"/>
    </x:xf>
    <x:xf numFmtId="0" fontId="40" fillId="74" borderId="212" xfId="0" applyNumberFormat="1" applyFont="1" applyFill="1" applyBorder="1" applyAlignment="1">
      <x:alignment horizontal="center" vertical="center" wrapText="1"/>
    </x:xf>
    <x:xf numFmtId="0" fontId="40" fillId="74" xfId="0" applyNumberFormat="1" applyFont="1" applyFill="1" applyBorder="0" applyAlignment="1">
      <x:alignment horizontal="center" vertical="center" wrapText="1"/>
    </x:xf>
    <x:xf numFmtId="0" fontId="40" fillId="74" borderId="213" xfId="0" applyNumberFormat="1" applyFont="1" applyFill="1" applyBorder="1" applyAlignment="1">
      <x:alignment horizontal="center" vertical="center" wrapText="1"/>
    </x:xf>
    <x:xf numFmtId="0" fontId="40" fillId="75" borderId="212" xfId="0" applyNumberFormat="1" applyFont="1" applyFill="1" applyBorder="1" applyAlignment="1">
      <x:alignment horizontal="center" vertical="center" wrapText="1"/>
    </x:xf>
    <x:xf numFmtId="0" fontId="40" fillId="75" xfId="0" applyNumberFormat="1" applyFont="1" applyFill="1" applyBorder="0" applyAlignment="1">
      <x:alignment horizontal="center" vertical="center" wrapText="1"/>
    </x:xf>
    <x:xf numFmtId="0" fontId="40" fillId="75" borderId="213" xfId="0" applyNumberFormat="1" applyFont="1" applyFill="1" applyBorder="1" applyAlignment="1">
      <x:alignment horizontal="center" vertical="center" wrapText="1"/>
    </x:xf>
    <x:xf numFmtId="0" fontId="40" fillId="73" borderId="207" xfId="0" applyNumberFormat="1" applyFont="1" applyFill="1" applyBorder="1" applyAlignment="1">
      <x:alignment horizontal="center" vertical="center" wrapText="1"/>
    </x:xf>
    <x:xf numFmtId="0" fontId="40" fillId="73" borderId="201" xfId="0" applyNumberFormat="1" applyFont="1" applyFill="1" applyBorder="1" applyAlignment="1">
      <x:alignment horizontal="center" vertical="center" wrapText="1"/>
    </x:xf>
    <x:xf numFmtId="0" fontId="40" fillId="73" borderId="208" xfId="0" applyNumberFormat="1" applyFont="1" applyFill="1" applyBorder="1" applyAlignment="1">
      <x:alignment horizontal="center" vertical="center" wrapText="1"/>
    </x:xf>
    <x:xf numFmtId="0" fontId="40" fillId="74" borderId="214" xfId="0" applyNumberFormat="1" applyFont="1" applyFill="1" applyBorder="1" applyAlignment="1">
      <x:alignment horizontal="center" vertical="center" wrapText="1"/>
    </x:xf>
    <x:xf numFmtId="0" fontId="40" fillId="74" borderId="215" xfId="0" applyNumberFormat="1" applyFont="1" applyFill="1" applyBorder="1" applyAlignment="1">
      <x:alignment horizontal="center" vertical="center" wrapText="1"/>
    </x:xf>
    <x:xf numFmtId="0" fontId="40" fillId="74" borderId="216" xfId="0" applyNumberFormat="1" applyFont="1" applyFill="1" applyBorder="1" applyAlignment="1">
      <x:alignment horizontal="center" vertical="center" wrapText="1"/>
    </x:xf>
    <x:xf numFmtId="0" fontId="40" fillId="75" borderId="214" xfId="0" applyNumberFormat="1" applyFont="1" applyFill="1" applyBorder="1" applyAlignment="1">
      <x:alignment horizontal="center" vertical="center" wrapText="1"/>
    </x:xf>
    <x:xf numFmtId="0" fontId="40" fillId="75" borderId="215" xfId="0" applyNumberFormat="1" applyFont="1" applyFill="1" applyBorder="1" applyAlignment="1">
      <x:alignment horizontal="center" vertical="center" wrapText="1"/>
    </x:xf>
    <x:xf numFmtId="0" fontId="40" fillId="75" borderId="216" xfId="0" applyNumberFormat="1" applyFont="1" applyFill="1" applyBorder="1" applyAlignment="1">
      <x:alignment horizontal="center" vertical="center" wrapText="1"/>
    </x:xf>
    <x:xf numFmtId="0" fontId="41" fillId="70" borderId="0" xfId="0" applyNumberFormat="1" applyFont="1" applyFill="1" applyBorder="1" applyAlignment="1">
      <x:alignment vertical="center" wrapText="1"/>
    </x:xf>
    <x:xf numFmtId="0" fontId="32" fillId="74" borderId="202" xfId="0" applyNumberFormat="1" applyFont="1" applyFill="1" applyBorder="1"/>
    <x:xf numFmtId="0" fontId="32" fillId="74" borderId="203" xfId="0" applyNumberFormat="1" applyFont="1" applyFill="1" applyBorder="1"/>
    <x:xf numFmtId="0" fontId="32" fillId="74" borderId="204" xfId="0" applyNumberFormat="1" applyFont="1" applyFill="1" applyBorder="1"/>
    <x:xf numFmtId="0" fontId="32" fillId="74" borderId="205" xfId="0" applyNumberFormat="1" applyFont="1" applyFill="1" applyBorder="1"/>
    <x:xf numFmtId="0" fontId="32" fillId="74" borderId="206" xfId="0" applyNumberFormat="1" applyFont="1" applyFill="1" applyBorder="1"/>
    <x:xf numFmtId="0" fontId="32" fillId="74" borderId="207" xfId="0" applyNumberFormat="1" applyFont="1" applyFill="1" applyBorder="1"/>
    <x:xf numFmtId="0" fontId="32" fillId="74" borderId="201" xfId="0" applyNumberFormat="1" applyFont="1" applyFill="1" applyBorder="1"/>
    <x:xf numFmtId="0" fontId="32" fillId="74" borderId="208" xfId="0" applyNumberFormat="1" applyFont="1" applyFill="1" applyBorder="1"/>
    <x:xf numFmtId="0" fontId="32" fillId="74" borderId="202" xfId="0" applyNumberFormat="1" applyFont="1" applyFill="1" applyBorder="1" applyAlignment="1">
      <x:alignment wrapText="1"/>
    </x:xf>
    <x:xf numFmtId="0" fontId="32" fillId="74" borderId="203" xfId="0" applyNumberFormat="1" applyFont="1" applyFill="1" applyBorder="1" applyAlignment="1">
      <x:alignment wrapText="1"/>
    </x:xf>
    <x:xf numFmtId="0" fontId="32" fillId="74" borderId="204" xfId="0" applyNumberFormat="1" applyFont="1" applyFill="1" applyBorder="1" applyAlignment="1">
      <x:alignment wrapText="1"/>
    </x:xf>
    <x:xf numFmtId="0" fontId="32" fillId="74" borderId="205" xfId="0" applyNumberFormat="1" applyFont="1" applyFill="1" applyBorder="1" applyAlignment="1">
      <x:alignment wrapText="1"/>
    </x:xf>
    <x:xf numFmtId="0" fontId="32" fillId="74" borderId="206" xfId="0" applyNumberFormat="1" applyFont="1" applyFill="1" applyBorder="1" applyAlignment="1">
      <x:alignment wrapText="1"/>
    </x:xf>
    <x:xf numFmtId="0" fontId="32" fillId="74" borderId="207" xfId="0" applyNumberFormat="1" applyFont="1" applyFill="1" applyBorder="1" applyAlignment="1">
      <x:alignment wrapText="1"/>
    </x:xf>
    <x:xf numFmtId="0" fontId="32" fillId="74" borderId="201" xfId="0" applyNumberFormat="1" applyFont="1" applyFill="1" applyBorder="1" applyAlignment="1">
      <x:alignment wrapText="1"/>
    </x:xf>
    <x:xf numFmtId="0" fontId="32" fillId="74" borderId="208" xfId="0" applyNumberFormat="1" applyFont="1" applyFill="1" applyBorder="1" applyAlignment="1">
      <x:alignment wrapText="1"/>
    </x:xf>
    <x:xf numFmtId="0" fontId="32" fillId="74" borderId="202" xfId="0" applyNumberFormat="1" applyFont="1" applyFill="1" applyBorder="1" applyAlignment="1">
      <x:alignment horizontal="center" wrapText="1"/>
    </x:xf>
    <x:xf numFmtId="0" fontId="32" fillId="74" borderId="203" xfId="0" applyNumberFormat="1" applyFont="1" applyFill="1" applyBorder="1" applyAlignment="1">
      <x:alignment horizontal="center" wrapText="1"/>
    </x:xf>
    <x:xf numFmtId="0" fontId="32" fillId="74" borderId="204" xfId="0" applyNumberFormat="1" applyFont="1" applyFill="1" applyBorder="1" applyAlignment="1">
      <x:alignment horizontal="center" wrapText="1"/>
    </x:xf>
    <x:xf numFmtId="0" fontId="32" fillId="74" borderId="205" xfId="0" applyNumberFormat="1" applyFont="1" applyFill="1" applyBorder="1" applyAlignment="1">
      <x:alignment horizontal="center" wrapText="1"/>
    </x:xf>
    <x:xf numFmtId="0" fontId="32" fillId="74" borderId="206" xfId="0" applyNumberFormat="1" applyFont="1" applyFill="1" applyBorder="1" applyAlignment="1">
      <x:alignment horizontal="center" wrapText="1"/>
    </x:xf>
    <x:xf numFmtId="0" fontId="32" fillId="74" borderId="207" xfId="0" applyNumberFormat="1" applyFont="1" applyFill="1" applyBorder="1" applyAlignment="1">
      <x:alignment horizontal="center" wrapText="1"/>
    </x:xf>
    <x:xf numFmtId="0" fontId="32" fillId="74" borderId="201" xfId="0" applyNumberFormat="1" applyFont="1" applyFill="1" applyBorder="1" applyAlignment="1">
      <x:alignment horizontal="center" wrapText="1"/>
    </x:xf>
    <x:xf numFmtId="0" fontId="32" fillId="74" borderId="208" xfId="0" applyNumberFormat="1" applyFont="1" applyFill="1" applyBorder="1" applyAlignment="1">
      <x:alignment horizontal="center" wrapText="1"/>
    </x:xf>
    <x:xf numFmtId="0" fontId="32" fillId="74" borderId="202" xfId="0" applyNumberFormat="1" applyFont="1" applyFill="1" applyBorder="1" applyAlignment="1">
      <x:alignment horizontal="center" vertical="center" wrapText="1"/>
    </x:xf>
    <x:xf numFmtId="0" fontId="32" fillId="74" borderId="203" xfId="0" applyNumberFormat="1" applyFont="1" applyFill="1" applyBorder="1" applyAlignment="1">
      <x:alignment horizontal="center" vertical="center" wrapText="1"/>
    </x:xf>
    <x:xf numFmtId="0" fontId="32" fillId="74" borderId="204" xfId="0" applyNumberFormat="1" applyFont="1" applyFill="1" applyBorder="1" applyAlignment="1">
      <x:alignment horizontal="center" vertical="center" wrapText="1"/>
    </x:xf>
    <x:xf numFmtId="0" fontId="32" fillId="74" borderId="205" xfId="0" applyNumberFormat="1" applyFont="1" applyFill="1" applyBorder="1" applyAlignment="1">
      <x:alignment horizontal="center" vertical="center" wrapText="1"/>
    </x:xf>
    <x:xf numFmtId="0" fontId="32" fillId="74" borderId="206" xfId="0" applyNumberFormat="1" applyFont="1" applyFill="1" applyBorder="1" applyAlignment="1">
      <x:alignment horizontal="center" vertical="center" wrapText="1"/>
    </x:xf>
    <x:xf numFmtId="0" fontId="32" fillId="74" borderId="207" xfId="0" applyNumberFormat="1" applyFont="1" applyFill="1" applyBorder="1" applyAlignment="1">
      <x:alignment horizontal="center" vertical="center" wrapText="1"/>
    </x:xf>
    <x:xf numFmtId="0" fontId="32" fillId="74" borderId="201" xfId="0" applyNumberFormat="1" applyFont="1" applyFill="1" applyBorder="1" applyAlignment="1">
      <x:alignment horizontal="center" vertical="center" wrapText="1"/>
    </x:xf>
    <x:xf numFmtId="0" fontId="32" fillId="74" borderId="208" xfId="0" applyNumberFormat="1" applyFont="1" applyFill="1" applyBorder="1" applyAlignment="1">
      <x:alignment horizontal="center" vertical="center" wrapText="1"/>
    </x:xf>
    <x:xf numFmtId="0" fontId="32" fillId="69" borderId="0" xfId="0" applyNumberFormat="1" applyFont="1" applyFill="1" applyBorder="1"/>
    <x:xf numFmtId="0" fontId="32" fillId="69" borderId="202" xfId="0" applyNumberFormat="1" applyFont="1" applyFill="1" applyBorder="1"/>
    <x:xf numFmtId="0" fontId="32" fillId="69" borderId="203" xfId="0" applyNumberFormat="1" applyFont="1" applyFill="1" applyBorder="1"/>
    <x:xf numFmtId="0" fontId="32" fillId="69" borderId="204" xfId="0" applyNumberFormat="1" applyFont="1" applyFill="1" applyBorder="1"/>
    <x:xf numFmtId="0" fontId="32" fillId="69" borderId="205" xfId="0" applyNumberFormat="1" applyFont="1" applyFill="1" applyBorder="1"/>
    <x:xf numFmtId="0" fontId="32" fillId="69" xfId="0" applyNumberFormat="1" applyFont="1" applyFill="1" applyBorder="0"/>
    <x:xf numFmtId="0" fontId="32" fillId="69" borderId="206" xfId="0" applyNumberFormat="1" applyFont="1" applyFill="1" applyBorder="1"/>
    <x:xf numFmtId="0" fontId="32" fillId="69" borderId="207" xfId="0" applyNumberFormat="1" applyFont="1" applyFill="1" applyBorder="1"/>
    <x:xf numFmtId="0" fontId="32" fillId="69" borderId="201" xfId="0" applyNumberFormat="1" applyFont="1" applyFill="1" applyBorder="1"/>
    <x:xf numFmtId="0" fontId="32" fillId="69" borderId="208" xfId="0" applyNumberFormat="1" applyFont="1" applyFill="1" applyBorder="1"/>
    <x:xf numFmtId="0" fontId="32" fillId="69" borderId="202" xfId="0" applyNumberFormat="1" applyFont="1" applyFill="1" applyBorder="1" applyAlignment="1">
      <x:alignment wrapText="1"/>
    </x:xf>
    <x:xf numFmtId="0" fontId="32" fillId="69" borderId="203" xfId="0" applyNumberFormat="1" applyFont="1" applyFill="1" applyBorder="1" applyAlignment="1">
      <x:alignment wrapText="1"/>
    </x:xf>
    <x:xf numFmtId="0" fontId="32" fillId="69" borderId="204" xfId="0" applyNumberFormat="1" applyFont="1" applyFill="1" applyBorder="1" applyAlignment="1">
      <x:alignment wrapText="1"/>
    </x:xf>
    <x:xf numFmtId="0" fontId="32" fillId="69" borderId="205" xfId="0" applyNumberFormat="1" applyFont="1" applyFill="1" applyBorder="1" applyAlignment="1">
      <x:alignment wrapText="1"/>
    </x:xf>
    <x:xf numFmtId="0" fontId="32" fillId="69" xfId="0" applyNumberFormat="1" applyFont="1" applyFill="1" applyBorder="0" applyAlignment="1">
      <x:alignment wrapText="1"/>
    </x:xf>
    <x:xf numFmtId="0" fontId="32" fillId="69" borderId="206" xfId="0" applyNumberFormat="1" applyFont="1" applyFill="1" applyBorder="1" applyAlignment="1">
      <x:alignment wrapText="1"/>
    </x:xf>
    <x:xf numFmtId="0" fontId="32" fillId="69" borderId="207" xfId="0" applyNumberFormat="1" applyFont="1" applyFill="1" applyBorder="1" applyAlignment="1">
      <x:alignment wrapText="1"/>
    </x:xf>
    <x:xf numFmtId="0" fontId="32" fillId="69" borderId="201" xfId="0" applyNumberFormat="1" applyFont="1" applyFill="1" applyBorder="1" applyAlignment="1">
      <x:alignment wrapText="1"/>
    </x:xf>
    <x:xf numFmtId="0" fontId="32" fillId="69" borderId="208" xfId="0" applyNumberFormat="1" applyFont="1" applyFill="1" applyBorder="1" applyAlignment="1">
      <x:alignment wrapText="1"/>
    </x:xf>
    <x:xf numFmtId="0" fontId="32" fillId="69" borderId="202" xfId="0" applyNumberFormat="1" applyFont="1" applyFill="1" applyBorder="1" applyAlignment="1">
      <x:alignment horizontal="center" wrapText="1"/>
    </x:xf>
    <x:xf numFmtId="0" fontId="32" fillId="69" borderId="203" xfId="0" applyNumberFormat="1" applyFont="1" applyFill="1" applyBorder="1" applyAlignment="1">
      <x:alignment horizontal="center" wrapText="1"/>
    </x:xf>
    <x:xf numFmtId="0" fontId="32" fillId="69" borderId="204" xfId="0" applyNumberFormat="1" applyFont="1" applyFill="1" applyBorder="1" applyAlignment="1">
      <x:alignment horizontal="center" wrapText="1"/>
    </x:xf>
    <x:xf numFmtId="0" fontId="32" fillId="69" borderId="205" xfId="0" applyNumberFormat="1" applyFont="1" applyFill="1" applyBorder="1" applyAlignment="1">
      <x:alignment horizontal="center" wrapText="1"/>
    </x:xf>
    <x:xf numFmtId="0" fontId="32" fillId="69" xfId="0" applyNumberFormat="1" applyFont="1" applyFill="1" applyBorder="0" applyAlignment="1">
      <x:alignment horizontal="center" wrapText="1"/>
    </x:xf>
    <x:xf numFmtId="0" fontId="32" fillId="69" borderId="206" xfId="0" applyNumberFormat="1" applyFont="1" applyFill="1" applyBorder="1" applyAlignment="1">
      <x:alignment horizontal="center" wrapText="1"/>
    </x:xf>
    <x:xf numFmtId="0" fontId="32" fillId="69" borderId="207" xfId="0" applyNumberFormat="1" applyFont="1" applyFill="1" applyBorder="1" applyAlignment="1">
      <x:alignment horizontal="center" wrapText="1"/>
    </x:xf>
    <x:xf numFmtId="0" fontId="32" fillId="69" borderId="201" xfId="0" applyNumberFormat="1" applyFont="1" applyFill="1" applyBorder="1" applyAlignment="1">
      <x:alignment horizontal="center" wrapText="1"/>
    </x:xf>
    <x:xf numFmtId="0" fontId="32" fillId="69" borderId="208" xfId="0" applyNumberFormat="1" applyFont="1" applyFill="1" applyBorder="1" applyAlignment="1">
      <x:alignment horizontal="center" wrapText="1"/>
    </x:xf>
    <x:xf numFmtId="0" fontId="32" fillId="69" borderId="202" xfId="0" applyNumberFormat="1" applyFont="1" applyFill="1" applyBorder="1" applyAlignment="1">
      <x:alignment horizontal="center" vertical="center" wrapText="1"/>
    </x:xf>
    <x:xf numFmtId="0" fontId="32" fillId="69" borderId="203" xfId="0" applyNumberFormat="1" applyFont="1" applyFill="1" applyBorder="1" applyAlignment="1">
      <x:alignment horizontal="center" vertical="center" wrapText="1"/>
    </x:xf>
    <x:xf numFmtId="0" fontId="32" fillId="69" borderId="204" xfId="0" applyNumberFormat="1" applyFont="1" applyFill="1" applyBorder="1" applyAlignment="1">
      <x:alignment horizontal="center" vertical="center" wrapText="1"/>
    </x:xf>
    <x:xf numFmtId="0" fontId="32" fillId="69" borderId="205" xfId="0" applyNumberFormat="1" applyFont="1" applyFill="1" applyBorder="1" applyAlignment="1">
      <x:alignment horizontal="center" vertical="center" wrapText="1"/>
    </x:xf>
    <x:xf numFmtId="0" fontId="32" fillId="69" xfId="0" applyNumberFormat="1" applyFont="1" applyFill="1" applyBorder="0" applyAlignment="1">
      <x:alignment horizontal="center" vertical="center" wrapText="1"/>
    </x:xf>
    <x:xf numFmtId="0" fontId="32" fillId="69" borderId="206" xfId="0" applyNumberFormat="1" applyFont="1" applyFill="1" applyBorder="1" applyAlignment="1">
      <x:alignment horizontal="center" vertical="center" wrapText="1"/>
    </x:xf>
    <x:xf numFmtId="0" fontId="32" fillId="69" borderId="207" xfId="0" applyNumberFormat="1" applyFont="1" applyFill="1" applyBorder="1" applyAlignment="1">
      <x:alignment horizontal="center" vertical="center" wrapText="1"/>
    </x:xf>
    <x:xf numFmtId="0" fontId="32" fillId="69" borderId="201" xfId="0" applyNumberFormat="1" applyFont="1" applyFill="1" applyBorder="1" applyAlignment="1">
      <x:alignment horizontal="center" vertical="center" wrapText="1"/>
    </x:xf>
    <x:xf numFmtId="0" fontId="32" fillId="69" borderId="208" xfId="0" applyNumberFormat="1" applyFont="1" applyFill="1" applyBorder="1" applyAlignment="1">
      <x:alignment horizontal="center" vertical="center" wrapText="1"/>
    </x:xf>
    <x:xf numFmtId="0" fontId="38" fillId="70" borderId="0" xfId="0" applyNumberFormat="1" applyFont="1" applyFill="1" applyBorder="1"/>
    <x:xf numFmtId="0" fontId="32" fillId="71" borderId="0" xfId="0" applyNumberFormat="1" applyFont="1" applyFill="1" applyBorder="1"/>
    <x:xf numFmtId="0" fontId="32" fillId="71" borderId="209" xfId="0" applyNumberFormat="1" applyFont="1" applyFill="1" applyBorder="1"/>
    <x:xf numFmtId="0" fontId="32" fillId="71" borderId="210" xfId="0" applyNumberFormat="1" applyFont="1" applyFill="1" applyBorder="1"/>
    <x:xf numFmtId="0" fontId="32" fillId="71" borderId="211" xfId="0" applyNumberFormat="1" applyFont="1" applyFill="1" applyBorder="1"/>
    <x:xf numFmtId="0" fontId="32" fillId="71" borderId="212" xfId="0" applyNumberFormat="1" applyFont="1" applyFill="1" applyBorder="1"/>
    <x:xf numFmtId="0" fontId="32" fillId="71" xfId="0" applyNumberFormat="1" applyFont="1" applyFill="1" applyBorder="0"/>
    <x:xf numFmtId="0" fontId="32" fillId="71" borderId="213" xfId="0" applyNumberFormat="1" applyFont="1" applyFill="1" applyBorder="1"/>
    <x:xf numFmtId="0" fontId="32" fillId="71" borderId="214" xfId="0" applyNumberFormat="1" applyFont="1" applyFill="1" applyBorder="1"/>
    <x:xf numFmtId="0" fontId="32" fillId="71" borderId="215" xfId="0" applyNumberFormat="1" applyFont="1" applyFill="1" applyBorder="1"/>
    <x:xf numFmtId="0" fontId="32" fillId="71" borderId="216" xfId="0" applyNumberFormat="1" applyFont="1" applyFill="1" applyBorder="1"/>
    <x:xf numFmtId="0" fontId="32" fillId="71" borderId="209" xfId="0" applyNumberFormat="1" applyFont="1" applyFill="1" applyBorder="1" applyAlignment="1">
      <x:alignment wrapText="1"/>
    </x:xf>
    <x:xf numFmtId="0" fontId="32" fillId="71" borderId="210" xfId="0" applyNumberFormat="1" applyFont="1" applyFill="1" applyBorder="1" applyAlignment="1">
      <x:alignment wrapText="1"/>
    </x:xf>
    <x:xf numFmtId="0" fontId="32" fillId="71" borderId="211" xfId="0" applyNumberFormat="1" applyFont="1" applyFill="1" applyBorder="1" applyAlignment="1">
      <x:alignment wrapText="1"/>
    </x:xf>
    <x:xf numFmtId="0" fontId="32" fillId="71" borderId="212" xfId="0" applyNumberFormat="1" applyFont="1" applyFill="1" applyBorder="1" applyAlignment="1">
      <x:alignment wrapText="1"/>
    </x:xf>
    <x:xf numFmtId="0" fontId="32" fillId="71" xfId="0" applyNumberFormat="1" applyFont="1" applyFill="1" applyBorder="0" applyAlignment="1">
      <x:alignment wrapText="1"/>
    </x:xf>
    <x:xf numFmtId="0" fontId="32" fillId="71" borderId="213" xfId="0" applyNumberFormat="1" applyFont="1" applyFill="1" applyBorder="1" applyAlignment="1">
      <x:alignment wrapText="1"/>
    </x:xf>
    <x:xf numFmtId="0" fontId="32" fillId="71" borderId="214" xfId="0" applyNumberFormat="1" applyFont="1" applyFill="1" applyBorder="1" applyAlignment="1">
      <x:alignment wrapText="1"/>
    </x:xf>
    <x:xf numFmtId="0" fontId="32" fillId="71" borderId="215" xfId="0" applyNumberFormat="1" applyFont="1" applyFill="1" applyBorder="1" applyAlignment="1">
      <x:alignment wrapText="1"/>
    </x:xf>
    <x:xf numFmtId="0" fontId="32" fillId="71" borderId="216" xfId="0" applyNumberFormat="1" applyFont="1" applyFill="1" applyBorder="1" applyAlignment="1">
      <x:alignment wrapText="1"/>
    </x:xf>
    <x:xf numFmtId="0" fontId="32" fillId="71" borderId="209" xfId="0" applyNumberFormat="1" applyFont="1" applyFill="1" applyBorder="1" applyAlignment="1">
      <x:alignment horizontal="center" wrapText="1"/>
    </x:xf>
    <x:xf numFmtId="0" fontId="32" fillId="71" borderId="210" xfId="0" applyNumberFormat="1" applyFont="1" applyFill="1" applyBorder="1" applyAlignment="1">
      <x:alignment horizontal="center" wrapText="1"/>
    </x:xf>
    <x:xf numFmtId="0" fontId="32" fillId="71" borderId="211" xfId="0" applyNumberFormat="1" applyFont="1" applyFill="1" applyBorder="1" applyAlignment="1">
      <x:alignment horizontal="center" wrapText="1"/>
    </x:xf>
    <x:xf numFmtId="0" fontId="32" fillId="71" borderId="212" xfId="0" applyNumberFormat="1" applyFont="1" applyFill="1" applyBorder="1" applyAlignment="1">
      <x:alignment horizontal="center" wrapText="1"/>
    </x:xf>
    <x:xf numFmtId="0" fontId="32" fillId="71" xfId="0" applyNumberFormat="1" applyFont="1" applyFill="1" applyBorder="0" applyAlignment="1">
      <x:alignment horizontal="center" wrapText="1"/>
    </x:xf>
    <x:xf numFmtId="0" fontId="32" fillId="71" borderId="213" xfId="0" applyNumberFormat="1" applyFont="1" applyFill="1" applyBorder="1" applyAlignment="1">
      <x:alignment horizontal="center" wrapText="1"/>
    </x:xf>
    <x:xf numFmtId="0" fontId="32" fillId="71" borderId="214" xfId="0" applyNumberFormat="1" applyFont="1" applyFill="1" applyBorder="1" applyAlignment="1">
      <x:alignment horizontal="center" wrapText="1"/>
    </x:xf>
    <x:xf numFmtId="0" fontId="32" fillId="71" borderId="215" xfId="0" applyNumberFormat="1" applyFont="1" applyFill="1" applyBorder="1" applyAlignment="1">
      <x:alignment horizontal="center" wrapText="1"/>
    </x:xf>
    <x:xf numFmtId="0" fontId="32" fillId="71" borderId="216" xfId="0" applyNumberFormat="1" applyFont="1" applyFill="1" applyBorder="1" applyAlignment="1">
      <x:alignment horizontal="center" wrapText="1"/>
    </x:xf>
    <x:xf numFmtId="0" fontId="32" fillId="71" borderId="209" xfId="0" applyNumberFormat="1" applyFont="1" applyFill="1" applyBorder="1" applyAlignment="1">
      <x:alignment horizontal="center" vertical="center" wrapText="1"/>
    </x:xf>
    <x:xf numFmtId="0" fontId="32" fillId="71" borderId="210" xfId="0" applyNumberFormat="1" applyFont="1" applyFill="1" applyBorder="1" applyAlignment="1">
      <x:alignment horizontal="center" vertical="center" wrapText="1"/>
    </x:xf>
    <x:xf numFmtId="0" fontId="32" fillId="71" borderId="211" xfId="0" applyNumberFormat="1" applyFont="1" applyFill="1" applyBorder="1" applyAlignment="1">
      <x:alignment horizontal="center" vertical="center" wrapText="1"/>
    </x:xf>
    <x:xf numFmtId="0" fontId="32" fillId="71" borderId="212" xfId="0" applyNumberFormat="1" applyFont="1" applyFill="1" applyBorder="1" applyAlignment="1">
      <x:alignment horizontal="center" vertical="center" wrapText="1"/>
    </x:xf>
    <x:xf numFmtId="0" fontId="32" fillId="71" xfId="0" applyNumberFormat="1" applyFont="1" applyFill="1" applyBorder="0" applyAlignment="1">
      <x:alignment horizontal="center" vertical="center" wrapText="1"/>
    </x:xf>
    <x:xf numFmtId="0" fontId="32" fillId="71" borderId="213" xfId="0" applyNumberFormat="1" applyFont="1" applyFill="1" applyBorder="1" applyAlignment="1">
      <x:alignment horizontal="center" vertical="center" wrapText="1"/>
    </x:xf>
    <x:xf numFmtId="0" fontId="32" fillId="71" borderId="214" xfId="0" applyNumberFormat="1" applyFont="1" applyFill="1" applyBorder="1" applyAlignment="1">
      <x:alignment horizontal="center" vertical="center" wrapText="1"/>
    </x:xf>
    <x:xf numFmtId="0" fontId="32" fillId="71" borderId="215" xfId="0" applyNumberFormat="1" applyFont="1" applyFill="1" applyBorder="1" applyAlignment="1">
      <x:alignment horizontal="center" vertical="center" wrapText="1"/>
    </x:xf>
    <x:xf numFmtId="0" fontId="32" fillId="71" borderId="216" xfId="0" applyNumberFormat="1" applyFont="1" applyFill="1" applyBorder="1" applyAlignment="1">
      <x:alignment horizontal="center" vertical="center" wrapText="1"/>
    </x:xf>
    <x:xf numFmtId="0" fontId="33" fillId="71" borderId="0" xfId="0" applyNumberFormat="1" applyFont="1" applyFill="1" applyBorder="1"/>
    <x:xf numFmtId="0" fontId="33" fillId="71" borderId="217" xfId="0" applyNumberFormat="1" applyFont="1" applyFill="1" applyBorder="1"/>
    <x:xf numFmtId="0" fontId="43" fillId="71" borderId="0" xfId="0" applyNumberFormat="1" applyFont="1" applyFill="1" applyBorder="1"/>
    <x:xf numFmtId="0" fontId="43" fillId="71" borderId="0" xfId="0" applyNumberFormat="1" applyFont="1" applyFill="1" applyBorder="1" applyAlignment="1">
      <x:alignment wrapText="1"/>
    </x:xf>
    <x:xf numFmtId="0" fontId="43" fillId="71" borderId="0" xfId="0" applyNumberFormat="1" applyFont="1" applyFill="1" applyBorder="1" applyAlignment="1">
      <x:alignment horizontal="center" wrapText="1"/>
    </x:xf>
    <x:xf numFmtId="0" fontId="43" fillId="71" borderId="0" xfId="0" applyNumberFormat="1" applyFont="1" applyFill="1" applyBorder="1" applyAlignment="1">
      <x:alignment horizontal="center" vertical="center" wrapText="1"/>
    </x:xf>
    <x:xf numFmtId="0" fontId="33" fillId="70" borderId="0" xfId="0" applyNumberFormat="1" applyFont="1" applyFill="1" applyBorder="1"/>
    <x:xf numFmtId="0" fontId="43" fillId="70" borderId="0" xfId="0" applyNumberFormat="1" applyFont="1" applyFill="1" applyBorder="1"/>
    <x:xf numFmtId="0" fontId="43" fillId="70" borderId="0" xfId="0" applyNumberFormat="1" applyFont="1" applyFill="1" applyBorder="1" applyAlignment="1">
      <x:alignment wrapText="1"/>
    </x:xf>
    <x:xf numFmtId="0" fontId="43" fillId="70" borderId="0" xfId="0" applyNumberFormat="1" applyFont="1" applyFill="1" applyBorder="1" applyAlignment="1">
      <x:alignment vertical="center" wrapText="1"/>
    </x:xf>
    <x:xf numFmtId="0" fontId="32" fillId="73" borderId="209" xfId="0" applyNumberFormat="1" applyFont="1" applyFill="1" applyBorder="1"/>
    <x:xf numFmtId="0" fontId="32" fillId="73" borderId="210" xfId="0" applyNumberFormat="1" applyFont="1" applyFill="1" applyBorder="1"/>
    <x:xf numFmtId="0" fontId="32" fillId="73" borderId="211" xfId="0" applyNumberFormat="1" applyFont="1" applyFill="1" applyBorder="1"/>
    <x:xf numFmtId="0" fontId="32" fillId="73" borderId="212" xfId="0" applyNumberFormat="1" applyFont="1" applyFill="1" applyBorder="1"/>
    <x:xf numFmtId="0" fontId="32" fillId="73" borderId="213" xfId="0" applyNumberFormat="1" applyFont="1" applyFill="1" applyBorder="1"/>
    <x:xf numFmtId="0" fontId="32" fillId="73" borderId="214" xfId="0" applyNumberFormat="1" applyFont="1" applyFill="1" applyBorder="1"/>
    <x:xf numFmtId="0" fontId="32" fillId="73" borderId="215" xfId="0" applyNumberFormat="1" applyFont="1" applyFill="1" applyBorder="1"/>
    <x:xf numFmtId="0" fontId="32" fillId="73" borderId="216" xfId="0" applyNumberFormat="1" applyFont="1" applyFill="1" applyBorder="1"/>
    <x:xf numFmtId="0" fontId="32" fillId="73" borderId="209" xfId="0" applyNumberFormat="1" applyFont="1" applyFill="1" applyBorder="1" applyAlignment="1">
      <x:alignment wrapText="1"/>
    </x:xf>
    <x:xf numFmtId="0" fontId="32" fillId="73" borderId="210" xfId="0" applyNumberFormat="1" applyFont="1" applyFill="1" applyBorder="1" applyAlignment="1">
      <x:alignment wrapText="1"/>
    </x:xf>
    <x:xf numFmtId="0" fontId="32" fillId="73" borderId="211" xfId="0" applyNumberFormat="1" applyFont="1" applyFill="1" applyBorder="1" applyAlignment="1">
      <x:alignment wrapText="1"/>
    </x:xf>
    <x:xf numFmtId="0" fontId="32" fillId="73" borderId="212" xfId="0" applyNumberFormat="1" applyFont="1" applyFill="1" applyBorder="1" applyAlignment="1">
      <x:alignment wrapText="1"/>
    </x:xf>
    <x:xf numFmtId="0" fontId="32" fillId="73" borderId="213" xfId="0" applyNumberFormat="1" applyFont="1" applyFill="1" applyBorder="1" applyAlignment="1">
      <x:alignment wrapText="1"/>
    </x:xf>
    <x:xf numFmtId="0" fontId="32" fillId="73" borderId="214" xfId="0" applyNumberFormat="1" applyFont="1" applyFill="1" applyBorder="1" applyAlignment="1">
      <x:alignment wrapText="1"/>
    </x:xf>
    <x:xf numFmtId="0" fontId="32" fillId="73" borderId="215" xfId="0" applyNumberFormat="1" applyFont="1" applyFill="1" applyBorder="1" applyAlignment="1">
      <x:alignment wrapText="1"/>
    </x:xf>
    <x:xf numFmtId="0" fontId="32" fillId="73" borderId="216" xfId="0" applyNumberFormat="1" applyFont="1" applyFill="1" applyBorder="1" applyAlignment="1">
      <x:alignment wrapText="1"/>
    </x:xf>
    <x:xf numFmtId="0" fontId="32" fillId="73" borderId="209" xfId="0" applyNumberFormat="1" applyFont="1" applyFill="1" applyBorder="1" applyAlignment="1">
      <x:alignment horizontal="center" wrapText="1"/>
    </x:xf>
    <x:xf numFmtId="0" fontId="32" fillId="73" borderId="210" xfId="0" applyNumberFormat="1" applyFont="1" applyFill="1" applyBorder="1" applyAlignment="1">
      <x:alignment horizontal="center" wrapText="1"/>
    </x:xf>
    <x:xf numFmtId="0" fontId="32" fillId="73" borderId="211" xfId="0" applyNumberFormat="1" applyFont="1" applyFill="1" applyBorder="1" applyAlignment="1">
      <x:alignment horizontal="center" wrapText="1"/>
    </x:xf>
    <x:xf numFmtId="0" fontId="32" fillId="73" borderId="212" xfId="0" applyNumberFormat="1" applyFont="1" applyFill="1" applyBorder="1" applyAlignment="1">
      <x:alignment horizontal="center" wrapText="1"/>
    </x:xf>
    <x:xf numFmtId="0" fontId="32" fillId="73" borderId="213" xfId="0" applyNumberFormat="1" applyFont="1" applyFill="1" applyBorder="1" applyAlignment="1">
      <x:alignment horizontal="center" wrapText="1"/>
    </x:xf>
    <x:xf numFmtId="0" fontId="32" fillId="73" borderId="214" xfId="0" applyNumberFormat="1" applyFont="1" applyFill="1" applyBorder="1" applyAlignment="1">
      <x:alignment horizontal="center" wrapText="1"/>
    </x:xf>
    <x:xf numFmtId="0" fontId="32" fillId="73" borderId="215" xfId="0" applyNumberFormat="1" applyFont="1" applyFill="1" applyBorder="1" applyAlignment="1">
      <x:alignment horizontal="center" wrapText="1"/>
    </x:xf>
    <x:xf numFmtId="0" fontId="32" fillId="73" borderId="216" xfId="0" applyNumberFormat="1" applyFont="1" applyFill="1" applyBorder="1" applyAlignment="1">
      <x:alignment horizontal="center" wrapText="1"/>
    </x:xf>
    <x:xf numFmtId="0" fontId="32" fillId="73" borderId="209" xfId="0" applyNumberFormat="1" applyFont="1" applyFill="1" applyBorder="1" applyAlignment="1">
      <x:alignment horizontal="center" vertical="center" wrapText="1"/>
    </x:xf>
    <x:xf numFmtId="0" fontId="32" fillId="73" borderId="210" xfId="0" applyNumberFormat="1" applyFont="1" applyFill="1" applyBorder="1" applyAlignment="1">
      <x:alignment horizontal="center" vertical="center" wrapText="1"/>
    </x:xf>
    <x:xf numFmtId="0" fontId="32" fillId="73" borderId="211" xfId="0" applyNumberFormat="1" applyFont="1" applyFill="1" applyBorder="1" applyAlignment="1">
      <x:alignment horizontal="center" vertical="center" wrapText="1"/>
    </x:xf>
    <x:xf numFmtId="0" fontId="32" fillId="73" borderId="212" xfId="0" applyNumberFormat="1" applyFont="1" applyFill="1" applyBorder="1" applyAlignment="1">
      <x:alignment horizontal="center" vertical="center" wrapText="1"/>
    </x:xf>
    <x:xf numFmtId="0" fontId="32" fillId="73" borderId="213" xfId="0" applyNumberFormat="1" applyFont="1" applyFill="1" applyBorder="1" applyAlignment="1">
      <x:alignment horizontal="center" vertical="center" wrapText="1"/>
    </x:xf>
    <x:xf numFmtId="0" fontId="32" fillId="73" borderId="214" xfId="0" applyNumberFormat="1" applyFont="1" applyFill="1" applyBorder="1" applyAlignment="1">
      <x:alignment horizontal="center" vertical="center" wrapText="1"/>
    </x:xf>
    <x:xf numFmtId="0" fontId="32" fillId="73" borderId="215" xfId="0" applyNumberFormat="1" applyFont="1" applyFill="1" applyBorder="1" applyAlignment="1">
      <x:alignment horizontal="center" vertical="center" wrapText="1"/>
    </x:xf>
    <x:xf numFmtId="0" fontId="32" fillId="73" borderId="216" xfId="0" applyNumberFormat="1" applyFont="1" applyFill="1" applyBorder="1" applyAlignment="1">
      <x:alignment horizontal="center" vertical="center" wrapText="1"/>
    </x:xf>
    <x:xf numFmtId="0" fontId="40" fillId="69" borderId="201" xfId="0" applyNumberFormat="1" applyFont="1" applyFill="1" applyBorder="1"/>
    <x:xf numFmtId="0" fontId="41" fillId="70" borderId="0" xfId="0" applyNumberFormat="1" applyFont="1" applyFill="1" applyBorder="1" applyAlignment="1">
      <x:alignment wrapText="1"/>
    </x:xf>
    <x:xf numFmtId="0" fontId="40" fillId="74" borderId="202" xfId="0" applyNumberFormat="1" applyFont="1" applyFill="1" applyBorder="1" applyAlignment="1">
      <x:alignment horizontal="center" vertical="center" wrapText="1"/>
    </x:xf>
    <x:xf numFmtId="0" fontId="40" fillId="74" borderId="203" xfId="0" applyNumberFormat="1" applyFont="1" applyFill="1" applyBorder="1" applyAlignment="1">
      <x:alignment horizontal="center" vertical="center" wrapText="1"/>
    </x:xf>
    <x:xf numFmtId="0" fontId="40" fillId="74" borderId="204" xfId="0" applyNumberFormat="1" applyFont="1" applyFill="1" applyBorder="1" applyAlignment="1">
      <x:alignment horizontal="center" vertical="center" wrapText="1"/>
    </x:xf>
    <x:xf numFmtId="0" fontId="40" fillId="69" borderId="202" xfId="0" applyNumberFormat="1" applyFont="1" applyFill="1" applyBorder="1" applyAlignment="1">
      <x:alignment horizontal="center" vertical="center" wrapText="1"/>
    </x:xf>
    <x:xf numFmtId="0" fontId="40" fillId="69" borderId="203" xfId="0" applyNumberFormat="1" applyFont="1" applyFill="1" applyBorder="1" applyAlignment="1">
      <x:alignment horizontal="center" vertical="center" wrapText="1"/>
    </x:xf>
    <x:xf numFmtId="0" fontId="40" fillId="69" borderId="204" xfId="0" applyNumberFormat="1" applyFont="1" applyFill="1" applyBorder="1" applyAlignment="1">
      <x:alignment horizontal="center" vertical="center" wrapText="1"/>
    </x:xf>
    <x:xf numFmtId="0" fontId="40" fillId="74" borderId="205" xfId="0" applyNumberFormat="1" applyFont="1" applyFill="1" applyBorder="1" applyAlignment="1">
      <x:alignment horizontal="center" vertical="center" wrapText="1"/>
    </x:xf>
    <x:xf numFmtId="0" fontId="40" fillId="74" borderId="206" xfId="0" applyNumberFormat="1" applyFont="1" applyFill="1" applyBorder="1" applyAlignment="1">
      <x:alignment horizontal="center" vertical="center" wrapText="1"/>
    </x:xf>
    <x:xf numFmtId="0" fontId="40" fillId="69" borderId="205" xfId="0" applyNumberFormat="1" applyFont="1" applyFill="1" applyBorder="1" applyAlignment="1">
      <x:alignment horizontal="center" vertical="center" wrapText="1"/>
    </x:xf>
    <x:xf numFmtId="0" fontId="40" fillId="69" xfId="0" applyNumberFormat="1" applyFont="1" applyFill="1" applyBorder="0" applyAlignment="1">
      <x:alignment horizontal="center" vertical="center" wrapText="1"/>
    </x:xf>
    <x:xf numFmtId="0" fontId="40" fillId="69" borderId="206" xfId="0" applyNumberFormat="1" applyFont="1" applyFill="1" applyBorder="1" applyAlignment="1">
      <x:alignment horizontal="center" vertical="center" wrapText="1"/>
    </x:xf>
    <x:xf numFmtId="0" fontId="40" fillId="74" borderId="207" xfId="0" applyNumberFormat="1" applyFont="1" applyFill="1" applyBorder="1" applyAlignment="1">
      <x:alignment horizontal="center" vertical="center" wrapText="1"/>
    </x:xf>
    <x:xf numFmtId="0" fontId="40" fillId="74" borderId="201" xfId="0" applyNumberFormat="1" applyFont="1" applyFill="1" applyBorder="1" applyAlignment="1">
      <x:alignment horizontal="center" vertical="center" wrapText="1"/>
    </x:xf>
    <x:xf numFmtId="0" fontId="40" fillId="74" borderId="208" xfId="0" applyNumberFormat="1" applyFont="1" applyFill="1" applyBorder="1" applyAlignment="1">
      <x:alignment horizontal="center" vertical="center" wrapText="1"/>
    </x:xf>
    <x:xf numFmtId="0" fontId="40" fillId="69" borderId="207" xfId="0" applyNumberFormat="1" applyFont="1" applyFill="1" applyBorder="1" applyAlignment="1">
      <x:alignment horizontal="center" vertical="center" wrapText="1"/>
    </x:xf>
    <x:xf numFmtId="0" fontId="40" fillId="69" borderId="201" xfId="0" applyNumberFormat="1" applyFont="1" applyFill="1" applyBorder="1" applyAlignment="1">
      <x:alignment horizontal="center" vertical="center" wrapText="1"/>
    </x:xf>
    <x:xf numFmtId="0" fontId="40" fillId="69" borderId="208" xfId="0" applyNumberFormat="1" applyFont="1" applyFill="1" applyBorder="1" applyAlignment="1">
      <x:alignment horizontal="center" vertical="center" wrapText="1"/>
    </x:xf>
    <x:xf numFmtId="0" fontId="40" fillId="70" borderId="0" xfId="0" applyNumberFormat="1" applyFont="1" applyFill="1" applyBorder="1"/>
    <x:xf numFmtId="0" fontId="40" fillId="71" borderId="209" xfId="0" applyNumberFormat="1" applyFont="1" applyFill="1" applyBorder="1" applyAlignment="1">
      <x:alignment horizontal="center" vertical="center" wrapText="1"/>
    </x:xf>
    <x:xf numFmtId="0" fontId="40" fillId="71" borderId="210" xfId="0" applyNumberFormat="1" applyFont="1" applyFill="1" applyBorder="1" applyAlignment="1">
      <x:alignment horizontal="center" vertical="center" wrapText="1"/>
    </x:xf>
    <x:xf numFmtId="0" fontId="40" fillId="71" borderId="211" xfId="0" applyNumberFormat="1" applyFont="1" applyFill="1" applyBorder="1" applyAlignment="1">
      <x:alignment horizontal="center" vertical="center" wrapText="1"/>
    </x:xf>
    <x:xf numFmtId="0" fontId="40" fillId="71" borderId="212" xfId="0" applyNumberFormat="1" applyFont="1" applyFill="1" applyBorder="1" applyAlignment="1">
      <x:alignment horizontal="center" vertical="center" wrapText="1"/>
    </x:xf>
    <x:xf numFmtId="0" fontId="40" fillId="71" xfId="0" applyNumberFormat="1" applyFont="1" applyFill="1" applyBorder="0" applyAlignment="1">
      <x:alignment horizontal="center" vertical="center" wrapText="1"/>
    </x:xf>
    <x:xf numFmtId="0" fontId="40" fillId="71" borderId="213" xfId="0" applyNumberFormat="1" applyFont="1" applyFill="1" applyBorder="1" applyAlignment="1">
      <x:alignment horizontal="center" vertical="center" wrapText="1"/>
    </x:xf>
    <x:xf numFmtId="0" fontId="40" fillId="71" borderId="214" xfId="0" applyNumberFormat="1" applyFont="1" applyFill="1" applyBorder="1" applyAlignment="1">
      <x:alignment horizontal="center" vertical="center" wrapText="1"/>
    </x:xf>
    <x:xf numFmtId="0" fontId="40" fillId="71" borderId="215" xfId="0" applyNumberFormat="1" applyFont="1" applyFill="1" applyBorder="1" applyAlignment="1">
      <x:alignment horizontal="center" vertical="center" wrapText="1"/>
    </x:xf>
    <x:xf numFmtId="0" fontId="40" fillId="71" borderId="216" xfId="0" applyNumberFormat="1" applyFont="1" applyFill="1" applyBorder="1" applyAlignment="1">
      <x:alignment horizontal="center" vertical="center" wrapText="1"/>
    </x:xf>
    <x:xf numFmtId="0" fontId="40" fillId="71" borderId="217" xfId="0" applyNumberFormat="1" applyFont="1" applyFill="1" applyBorder="1"/>
    <x:xf numFmtId="0" fontId="41" fillId="71" borderId="0" xfId="0" applyNumberFormat="1" applyFont="1" applyFill="1" applyBorder="1" applyAlignment="1">
      <x:alignment horizontal="center" vertical="center" wrapText="1"/>
    </x:xf>
    <x:xf numFmtId="0" fontId="40" fillId="73" borderId="209" xfId="0" applyNumberFormat="1" applyFont="1" applyFill="1" applyBorder="1" applyAlignment="1">
      <x:alignment horizontal="center" vertical="center" wrapText="1"/>
    </x:xf>
    <x:xf numFmtId="0" fontId="40" fillId="73" borderId="210" xfId="0" applyNumberFormat="1" applyFont="1" applyFill="1" applyBorder="1" applyAlignment="1">
      <x:alignment horizontal="center" vertical="center" wrapText="1"/>
    </x:xf>
    <x:xf numFmtId="0" fontId="40" fillId="73" borderId="211" xfId="0" applyNumberFormat="1" applyFont="1" applyFill="1" applyBorder="1" applyAlignment="1">
      <x:alignment horizontal="center" vertical="center" wrapText="1"/>
    </x:xf>
    <x:xf numFmtId="0" fontId="40" fillId="73" borderId="212" xfId="0" applyNumberFormat="1" applyFont="1" applyFill="1" applyBorder="1" applyAlignment="1">
      <x:alignment horizontal="center" vertical="center" wrapText="1"/>
    </x:xf>
    <x:xf numFmtId="0" fontId="40" fillId="73" borderId="213" xfId="0" applyNumberFormat="1" applyFont="1" applyFill="1" applyBorder="1" applyAlignment="1">
      <x:alignment horizontal="center" vertical="center" wrapText="1"/>
    </x:xf>
    <x:xf numFmtId="0" fontId="40" fillId="73" borderId="214" xfId="0" applyNumberFormat="1" applyFont="1" applyFill="1" applyBorder="1" applyAlignment="1">
      <x:alignment horizontal="center" vertical="center" wrapText="1"/>
    </x:xf>
    <x:xf numFmtId="0" fontId="40" fillId="73" borderId="215" xfId="0" applyNumberFormat="1" applyFont="1" applyFill="1" applyBorder="1" applyAlignment="1">
      <x:alignment horizontal="center" vertical="center" wrapText="1"/>
    </x:xf>
    <x:xf numFmtId="0" fontId="40" fillId="73" borderId="216" xfId="0" applyNumberFormat="1" applyFont="1" applyFill="1" applyBorder="1" applyAlignment="1">
      <x:alignment horizontal="center" vertical="center" wrapText="1"/>
    </x:xf>
    <x:xf numFmtId="0" fontId="42" fillId="69" borderId="201" xfId="0" applyNumberFormat="1" applyFont="1" applyFill="1" applyBorder="1"/>
    <x:xf numFmtId="0" fontId="28" fillId="72" borderId="0" xfId="0" applyNumberFormat="1" applyFont="1" applyFill="1" applyBorder="1"/>
    <x:xf numFmtId="0" fontId="44" fillId="70" borderId="0" xfId="0" applyNumberFormat="1" applyFont="1" applyFill="1" applyBorder="1"/>
    <x:xf numFmtId="0" fontId="30" fillId="70" borderId="0" xfId="0" applyNumberFormat="1" applyFont="1" applyFill="1" applyBorder="1"/>
    <x:xf numFmtId="0" fontId="30" fillId="70" borderId="0" xfId="0" applyNumberFormat="1" applyFont="1" applyFill="1" applyBorder="1" applyAlignment="1">
      <x:alignment wrapText="1"/>
    </x:xf>
    <x:xf numFmtId="0" fontId="34" fillId="23" borderId="0" xfId="0" applyNumberFormat="1" applyFont="1" applyFill="1" applyBorder="1"/>
    <x:xf numFmtId="0" fontId="34" fillId="23" borderId="0" xfId="0" applyNumberFormat="1" applyFont="1" applyFill="1" applyBorder="1" applyAlignment="1">
      <x:alignment wrapText="1"/>
    </x:xf>
    <x:xf numFmtId="0" fontId="0" fillId="23" borderId="0" xfId="0" applyNumberFormat="1" applyFont="1" applyFill="1" applyBorder="1" applyAlignment="1">
      <x:alignment wrapText="1"/>
    </x:xf>
    <x:xf numFmtId="0" fontId="28" fillId="23" borderId="0" xfId="0" applyNumberFormat="1" applyFont="1" applyFill="1" applyBorder="1"/>
    <x:xf numFmtId="0" fontId="41" fillId="23" borderId="0" xfId="0" applyNumberFormat="1" applyFont="1" applyFill="1" applyBorder="1"/>
    <x:xf numFmtId="0" fontId="40" fillId="23" borderId="0" xfId="0" applyNumberFormat="1" applyFont="1" applyFill="1" applyBorder="1" applyAlignment="1">
      <x:alignment wrapText="1"/>
    </x:xf>
    <x:xf numFmtId="0" fontId="41" fillId="23" borderId="0" xfId="0" applyNumberFormat="1" applyFont="1" applyFill="1" applyBorder="1" applyAlignment="1">
      <x:alignment wrapText="1"/>
    </x:xf>
    <x:xf numFmtId="0" fontId="40" fillId="23" borderId="0" xfId="0" applyNumberFormat="1" applyFont="1" applyFill="1" applyBorder="1" applyAlignment="1">
      <x:alignment vertical="top" wrapText="1"/>
    </x:xf>
    <x:xf numFmtId="0" fontId="0" fillId="76" borderId="0" xfId="0" applyNumberFormat="1" applyFont="1" applyFill="1" applyBorder="1"/>
    <x:xf numFmtId="0" fontId="30" fillId="76" borderId="0" xfId="0" applyNumberFormat="1" applyFont="1" applyFill="1" applyBorder="1"/>
    <x:xf numFmtId="0" fontId="30" fillId="76" borderId="0" xfId="0" applyNumberFormat="1" applyFont="1" applyFill="1" applyBorder="1" applyAlignment="1">
      <x:alignment wrapText="1"/>
    </x:xf>
    <x:xf numFmtId="0" fontId="0" fillId="77" borderId="0" xfId="0" applyNumberFormat="1" applyFont="1" applyFill="1" applyBorder="1"/>
    <x:xf numFmtId="0" fontId="31" fillId="77" borderId="0" xfId="0" applyNumberFormat="1" applyFont="1" applyFill="1" applyBorder="1"/>
    <x:xf numFmtId="0" fontId="31" fillId="77" borderId="218" xfId="0" applyNumberFormat="1" applyFont="1" applyFill="1" applyBorder="1"/>
    <x:xf numFmtId="0" fontId="20" fillId="76" borderId="0" xfId="0" applyNumberFormat="1" applyFont="1" applyFill="1" applyBorder="1"/>
    <x:xf numFmtId="0" fontId="20" fillId="76" borderId="0" xfId="0" applyNumberFormat="1" applyFont="1" applyFill="1" applyBorder="1" applyAlignment="1">
      <x:alignment wrapText="1"/>
    </x:xf>
    <x:xf numFmtId="0" fontId="0" fillId="78" borderId="0" xfId="0" applyNumberFormat="1" applyFont="1" applyFill="1" applyBorder="1"/>
    <x:xf numFmtId="0" fontId="21" fillId="78" borderId="0" xfId="0" applyNumberFormat="1" applyFont="1" applyFill="1" applyBorder="1"/>
    <x:xf numFmtId="0" fontId="0" fillId="79" borderId="0" xfId="0" applyNumberFormat="1" applyFont="1" applyFill="1" applyBorder="1"/>
    <x:xf numFmtId="0" fontId="35" fillId="79" borderId="0" xfId="0" applyNumberFormat="1" applyFont="1" applyFill="1" applyBorder="1"/>
    <x:xf numFmtId="0" fontId="35" fillId="79" borderId="0" xfId="0" applyNumberFormat="1" applyFont="1" applyFill="1" applyBorder="1" applyAlignment="1">
      <x:alignment wrapText="1"/>
    </x:xf>
    <x:xf numFmtId="0" fontId="35" fillId="79" borderId="0" xfId="0" applyNumberFormat="1" applyFont="1" applyFill="1" applyBorder="1" applyAlignment="1">
      <x:alignment vertical="top" wrapText="1"/>
    </x:xf>
    <x:xf numFmtId="0" fontId="0" fillId="80" borderId="0" xfId="0" applyNumberFormat="1" applyFont="1" applyFill="1" applyBorder="1"/>
    <x:xf numFmtId="0" fontId="35" fillId="80" borderId="0" xfId="0" applyNumberFormat="1" applyFont="1" applyFill="1" applyBorder="1"/>
    <x:xf numFmtId="0" fontId="35" fillId="80" borderId="0" xfId="0" applyNumberFormat="1" applyFont="1" applyFill="1" applyBorder="1" applyAlignment="1">
      <x:alignment wrapText="1"/>
    </x:xf>
    <x:xf numFmtId="0" fontId="35" fillId="80" borderId="0" xfId="0" applyNumberFormat="1" applyFont="1" applyFill="1" applyBorder="1" applyAlignment="1">
      <x:alignment vertical="top" wrapText="1"/>
    </x:xf>
    <x:xf numFmtId="0" fontId="35" fillId="76" borderId="0" xfId="0" applyNumberFormat="1" applyFont="1" applyFill="1" applyBorder="1"/>
    <x:xf numFmtId="0" fontId="35" fillId="76" borderId="0" xfId="0" applyNumberFormat="1" applyFont="1" applyFill="1" applyBorder="1" applyAlignment="1">
      <x:alignment wrapText="1"/>
    </x:xf>
    <x:xf numFmtId="0" fontId="35" fillId="76" borderId="0" xfId="0" applyNumberFormat="1" applyFont="1" applyFill="1" applyBorder="1" applyAlignment="1">
      <x:alignment vertical="center" wrapText="1"/>
    </x:xf>
    <x:xf numFmtId="0" fontId="32" fillId="79" borderId="0" xfId="0" applyNumberFormat="1" applyFont="1" applyFill="1" applyBorder="1"/>
    <x:xf numFmtId="0" fontId="32" fillId="79" borderId="219" xfId="0" applyNumberFormat="1" applyFont="1" applyFill="1" applyBorder="1"/>
    <x:xf numFmtId="0" fontId="32" fillId="79" borderId="220" xfId="0" applyNumberFormat="1" applyFont="1" applyFill="1" applyBorder="1"/>
    <x:xf numFmtId="0" fontId="32" fillId="79" borderId="221" xfId="0" applyNumberFormat="1" applyFont="1" applyFill="1" applyBorder="1"/>
    <x:xf numFmtId="0" fontId="32" fillId="79" borderId="222" xfId="0" applyNumberFormat="1" applyFont="1" applyFill="1" applyBorder="1"/>
    <x:xf numFmtId="0" fontId="32" fillId="79" xfId="0" applyNumberFormat="1" applyFont="1" applyFill="1" applyBorder="0"/>
    <x:xf numFmtId="0" fontId="32" fillId="79" borderId="223" xfId="0" applyNumberFormat="1" applyFont="1" applyFill="1" applyBorder="1"/>
    <x:xf numFmtId="0" fontId="32" fillId="79" borderId="224" xfId="0" applyNumberFormat="1" applyFont="1" applyFill="1" applyBorder="1"/>
    <x:xf numFmtId="0" fontId="32" fillId="79" borderId="225" xfId="0" applyNumberFormat="1" applyFont="1" applyFill="1" applyBorder="1"/>
    <x:xf numFmtId="0" fontId="32" fillId="79" borderId="226" xfId="0" applyNumberFormat="1" applyFont="1" applyFill="1" applyBorder="1"/>
    <x:xf numFmtId="0" fontId="32" fillId="79" borderId="219" xfId="0" applyNumberFormat="1" applyFont="1" applyFill="1" applyBorder="1" applyAlignment="1">
      <x:alignment wrapText="1"/>
    </x:xf>
    <x:xf numFmtId="0" fontId="32" fillId="79" borderId="220" xfId="0" applyNumberFormat="1" applyFont="1" applyFill="1" applyBorder="1" applyAlignment="1">
      <x:alignment wrapText="1"/>
    </x:xf>
    <x:xf numFmtId="0" fontId="32" fillId="79" borderId="221" xfId="0" applyNumberFormat="1" applyFont="1" applyFill="1" applyBorder="1" applyAlignment="1">
      <x:alignment wrapText="1"/>
    </x:xf>
    <x:xf numFmtId="0" fontId="32" fillId="79" borderId="222" xfId="0" applyNumberFormat="1" applyFont="1" applyFill="1" applyBorder="1" applyAlignment="1">
      <x:alignment wrapText="1"/>
    </x:xf>
    <x:xf numFmtId="0" fontId="32" fillId="79" xfId="0" applyNumberFormat="1" applyFont="1" applyFill="1" applyBorder="0" applyAlignment="1">
      <x:alignment wrapText="1"/>
    </x:xf>
    <x:xf numFmtId="0" fontId="32" fillId="79" borderId="223" xfId="0" applyNumberFormat="1" applyFont="1" applyFill="1" applyBorder="1" applyAlignment="1">
      <x:alignment wrapText="1"/>
    </x:xf>
    <x:xf numFmtId="0" fontId="32" fillId="79" borderId="224" xfId="0" applyNumberFormat="1" applyFont="1" applyFill="1" applyBorder="1" applyAlignment="1">
      <x:alignment wrapText="1"/>
    </x:xf>
    <x:xf numFmtId="0" fontId="32" fillId="79" borderId="225" xfId="0" applyNumberFormat="1" applyFont="1" applyFill="1" applyBorder="1" applyAlignment="1">
      <x:alignment wrapText="1"/>
    </x:xf>
    <x:xf numFmtId="0" fontId="32" fillId="79" borderId="226" xfId="0" applyNumberFormat="1" applyFont="1" applyFill="1" applyBorder="1" applyAlignment="1">
      <x:alignment wrapText="1"/>
    </x:xf>
    <x:xf numFmtId="0" fontId="32" fillId="79" borderId="219" xfId="0" applyNumberFormat="1" applyFont="1" applyFill="1" applyBorder="1" applyAlignment="1">
      <x:alignment horizontal="center" wrapText="1"/>
    </x:xf>
    <x:xf numFmtId="0" fontId="32" fillId="79" borderId="220" xfId="0" applyNumberFormat="1" applyFont="1" applyFill="1" applyBorder="1" applyAlignment="1">
      <x:alignment horizontal="center" wrapText="1"/>
    </x:xf>
    <x:xf numFmtId="0" fontId="32" fillId="79" borderId="221" xfId="0" applyNumberFormat="1" applyFont="1" applyFill="1" applyBorder="1" applyAlignment="1">
      <x:alignment horizontal="center" wrapText="1"/>
    </x:xf>
    <x:xf numFmtId="0" fontId="32" fillId="79" borderId="222" xfId="0" applyNumberFormat="1" applyFont="1" applyFill="1" applyBorder="1" applyAlignment="1">
      <x:alignment horizontal="center" wrapText="1"/>
    </x:xf>
    <x:xf numFmtId="0" fontId="32" fillId="79" xfId="0" applyNumberFormat="1" applyFont="1" applyFill="1" applyBorder="0" applyAlignment="1">
      <x:alignment horizontal="center" wrapText="1"/>
    </x:xf>
    <x:xf numFmtId="0" fontId="32" fillId="79" borderId="223" xfId="0" applyNumberFormat="1" applyFont="1" applyFill="1" applyBorder="1" applyAlignment="1">
      <x:alignment horizontal="center" wrapText="1"/>
    </x:xf>
    <x:xf numFmtId="0" fontId="32" fillId="79" borderId="224" xfId="0" applyNumberFormat="1" applyFont="1" applyFill="1" applyBorder="1" applyAlignment="1">
      <x:alignment horizontal="center" wrapText="1"/>
    </x:xf>
    <x:xf numFmtId="0" fontId="32" fillId="79" borderId="225" xfId="0" applyNumberFormat="1" applyFont="1" applyFill="1" applyBorder="1" applyAlignment="1">
      <x:alignment horizontal="center" wrapText="1"/>
    </x:xf>
    <x:xf numFmtId="0" fontId="32" fillId="79" borderId="226" xfId="0" applyNumberFormat="1" applyFont="1" applyFill="1" applyBorder="1" applyAlignment="1">
      <x:alignment horizontal="center" wrapText="1"/>
    </x:xf>
    <x:xf numFmtId="0" fontId="32" fillId="79" borderId="219" xfId="0" applyNumberFormat="1" applyFont="1" applyFill="1" applyBorder="1" applyAlignment="1">
      <x:alignment horizontal="center" vertical="center" wrapText="1"/>
    </x:xf>
    <x:xf numFmtId="0" fontId="32" fillId="79" borderId="220" xfId="0" applyNumberFormat="1" applyFont="1" applyFill="1" applyBorder="1" applyAlignment="1">
      <x:alignment horizontal="center" vertical="center" wrapText="1"/>
    </x:xf>
    <x:xf numFmtId="0" fontId="32" fillId="79" borderId="221" xfId="0" applyNumberFormat="1" applyFont="1" applyFill="1" applyBorder="1" applyAlignment="1">
      <x:alignment horizontal="center" vertical="center" wrapText="1"/>
    </x:xf>
    <x:xf numFmtId="0" fontId="32" fillId="79" borderId="222" xfId="0" applyNumberFormat="1" applyFont="1" applyFill="1" applyBorder="1" applyAlignment="1">
      <x:alignment horizontal="center" vertical="center" wrapText="1"/>
    </x:xf>
    <x:xf numFmtId="0" fontId="32" fillId="79" xfId="0" applyNumberFormat="1" applyFont="1" applyFill="1" applyBorder="0" applyAlignment="1">
      <x:alignment horizontal="center" vertical="center" wrapText="1"/>
    </x:xf>
    <x:xf numFmtId="0" fontId="32" fillId="79" borderId="223" xfId="0" applyNumberFormat="1" applyFont="1" applyFill="1" applyBorder="1" applyAlignment="1">
      <x:alignment horizontal="center" vertical="center" wrapText="1"/>
    </x:xf>
    <x:xf numFmtId="0" fontId="32" fillId="79" borderId="224" xfId="0" applyNumberFormat="1" applyFont="1" applyFill="1" applyBorder="1" applyAlignment="1">
      <x:alignment horizontal="center" vertical="center" wrapText="1"/>
    </x:xf>
    <x:xf numFmtId="0" fontId="32" fillId="79" borderId="225" xfId="0" applyNumberFormat="1" applyFont="1" applyFill="1" applyBorder="1" applyAlignment="1">
      <x:alignment horizontal="center" vertical="center" wrapText="1"/>
    </x:xf>
    <x:xf numFmtId="0" fontId="32" fillId="79" borderId="226" xfId="0" applyNumberFormat="1" applyFont="1" applyFill="1" applyBorder="1" applyAlignment="1">
      <x:alignment horizontal="center" vertical="center" wrapText="1"/>
    </x:xf>
    <x:xf numFmtId="0" fontId="0" fillId="81" borderId="0" xfId="0" applyNumberFormat="1" applyFont="1" applyFill="1" applyBorder="1"/>
    <x:xf numFmtId="0" fontId="32" fillId="81" borderId="0" xfId="0" applyNumberFormat="1" applyFont="1" applyFill="1" applyBorder="1"/>
    <x:xf numFmtId="0" fontId="32" fillId="81" borderId="219" xfId="0" applyNumberFormat="1" applyFont="1" applyFill="1" applyBorder="1"/>
    <x:xf numFmtId="0" fontId="32" fillId="81" borderId="220" xfId="0" applyNumberFormat="1" applyFont="1" applyFill="1" applyBorder="1"/>
    <x:xf numFmtId="0" fontId="32" fillId="81" borderId="221" xfId="0" applyNumberFormat="1" applyFont="1" applyFill="1" applyBorder="1"/>
    <x:xf numFmtId="0" fontId="32" fillId="81" borderId="222" xfId="0" applyNumberFormat="1" applyFont="1" applyFill="1" applyBorder="1"/>
    <x:xf numFmtId="0" fontId="32" fillId="81" xfId="0" applyNumberFormat="1" applyFont="1" applyFill="1" applyBorder="0"/>
    <x:xf numFmtId="0" fontId="32" fillId="81" borderId="223" xfId="0" applyNumberFormat="1" applyFont="1" applyFill="1" applyBorder="1"/>
    <x:xf numFmtId="0" fontId="32" fillId="81" borderId="224" xfId="0" applyNumberFormat="1" applyFont="1" applyFill="1" applyBorder="1"/>
    <x:xf numFmtId="0" fontId="32" fillId="81" borderId="225" xfId="0" applyNumberFormat="1" applyFont="1" applyFill="1" applyBorder="1"/>
    <x:xf numFmtId="0" fontId="32" fillId="81" borderId="226" xfId="0" applyNumberFormat="1" applyFont="1" applyFill="1" applyBorder="1"/>
    <x:xf numFmtId="0" fontId="32" fillId="81" borderId="219" xfId="0" applyNumberFormat="1" applyFont="1" applyFill="1" applyBorder="1" applyAlignment="1">
      <x:alignment wrapText="1"/>
    </x:xf>
    <x:xf numFmtId="0" fontId="32" fillId="81" borderId="220" xfId="0" applyNumberFormat="1" applyFont="1" applyFill="1" applyBorder="1" applyAlignment="1">
      <x:alignment wrapText="1"/>
    </x:xf>
    <x:xf numFmtId="0" fontId="32" fillId="81" borderId="221" xfId="0" applyNumberFormat="1" applyFont="1" applyFill="1" applyBorder="1" applyAlignment="1">
      <x:alignment wrapText="1"/>
    </x:xf>
    <x:xf numFmtId="0" fontId="32" fillId="81" borderId="222" xfId="0" applyNumberFormat="1" applyFont="1" applyFill="1" applyBorder="1" applyAlignment="1">
      <x:alignment wrapText="1"/>
    </x:xf>
    <x:xf numFmtId="0" fontId="32" fillId="81" xfId="0" applyNumberFormat="1" applyFont="1" applyFill="1" applyBorder="0" applyAlignment="1">
      <x:alignment wrapText="1"/>
    </x:xf>
    <x:xf numFmtId="0" fontId="32" fillId="81" borderId="223" xfId="0" applyNumberFormat="1" applyFont="1" applyFill="1" applyBorder="1" applyAlignment="1">
      <x:alignment wrapText="1"/>
    </x:xf>
    <x:xf numFmtId="0" fontId="32" fillId="81" borderId="224" xfId="0" applyNumberFormat="1" applyFont="1" applyFill="1" applyBorder="1" applyAlignment="1">
      <x:alignment wrapText="1"/>
    </x:xf>
    <x:xf numFmtId="0" fontId="32" fillId="81" borderId="225" xfId="0" applyNumberFormat="1" applyFont="1" applyFill="1" applyBorder="1" applyAlignment="1">
      <x:alignment wrapText="1"/>
    </x:xf>
    <x:xf numFmtId="0" fontId="32" fillId="81" borderId="226" xfId="0" applyNumberFormat="1" applyFont="1" applyFill="1" applyBorder="1" applyAlignment="1">
      <x:alignment wrapText="1"/>
    </x:xf>
    <x:xf numFmtId="0" fontId="32" fillId="81" borderId="219" xfId="0" applyNumberFormat="1" applyFont="1" applyFill="1" applyBorder="1" applyAlignment="1">
      <x:alignment horizontal="center" wrapText="1"/>
    </x:xf>
    <x:xf numFmtId="0" fontId="32" fillId="81" borderId="220" xfId="0" applyNumberFormat="1" applyFont="1" applyFill="1" applyBorder="1" applyAlignment="1">
      <x:alignment horizontal="center" wrapText="1"/>
    </x:xf>
    <x:xf numFmtId="0" fontId="32" fillId="81" borderId="221" xfId="0" applyNumberFormat="1" applyFont="1" applyFill="1" applyBorder="1" applyAlignment="1">
      <x:alignment horizontal="center" wrapText="1"/>
    </x:xf>
    <x:xf numFmtId="0" fontId="32" fillId="81" borderId="222" xfId="0" applyNumberFormat="1" applyFont="1" applyFill="1" applyBorder="1" applyAlignment="1">
      <x:alignment horizontal="center" wrapText="1"/>
    </x:xf>
    <x:xf numFmtId="0" fontId="32" fillId="81" xfId="0" applyNumberFormat="1" applyFont="1" applyFill="1" applyBorder="0" applyAlignment="1">
      <x:alignment horizontal="center" wrapText="1"/>
    </x:xf>
    <x:xf numFmtId="0" fontId="32" fillId="81" borderId="223" xfId="0" applyNumberFormat="1" applyFont="1" applyFill="1" applyBorder="1" applyAlignment="1">
      <x:alignment horizontal="center" wrapText="1"/>
    </x:xf>
    <x:xf numFmtId="0" fontId="32" fillId="81" borderId="224" xfId="0" applyNumberFormat="1" applyFont="1" applyFill="1" applyBorder="1" applyAlignment="1">
      <x:alignment horizontal="center" wrapText="1"/>
    </x:xf>
    <x:xf numFmtId="0" fontId="32" fillId="81" borderId="225" xfId="0" applyNumberFormat="1" applyFont="1" applyFill="1" applyBorder="1" applyAlignment="1">
      <x:alignment horizontal="center" wrapText="1"/>
    </x:xf>
    <x:xf numFmtId="0" fontId="32" fillId="81" borderId="226" xfId="0" applyNumberFormat="1" applyFont="1" applyFill="1" applyBorder="1" applyAlignment="1">
      <x:alignment horizontal="center" wrapText="1"/>
    </x:xf>
    <x:xf numFmtId="0" fontId="32" fillId="81" borderId="219" xfId="0" applyNumberFormat="1" applyFont="1" applyFill="1" applyBorder="1" applyAlignment="1">
      <x:alignment horizontal="center" vertical="center" wrapText="1"/>
    </x:xf>
    <x:xf numFmtId="0" fontId="32" fillId="81" borderId="220" xfId="0" applyNumberFormat="1" applyFont="1" applyFill="1" applyBorder="1" applyAlignment="1">
      <x:alignment horizontal="center" vertical="center" wrapText="1"/>
    </x:xf>
    <x:xf numFmtId="0" fontId="32" fillId="81" borderId="221" xfId="0" applyNumberFormat="1" applyFont="1" applyFill="1" applyBorder="1" applyAlignment="1">
      <x:alignment horizontal="center" vertical="center" wrapText="1"/>
    </x:xf>
    <x:xf numFmtId="0" fontId="32" fillId="81" borderId="222" xfId="0" applyNumberFormat="1" applyFont="1" applyFill="1" applyBorder="1" applyAlignment="1">
      <x:alignment horizontal="center" vertical="center" wrapText="1"/>
    </x:xf>
    <x:xf numFmtId="0" fontId="32" fillId="81" xfId="0" applyNumberFormat="1" applyFont="1" applyFill="1" applyBorder="0" applyAlignment="1">
      <x:alignment horizontal="center" vertical="center" wrapText="1"/>
    </x:xf>
    <x:xf numFmtId="0" fontId="32" fillId="81" borderId="223" xfId="0" applyNumberFormat="1" applyFont="1" applyFill="1" applyBorder="1" applyAlignment="1">
      <x:alignment horizontal="center" vertical="center" wrapText="1"/>
    </x:xf>
    <x:xf numFmtId="0" fontId="32" fillId="81" borderId="224" xfId="0" applyNumberFormat="1" applyFont="1" applyFill="1" applyBorder="1" applyAlignment="1">
      <x:alignment horizontal="center" vertical="center" wrapText="1"/>
    </x:xf>
    <x:xf numFmtId="0" fontId="32" fillId="81" borderId="225" xfId="0" applyNumberFormat="1" applyFont="1" applyFill="1" applyBorder="1" applyAlignment="1">
      <x:alignment horizontal="center" vertical="center" wrapText="1"/>
    </x:xf>
    <x:xf numFmtId="0" fontId="32" fillId="81" borderId="226" xfId="0" applyNumberFormat="1" applyFont="1" applyFill="1" applyBorder="1" applyAlignment="1">
      <x:alignment horizontal="center" vertical="center" wrapText="1"/>
    </x:xf>
    <x:xf numFmtId="0" fontId="32" fillId="77" borderId="0" xfId="0" applyNumberFormat="1" applyFont="1" applyFill="1" applyBorder="1"/>
    <x:xf numFmtId="0" fontId="32" fillId="77" borderId="227" xfId="0" applyNumberFormat="1" applyFont="1" applyFill="1" applyBorder="1"/>
    <x:xf numFmtId="0" fontId="32" fillId="77" borderId="228" xfId="0" applyNumberFormat="1" applyFont="1" applyFill="1" applyBorder="1"/>
    <x:xf numFmtId="0" fontId="32" fillId="77" borderId="229" xfId="0" applyNumberFormat="1" applyFont="1" applyFill="1" applyBorder="1"/>
    <x:xf numFmtId="0" fontId="32" fillId="77" borderId="230" xfId="0" applyNumberFormat="1" applyFont="1" applyFill="1" applyBorder="1"/>
    <x:xf numFmtId="0" fontId="32" fillId="77" xfId="0" applyNumberFormat="1" applyFont="1" applyFill="1" applyBorder="0"/>
    <x:xf numFmtId="0" fontId="32" fillId="77" borderId="231" xfId="0" applyNumberFormat="1" applyFont="1" applyFill="1" applyBorder="1"/>
    <x:xf numFmtId="0" fontId="32" fillId="77" borderId="232" xfId="0" applyNumberFormat="1" applyFont="1" applyFill="1" applyBorder="1"/>
    <x:xf numFmtId="0" fontId="32" fillId="77" borderId="218" xfId="0" applyNumberFormat="1" applyFont="1" applyFill="1" applyBorder="1"/>
    <x:xf numFmtId="0" fontId="32" fillId="77" borderId="233" xfId="0" applyNumberFormat="1" applyFont="1" applyFill="1" applyBorder="1"/>
    <x:xf numFmtId="0" fontId="32" fillId="77" borderId="227" xfId="0" applyNumberFormat="1" applyFont="1" applyFill="1" applyBorder="1" applyAlignment="1">
      <x:alignment wrapText="1"/>
    </x:xf>
    <x:xf numFmtId="0" fontId="32" fillId="77" borderId="228" xfId="0" applyNumberFormat="1" applyFont="1" applyFill="1" applyBorder="1" applyAlignment="1">
      <x:alignment wrapText="1"/>
    </x:xf>
    <x:xf numFmtId="0" fontId="32" fillId="77" borderId="229" xfId="0" applyNumberFormat="1" applyFont="1" applyFill="1" applyBorder="1" applyAlignment="1">
      <x:alignment wrapText="1"/>
    </x:xf>
    <x:xf numFmtId="0" fontId="32" fillId="77" borderId="230" xfId="0" applyNumberFormat="1" applyFont="1" applyFill="1" applyBorder="1" applyAlignment="1">
      <x:alignment wrapText="1"/>
    </x:xf>
    <x:xf numFmtId="0" fontId="32" fillId="77" xfId="0" applyNumberFormat="1" applyFont="1" applyFill="1" applyBorder="0" applyAlignment="1">
      <x:alignment wrapText="1"/>
    </x:xf>
    <x:xf numFmtId="0" fontId="32" fillId="77" borderId="231" xfId="0" applyNumberFormat="1" applyFont="1" applyFill="1" applyBorder="1" applyAlignment="1">
      <x:alignment wrapText="1"/>
    </x:xf>
    <x:xf numFmtId="0" fontId="32" fillId="77" borderId="232" xfId="0" applyNumberFormat="1" applyFont="1" applyFill="1" applyBorder="1" applyAlignment="1">
      <x:alignment wrapText="1"/>
    </x:xf>
    <x:xf numFmtId="0" fontId="32" fillId="77" borderId="218" xfId="0" applyNumberFormat="1" applyFont="1" applyFill="1" applyBorder="1" applyAlignment="1">
      <x:alignment wrapText="1"/>
    </x:xf>
    <x:xf numFmtId="0" fontId="32" fillId="77" borderId="233" xfId="0" applyNumberFormat="1" applyFont="1" applyFill="1" applyBorder="1" applyAlignment="1">
      <x:alignment wrapText="1"/>
    </x:xf>
    <x:xf numFmtId="0" fontId="32" fillId="77" borderId="227" xfId="0" applyNumberFormat="1" applyFont="1" applyFill="1" applyBorder="1" applyAlignment="1">
      <x:alignment horizontal="center" wrapText="1"/>
    </x:xf>
    <x:xf numFmtId="0" fontId="32" fillId="77" borderId="228" xfId="0" applyNumberFormat="1" applyFont="1" applyFill="1" applyBorder="1" applyAlignment="1">
      <x:alignment horizontal="center" wrapText="1"/>
    </x:xf>
    <x:xf numFmtId="0" fontId="32" fillId="77" borderId="229" xfId="0" applyNumberFormat="1" applyFont="1" applyFill="1" applyBorder="1" applyAlignment="1">
      <x:alignment horizontal="center" wrapText="1"/>
    </x:xf>
    <x:xf numFmtId="0" fontId="32" fillId="77" borderId="230" xfId="0" applyNumberFormat="1" applyFont="1" applyFill="1" applyBorder="1" applyAlignment="1">
      <x:alignment horizontal="center" wrapText="1"/>
    </x:xf>
    <x:xf numFmtId="0" fontId="32" fillId="77" xfId="0" applyNumberFormat="1" applyFont="1" applyFill="1" applyBorder="0" applyAlignment="1">
      <x:alignment horizontal="center" wrapText="1"/>
    </x:xf>
    <x:xf numFmtId="0" fontId="32" fillId="77" borderId="231" xfId="0" applyNumberFormat="1" applyFont="1" applyFill="1" applyBorder="1" applyAlignment="1">
      <x:alignment horizontal="center" wrapText="1"/>
    </x:xf>
    <x:xf numFmtId="0" fontId="32" fillId="77" borderId="232" xfId="0" applyNumberFormat="1" applyFont="1" applyFill="1" applyBorder="1" applyAlignment="1">
      <x:alignment horizontal="center" wrapText="1"/>
    </x:xf>
    <x:xf numFmtId="0" fontId="32" fillId="77" borderId="218" xfId="0" applyNumberFormat="1" applyFont="1" applyFill="1" applyBorder="1" applyAlignment="1">
      <x:alignment horizontal="center" wrapText="1"/>
    </x:xf>
    <x:xf numFmtId="0" fontId="32" fillId="77" borderId="233" xfId="0" applyNumberFormat="1" applyFont="1" applyFill="1" applyBorder="1" applyAlignment="1">
      <x:alignment horizontal="center" wrapText="1"/>
    </x:xf>
    <x:xf numFmtId="0" fontId="32" fillId="77" borderId="227" xfId="0" applyNumberFormat="1" applyFont="1" applyFill="1" applyBorder="1" applyAlignment="1">
      <x:alignment horizontal="center" vertical="center" wrapText="1"/>
    </x:xf>
    <x:xf numFmtId="0" fontId="32" fillId="77" borderId="228" xfId="0" applyNumberFormat="1" applyFont="1" applyFill="1" applyBorder="1" applyAlignment="1">
      <x:alignment horizontal="center" vertical="center" wrapText="1"/>
    </x:xf>
    <x:xf numFmtId="0" fontId="32" fillId="77" borderId="229" xfId="0" applyNumberFormat="1" applyFont="1" applyFill="1" applyBorder="1" applyAlignment="1">
      <x:alignment horizontal="center" vertical="center" wrapText="1"/>
    </x:xf>
    <x:xf numFmtId="0" fontId="32" fillId="77" borderId="230" xfId="0" applyNumberFormat="1" applyFont="1" applyFill="1" applyBorder="1" applyAlignment="1">
      <x:alignment horizontal="center" vertical="center" wrapText="1"/>
    </x:xf>
    <x:xf numFmtId="0" fontId="32" fillId="77" xfId="0" applyNumberFormat="1" applyFont="1" applyFill="1" applyBorder="0" applyAlignment="1">
      <x:alignment horizontal="center" vertical="center" wrapText="1"/>
    </x:xf>
    <x:xf numFmtId="0" fontId="32" fillId="77" borderId="231" xfId="0" applyNumberFormat="1" applyFont="1" applyFill="1" applyBorder="1" applyAlignment="1">
      <x:alignment horizontal="center" vertical="center" wrapText="1"/>
    </x:xf>
    <x:xf numFmtId="0" fontId="32" fillId="77" borderId="232" xfId="0" applyNumberFormat="1" applyFont="1" applyFill="1" applyBorder="1" applyAlignment="1">
      <x:alignment horizontal="center" vertical="center" wrapText="1"/>
    </x:xf>
    <x:xf numFmtId="0" fontId="32" fillId="77" borderId="218" xfId="0" applyNumberFormat="1" applyFont="1" applyFill="1" applyBorder="1" applyAlignment="1">
      <x:alignment horizontal="center" vertical="center" wrapText="1"/>
    </x:xf>
    <x:xf numFmtId="0" fontId="32" fillId="77" borderId="233" xfId="0" applyNumberFormat="1" applyFont="1" applyFill="1" applyBorder="1" applyAlignment="1">
      <x:alignment horizontal="center" vertical="center" wrapText="1"/>
    </x:xf>
    <x:xf numFmtId="0" fontId="35" fillId="79" borderId="0" xfId="0" applyNumberFormat="1" applyFont="1" applyFill="1" applyBorder="1" applyAlignment="1">
      <x:alignment vertical="center" wrapText="1"/>
    </x:xf>
    <x:xf numFmtId="0" fontId="34" fillId="76" borderId="0" xfId="0" applyNumberFormat="1" applyFont="1" applyFill="1" applyBorder="1"/>
    <x:xf numFmtId="0" fontId="34" fillId="76" borderId="0" xfId="0" applyNumberFormat="1" applyFont="1" applyFill="1" applyBorder="1" applyAlignment="1">
      <x:alignment wrapText="1"/>
    </x:xf>
    <x:xf numFmtId="0" fontId="32" fillId="80" borderId="0" xfId="0" applyNumberFormat="1" applyFont="1" applyFill="1" applyBorder="1"/>
    <x:xf numFmtId="0" fontId="32" fillId="80" borderId="219" xfId="0" applyNumberFormat="1" applyFont="1" applyFill="1" applyBorder="1"/>
    <x:xf numFmtId="0" fontId="32" fillId="80" borderId="220" xfId="0" applyNumberFormat="1" applyFont="1" applyFill="1" applyBorder="1"/>
    <x:xf numFmtId="0" fontId="32" fillId="80" borderId="221" xfId="0" applyNumberFormat="1" applyFont="1" applyFill="1" applyBorder="1"/>
    <x:xf numFmtId="0" fontId="32" fillId="80" borderId="222" xfId="0" applyNumberFormat="1" applyFont="1" applyFill="1" applyBorder="1"/>
    <x:xf numFmtId="0" fontId="32" fillId="80" xfId="0" applyNumberFormat="1" applyFont="1" applyFill="1" applyBorder="0"/>
    <x:xf numFmtId="0" fontId="32" fillId="80" borderId="223" xfId="0" applyNumberFormat="1" applyFont="1" applyFill="1" applyBorder="1"/>
    <x:xf numFmtId="0" fontId="32" fillId="80" borderId="224" xfId="0" applyNumberFormat="1" applyFont="1" applyFill="1" applyBorder="1"/>
    <x:xf numFmtId="0" fontId="32" fillId="80" borderId="225" xfId="0" applyNumberFormat="1" applyFont="1" applyFill="1" applyBorder="1"/>
    <x:xf numFmtId="0" fontId="32" fillId="80" borderId="226" xfId="0" applyNumberFormat="1" applyFont="1" applyFill="1" applyBorder="1"/>
    <x:xf numFmtId="0" fontId="32" fillId="80" borderId="219" xfId="0" applyNumberFormat="1" applyFont="1" applyFill="1" applyBorder="1" applyAlignment="1">
      <x:alignment wrapText="1"/>
    </x:xf>
    <x:xf numFmtId="0" fontId="32" fillId="80" borderId="220" xfId="0" applyNumberFormat="1" applyFont="1" applyFill="1" applyBorder="1" applyAlignment="1">
      <x:alignment wrapText="1"/>
    </x:xf>
    <x:xf numFmtId="0" fontId="32" fillId="80" borderId="221" xfId="0" applyNumberFormat="1" applyFont="1" applyFill="1" applyBorder="1" applyAlignment="1">
      <x:alignment wrapText="1"/>
    </x:xf>
    <x:xf numFmtId="0" fontId="32" fillId="80" borderId="222" xfId="0" applyNumberFormat="1" applyFont="1" applyFill="1" applyBorder="1" applyAlignment="1">
      <x:alignment wrapText="1"/>
    </x:xf>
    <x:xf numFmtId="0" fontId="32" fillId="80" xfId="0" applyNumberFormat="1" applyFont="1" applyFill="1" applyBorder="0" applyAlignment="1">
      <x:alignment wrapText="1"/>
    </x:xf>
    <x:xf numFmtId="0" fontId="32" fillId="80" borderId="223" xfId="0" applyNumberFormat="1" applyFont="1" applyFill="1" applyBorder="1" applyAlignment="1">
      <x:alignment wrapText="1"/>
    </x:xf>
    <x:xf numFmtId="0" fontId="32" fillId="80" borderId="224" xfId="0" applyNumberFormat="1" applyFont="1" applyFill="1" applyBorder="1" applyAlignment="1">
      <x:alignment wrapText="1"/>
    </x:xf>
    <x:xf numFmtId="0" fontId="32" fillId="80" borderId="225" xfId="0" applyNumberFormat="1" applyFont="1" applyFill="1" applyBorder="1" applyAlignment="1">
      <x:alignment wrapText="1"/>
    </x:xf>
    <x:xf numFmtId="0" fontId="32" fillId="80" borderId="226" xfId="0" applyNumberFormat="1" applyFont="1" applyFill="1" applyBorder="1" applyAlignment="1">
      <x:alignment wrapText="1"/>
    </x:xf>
    <x:xf numFmtId="0" fontId="32" fillId="80" borderId="219" xfId="0" applyNumberFormat="1" applyFont="1" applyFill="1" applyBorder="1" applyAlignment="1">
      <x:alignment horizontal="center" wrapText="1"/>
    </x:xf>
    <x:xf numFmtId="0" fontId="32" fillId="80" borderId="220" xfId="0" applyNumberFormat="1" applyFont="1" applyFill="1" applyBorder="1" applyAlignment="1">
      <x:alignment horizontal="center" wrapText="1"/>
    </x:xf>
    <x:xf numFmtId="0" fontId="32" fillId="80" borderId="221" xfId="0" applyNumberFormat="1" applyFont="1" applyFill="1" applyBorder="1" applyAlignment="1">
      <x:alignment horizontal="center" wrapText="1"/>
    </x:xf>
    <x:xf numFmtId="0" fontId="32" fillId="80" borderId="222" xfId="0" applyNumberFormat="1" applyFont="1" applyFill="1" applyBorder="1" applyAlignment="1">
      <x:alignment horizontal="center" wrapText="1"/>
    </x:xf>
    <x:xf numFmtId="0" fontId="32" fillId="80" xfId="0" applyNumberFormat="1" applyFont="1" applyFill="1" applyBorder="0" applyAlignment="1">
      <x:alignment horizontal="center" wrapText="1"/>
    </x:xf>
    <x:xf numFmtId="0" fontId="32" fillId="80" borderId="223" xfId="0" applyNumberFormat="1" applyFont="1" applyFill="1" applyBorder="1" applyAlignment="1">
      <x:alignment horizontal="center" wrapText="1"/>
    </x:xf>
    <x:xf numFmtId="0" fontId="32" fillId="80" borderId="224" xfId="0" applyNumberFormat="1" applyFont="1" applyFill="1" applyBorder="1" applyAlignment="1">
      <x:alignment horizontal="center" wrapText="1"/>
    </x:xf>
    <x:xf numFmtId="0" fontId="32" fillId="80" borderId="225" xfId="0" applyNumberFormat="1" applyFont="1" applyFill="1" applyBorder="1" applyAlignment="1">
      <x:alignment horizontal="center" wrapText="1"/>
    </x:xf>
    <x:xf numFmtId="0" fontId="32" fillId="80" borderId="226" xfId="0" applyNumberFormat="1" applyFont="1" applyFill="1" applyBorder="1" applyAlignment="1">
      <x:alignment horizontal="center" wrapText="1"/>
    </x:xf>
    <x:xf numFmtId="0" fontId="32" fillId="80" borderId="219" xfId="0" applyNumberFormat="1" applyFont="1" applyFill="1" applyBorder="1" applyAlignment="1">
      <x:alignment horizontal="center" vertical="center" wrapText="1"/>
    </x:xf>
    <x:xf numFmtId="0" fontId="32" fillId="80" borderId="220" xfId="0" applyNumberFormat="1" applyFont="1" applyFill="1" applyBorder="1" applyAlignment="1">
      <x:alignment horizontal="center" vertical="center" wrapText="1"/>
    </x:xf>
    <x:xf numFmtId="0" fontId="32" fillId="80" borderId="221" xfId="0" applyNumberFormat="1" applyFont="1" applyFill="1" applyBorder="1" applyAlignment="1">
      <x:alignment horizontal="center" vertical="center" wrapText="1"/>
    </x:xf>
    <x:xf numFmtId="0" fontId="32" fillId="80" borderId="222" xfId="0" applyNumberFormat="1" applyFont="1" applyFill="1" applyBorder="1" applyAlignment="1">
      <x:alignment horizontal="center" vertical="center" wrapText="1"/>
    </x:xf>
    <x:xf numFmtId="0" fontId="32" fillId="80" xfId="0" applyNumberFormat="1" applyFont="1" applyFill="1" applyBorder="0" applyAlignment="1">
      <x:alignment horizontal="center" vertical="center" wrapText="1"/>
    </x:xf>
    <x:xf numFmtId="0" fontId="32" fillId="80" borderId="223" xfId="0" applyNumberFormat="1" applyFont="1" applyFill="1" applyBorder="1" applyAlignment="1">
      <x:alignment horizontal="center" vertical="center" wrapText="1"/>
    </x:xf>
    <x:xf numFmtId="0" fontId="32" fillId="80" borderId="224" xfId="0" applyNumberFormat="1" applyFont="1" applyFill="1" applyBorder="1" applyAlignment="1">
      <x:alignment horizontal="center" vertical="center" wrapText="1"/>
    </x:xf>
    <x:xf numFmtId="0" fontId="32" fillId="80" borderId="225" xfId="0" applyNumberFormat="1" applyFont="1" applyFill="1" applyBorder="1" applyAlignment="1">
      <x:alignment horizontal="center" vertical="center" wrapText="1"/>
    </x:xf>
    <x:xf numFmtId="0" fontId="32" fillId="80" borderId="226" xfId="0" applyNumberFormat="1" applyFont="1" applyFill="1" applyBorder="1" applyAlignment="1">
      <x:alignment horizontal="center" vertical="center" wrapText="1"/>
    </x:xf>
    <x:xf numFmtId="0" fontId="32" fillId="80" borderId="227" xfId="0" applyNumberFormat="1" applyFont="1" applyFill="1" applyBorder="1"/>
    <x:xf numFmtId="0" fontId="32" fillId="80" borderId="228" xfId="0" applyNumberFormat="1" applyFont="1" applyFill="1" applyBorder="1"/>
    <x:xf numFmtId="0" fontId="32" fillId="80" borderId="229" xfId="0" applyNumberFormat="1" applyFont="1" applyFill="1" applyBorder="1"/>
    <x:xf numFmtId="0" fontId="32" fillId="80" borderId="230" xfId="0" applyNumberFormat="1" applyFont="1" applyFill="1" applyBorder="1"/>
    <x:xf numFmtId="0" fontId="32" fillId="80" borderId="231" xfId="0" applyNumberFormat="1" applyFont="1" applyFill="1" applyBorder="1"/>
    <x:xf numFmtId="0" fontId="32" fillId="80" borderId="232" xfId="0" applyNumberFormat="1" applyFont="1" applyFill="1" applyBorder="1"/>
    <x:xf numFmtId="0" fontId="32" fillId="80" borderId="218" xfId="0" applyNumberFormat="1" applyFont="1" applyFill="1" applyBorder="1"/>
    <x:xf numFmtId="0" fontId="32" fillId="80" borderId="233" xfId="0" applyNumberFormat="1" applyFont="1" applyFill="1" applyBorder="1"/>
    <x:xf numFmtId="0" fontId="32" fillId="80" borderId="227" xfId="0" applyNumberFormat="1" applyFont="1" applyFill="1" applyBorder="1" applyAlignment="1">
      <x:alignment wrapText="1"/>
    </x:xf>
    <x:xf numFmtId="0" fontId="32" fillId="80" borderId="228" xfId="0" applyNumberFormat="1" applyFont="1" applyFill="1" applyBorder="1" applyAlignment="1">
      <x:alignment wrapText="1"/>
    </x:xf>
    <x:xf numFmtId="0" fontId="32" fillId="80" borderId="229" xfId="0" applyNumberFormat="1" applyFont="1" applyFill="1" applyBorder="1" applyAlignment="1">
      <x:alignment wrapText="1"/>
    </x:xf>
    <x:xf numFmtId="0" fontId="32" fillId="80" borderId="230" xfId="0" applyNumberFormat="1" applyFont="1" applyFill="1" applyBorder="1" applyAlignment="1">
      <x:alignment wrapText="1"/>
    </x:xf>
    <x:xf numFmtId="0" fontId="32" fillId="80" borderId="231" xfId="0" applyNumberFormat="1" applyFont="1" applyFill="1" applyBorder="1" applyAlignment="1">
      <x:alignment wrapText="1"/>
    </x:xf>
    <x:xf numFmtId="0" fontId="32" fillId="80" borderId="232" xfId="0" applyNumberFormat="1" applyFont="1" applyFill="1" applyBorder="1" applyAlignment="1">
      <x:alignment wrapText="1"/>
    </x:xf>
    <x:xf numFmtId="0" fontId="32" fillId="80" borderId="218" xfId="0" applyNumberFormat="1" applyFont="1" applyFill="1" applyBorder="1" applyAlignment="1">
      <x:alignment wrapText="1"/>
    </x:xf>
    <x:xf numFmtId="0" fontId="32" fillId="80" borderId="233" xfId="0" applyNumberFormat="1" applyFont="1" applyFill="1" applyBorder="1" applyAlignment="1">
      <x:alignment wrapText="1"/>
    </x:xf>
    <x:xf numFmtId="0" fontId="32" fillId="80" borderId="227" xfId="0" applyNumberFormat="1" applyFont="1" applyFill="1" applyBorder="1" applyAlignment="1">
      <x:alignment horizontal="center" wrapText="1"/>
    </x:xf>
    <x:xf numFmtId="0" fontId="32" fillId="80" borderId="228" xfId="0" applyNumberFormat="1" applyFont="1" applyFill="1" applyBorder="1" applyAlignment="1">
      <x:alignment horizontal="center" wrapText="1"/>
    </x:xf>
    <x:xf numFmtId="0" fontId="32" fillId="80" borderId="229" xfId="0" applyNumberFormat="1" applyFont="1" applyFill="1" applyBorder="1" applyAlignment="1">
      <x:alignment horizontal="center" wrapText="1"/>
    </x:xf>
    <x:xf numFmtId="0" fontId="32" fillId="80" borderId="230" xfId="0" applyNumberFormat="1" applyFont="1" applyFill="1" applyBorder="1" applyAlignment="1">
      <x:alignment horizontal="center" wrapText="1"/>
    </x:xf>
    <x:xf numFmtId="0" fontId="32" fillId="80" borderId="231" xfId="0" applyNumberFormat="1" applyFont="1" applyFill="1" applyBorder="1" applyAlignment="1">
      <x:alignment horizontal="center" wrapText="1"/>
    </x:xf>
    <x:xf numFmtId="0" fontId="32" fillId="80" borderId="232" xfId="0" applyNumberFormat="1" applyFont="1" applyFill="1" applyBorder="1" applyAlignment="1">
      <x:alignment horizontal="center" wrapText="1"/>
    </x:xf>
    <x:xf numFmtId="0" fontId="32" fillId="80" borderId="218" xfId="0" applyNumberFormat="1" applyFont="1" applyFill="1" applyBorder="1" applyAlignment="1">
      <x:alignment horizontal="center" wrapText="1"/>
    </x:xf>
    <x:xf numFmtId="0" fontId="32" fillId="80" borderId="233" xfId="0" applyNumberFormat="1" applyFont="1" applyFill="1" applyBorder="1" applyAlignment="1">
      <x:alignment horizontal="center" wrapText="1"/>
    </x:xf>
    <x:xf numFmtId="0" fontId="32" fillId="80" borderId="227" xfId="0" applyNumberFormat="1" applyFont="1" applyFill="1" applyBorder="1" applyAlignment="1">
      <x:alignment horizontal="center" vertical="center" wrapText="1"/>
    </x:xf>
    <x:xf numFmtId="0" fontId="32" fillId="80" borderId="228" xfId="0" applyNumberFormat="1" applyFont="1" applyFill="1" applyBorder="1" applyAlignment="1">
      <x:alignment horizontal="center" vertical="center" wrapText="1"/>
    </x:xf>
    <x:xf numFmtId="0" fontId="32" fillId="80" borderId="229" xfId="0" applyNumberFormat="1" applyFont="1" applyFill="1" applyBorder="1" applyAlignment="1">
      <x:alignment horizontal="center" vertical="center" wrapText="1"/>
    </x:xf>
    <x:xf numFmtId="0" fontId="32" fillId="80" borderId="230" xfId="0" applyNumberFormat="1" applyFont="1" applyFill="1" applyBorder="1" applyAlignment="1">
      <x:alignment horizontal="center" vertical="center" wrapText="1"/>
    </x:xf>
    <x:xf numFmtId="0" fontId="32" fillId="80" borderId="231" xfId="0" applyNumberFormat="1" applyFont="1" applyFill="1" applyBorder="1" applyAlignment="1">
      <x:alignment horizontal="center" vertical="center" wrapText="1"/>
    </x:xf>
    <x:xf numFmtId="0" fontId="32" fillId="80" borderId="232" xfId="0" applyNumberFormat="1" applyFont="1" applyFill="1" applyBorder="1" applyAlignment="1">
      <x:alignment horizontal="center" vertical="center" wrapText="1"/>
    </x:xf>
    <x:xf numFmtId="0" fontId="32" fillId="80" borderId="218" xfId="0" applyNumberFormat="1" applyFont="1" applyFill="1" applyBorder="1" applyAlignment="1">
      <x:alignment horizontal="center" vertical="center" wrapText="1"/>
    </x:xf>
    <x:xf numFmtId="0" fontId="32" fillId="80" borderId="233" xfId="0" applyNumberFormat="1" applyFont="1" applyFill="1" applyBorder="1" applyAlignment="1">
      <x:alignment horizontal="center" vertical="center" wrapText="1"/>
    </x:xf>
    <x:xf numFmtId="0" fontId="35" fillId="81" borderId="0" xfId="0" applyNumberFormat="1" applyFont="1" applyFill="1" applyBorder="1"/>
    <x:xf numFmtId="0" fontId="35" fillId="81" borderId="0" xfId="0" applyNumberFormat="1" applyFont="1" applyFill="1" applyBorder="1" applyAlignment="1">
      <x:alignment wrapText="1"/>
    </x:xf>
    <x:xf numFmtId="0" fontId="35" fillId="81" borderId="0" xfId="0" applyNumberFormat="1" applyFont="1" applyFill="1" applyBorder="1" applyAlignment="1">
      <x:alignment vertical="top" wrapText="1"/>
    </x:xf>
    <x:xf numFmtId="0" fontId="0" fillId="82" borderId="0" xfId="0" applyNumberFormat="1" applyFont="1" applyFill="1" applyBorder="1"/>
    <x:xf numFmtId="0" fontId="35" fillId="82" borderId="0" xfId="0" applyNumberFormat="1" applyFont="1" applyFill="1" applyBorder="1"/>
    <x:xf numFmtId="0" fontId="35" fillId="82" borderId="0" xfId="0" applyNumberFormat="1" applyFont="1" applyFill="1" applyBorder="1" applyAlignment="1">
      <x:alignment wrapText="1"/>
    </x:xf>
    <x:xf numFmtId="0" fontId="35" fillId="82" borderId="0" xfId="0" applyNumberFormat="1" applyFont="1" applyFill="1" applyBorder="1" applyAlignment="1">
      <x:alignment vertical="top" wrapText="1"/>
    </x:xf>
    <x:xf numFmtId="0" fontId="40" fillId="77" borderId="218" xfId="0" applyNumberFormat="1" applyFont="1" applyFill="1" applyBorder="1"/>
    <x:xf numFmtId="0" fontId="41" fillId="76" borderId="0" xfId="0" applyNumberFormat="1" applyFont="1" applyFill="1" applyBorder="1" applyAlignment="1">
      <x:alignment wrapText="1"/>
    </x:xf>
    <x:xf numFmtId="0" fontId="40" fillId="78" borderId="0" xfId="0" applyNumberFormat="1" applyFont="1" applyFill="1" applyBorder="1"/>
    <x:xf numFmtId="0" fontId="41" fillId="79" borderId="0" xfId="0" applyNumberFormat="1" applyFont="1" applyFill="1" applyBorder="1" applyAlignment="1">
      <x:alignment vertical="top" wrapText="1"/>
    </x:xf>
    <x:xf numFmtId="0" fontId="41" fillId="80" borderId="0" xfId="0" applyNumberFormat="1" applyFont="1" applyFill="1" applyBorder="1" applyAlignment="1">
      <x:alignment vertical="top" wrapText="1"/>
    </x:xf>
    <x:xf numFmtId="0" fontId="41" fillId="76" borderId="0" xfId="0" applyNumberFormat="1" applyFont="1" applyFill="1" applyBorder="1" applyAlignment="1">
      <x:alignment vertical="center" wrapText="1"/>
    </x:xf>
    <x:xf numFmtId="0" fontId="40" fillId="79" borderId="219" xfId="0" applyNumberFormat="1" applyFont="1" applyFill="1" applyBorder="1" applyAlignment="1">
      <x:alignment horizontal="center" vertical="center" wrapText="1"/>
    </x:xf>
    <x:xf numFmtId="0" fontId="40" fillId="79" borderId="220" xfId="0" applyNumberFormat="1" applyFont="1" applyFill="1" applyBorder="1" applyAlignment="1">
      <x:alignment horizontal="center" vertical="center" wrapText="1"/>
    </x:xf>
    <x:xf numFmtId="0" fontId="40" fillId="79" borderId="221" xfId="0" applyNumberFormat="1" applyFont="1" applyFill="1" applyBorder="1" applyAlignment="1">
      <x:alignment horizontal="center" vertical="center" wrapText="1"/>
    </x:xf>
    <x:xf numFmtId="0" fontId="40" fillId="81" borderId="219" xfId="0" applyNumberFormat="1" applyFont="1" applyFill="1" applyBorder="1" applyAlignment="1">
      <x:alignment horizontal="center" vertical="center" wrapText="1"/>
    </x:xf>
    <x:xf numFmtId="0" fontId="40" fillId="81" borderId="220" xfId="0" applyNumberFormat="1" applyFont="1" applyFill="1" applyBorder="1" applyAlignment="1">
      <x:alignment horizontal="center" vertical="center" wrapText="1"/>
    </x:xf>
    <x:xf numFmtId="0" fontId="40" fillId="81" borderId="221" xfId="0" applyNumberFormat="1" applyFont="1" applyFill="1" applyBorder="1" applyAlignment="1">
      <x:alignment horizontal="center" vertical="center" wrapText="1"/>
    </x:xf>
    <x:xf numFmtId="0" fontId="40" fillId="77" borderId="227" xfId="0" applyNumberFormat="1" applyFont="1" applyFill="1" applyBorder="1" applyAlignment="1">
      <x:alignment horizontal="center" vertical="center" wrapText="1"/>
    </x:xf>
    <x:xf numFmtId="0" fontId="40" fillId="77" borderId="228" xfId="0" applyNumberFormat="1" applyFont="1" applyFill="1" applyBorder="1" applyAlignment="1">
      <x:alignment horizontal="center" vertical="center" wrapText="1"/>
    </x:xf>
    <x:xf numFmtId="0" fontId="40" fillId="77" borderId="229" xfId="0" applyNumberFormat="1" applyFont="1" applyFill="1" applyBorder="1" applyAlignment="1">
      <x:alignment horizontal="center" vertical="center" wrapText="1"/>
    </x:xf>
    <x:xf numFmtId="0" fontId="40" fillId="79" borderId="222" xfId="0" applyNumberFormat="1" applyFont="1" applyFill="1" applyBorder="1" applyAlignment="1">
      <x:alignment horizontal="center" vertical="center" wrapText="1"/>
    </x:xf>
    <x:xf numFmtId="0" fontId="40" fillId="79" xfId="0" applyNumberFormat="1" applyFont="1" applyFill="1" applyBorder="0" applyAlignment="1">
      <x:alignment horizontal="center" vertical="center" wrapText="1"/>
    </x:xf>
    <x:xf numFmtId="0" fontId="40" fillId="79" borderId="223" xfId="0" applyNumberFormat="1" applyFont="1" applyFill="1" applyBorder="1" applyAlignment="1">
      <x:alignment horizontal="center" vertical="center" wrapText="1"/>
    </x:xf>
    <x:xf numFmtId="0" fontId="40" fillId="81" borderId="222" xfId="0" applyNumberFormat="1" applyFont="1" applyFill="1" applyBorder="1" applyAlignment="1">
      <x:alignment horizontal="center" vertical="center" wrapText="1"/>
    </x:xf>
    <x:xf numFmtId="0" fontId="40" fillId="81" xfId="0" applyNumberFormat="1" applyFont="1" applyFill="1" applyBorder="0" applyAlignment="1">
      <x:alignment horizontal="center" vertical="center" wrapText="1"/>
    </x:xf>
    <x:xf numFmtId="0" fontId="40" fillId="81" borderId="223" xfId="0" applyNumberFormat="1" applyFont="1" applyFill="1" applyBorder="1" applyAlignment="1">
      <x:alignment horizontal="center" vertical="center" wrapText="1"/>
    </x:xf>
    <x:xf numFmtId="0" fontId="40" fillId="77" borderId="230" xfId="0" applyNumberFormat="1" applyFont="1" applyFill="1" applyBorder="1" applyAlignment="1">
      <x:alignment horizontal="center" vertical="center" wrapText="1"/>
    </x:xf>
    <x:xf numFmtId="0" fontId="40" fillId="77" xfId="0" applyNumberFormat="1" applyFont="1" applyFill="1" applyBorder="0" applyAlignment="1">
      <x:alignment horizontal="center" vertical="center" wrapText="1"/>
    </x:xf>
    <x:xf numFmtId="0" fontId="40" fillId="77" borderId="231" xfId="0" applyNumberFormat="1" applyFont="1" applyFill="1" applyBorder="1" applyAlignment="1">
      <x:alignment horizontal="center" vertical="center" wrapText="1"/>
    </x:xf>
    <x:xf numFmtId="0" fontId="40" fillId="79" borderId="224" xfId="0" applyNumberFormat="1" applyFont="1" applyFill="1" applyBorder="1" applyAlignment="1">
      <x:alignment horizontal="center" vertical="center" wrapText="1"/>
    </x:xf>
    <x:xf numFmtId="0" fontId="40" fillId="79" borderId="225" xfId="0" applyNumberFormat="1" applyFont="1" applyFill="1" applyBorder="1" applyAlignment="1">
      <x:alignment horizontal="center" vertical="center" wrapText="1"/>
    </x:xf>
    <x:xf numFmtId="0" fontId="40" fillId="79" borderId="226" xfId="0" applyNumberFormat="1" applyFont="1" applyFill="1" applyBorder="1" applyAlignment="1">
      <x:alignment horizontal="center" vertical="center" wrapText="1"/>
    </x:xf>
    <x:xf numFmtId="0" fontId="40" fillId="81" borderId="224" xfId="0" applyNumberFormat="1" applyFont="1" applyFill="1" applyBorder="1" applyAlignment="1">
      <x:alignment horizontal="center" vertical="center" wrapText="1"/>
    </x:xf>
    <x:xf numFmtId="0" fontId="40" fillId="81" borderId="225" xfId="0" applyNumberFormat="1" applyFont="1" applyFill="1" applyBorder="1" applyAlignment="1">
      <x:alignment horizontal="center" vertical="center" wrapText="1"/>
    </x:xf>
    <x:xf numFmtId="0" fontId="40" fillId="81" borderId="226" xfId="0" applyNumberFormat="1" applyFont="1" applyFill="1" applyBorder="1" applyAlignment="1">
      <x:alignment horizontal="center" vertical="center" wrapText="1"/>
    </x:xf>
    <x:xf numFmtId="0" fontId="40" fillId="77" borderId="232" xfId="0" applyNumberFormat="1" applyFont="1" applyFill="1" applyBorder="1" applyAlignment="1">
      <x:alignment horizontal="center" vertical="center" wrapText="1"/>
    </x:xf>
    <x:xf numFmtId="0" fontId="40" fillId="77" borderId="218" xfId="0" applyNumberFormat="1" applyFont="1" applyFill="1" applyBorder="1" applyAlignment="1">
      <x:alignment horizontal="center" vertical="center" wrapText="1"/>
    </x:xf>
    <x:xf numFmtId="0" fontId="40" fillId="77" borderId="233" xfId="0" applyNumberFormat="1" applyFont="1" applyFill="1" applyBorder="1" applyAlignment="1">
      <x:alignment horizontal="center" vertical="center" wrapText="1"/>
    </x:xf>
    <x:xf numFmtId="0" fontId="41" fillId="79" borderId="0" xfId="0" applyNumberFormat="1" applyFont="1" applyFill="1" applyBorder="1" applyAlignment="1">
      <x:alignment vertical="center" wrapText="1"/>
    </x:xf>
    <x:xf numFmtId="0" fontId="40" fillId="76" borderId="0" xfId="0" applyNumberFormat="1" applyFont="1" applyFill="1" applyBorder="1" applyAlignment="1">
      <x:alignment wrapText="1"/>
    </x:xf>
    <x:xf numFmtId="0" fontId="40" fillId="80" borderId="219" xfId="0" applyNumberFormat="1" applyFont="1" applyFill="1" applyBorder="1" applyAlignment="1">
      <x:alignment horizontal="center" vertical="center" wrapText="1"/>
    </x:xf>
    <x:xf numFmtId="0" fontId="40" fillId="80" borderId="220" xfId="0" applyNumberFormat="1" applyFont="1" applyFill="1" applyBorder="1" applyAlignment="1">
      <x:alignment horizontal="center" vertical="center" wrapText="1"/>
    </x:xf>
    <x:xf numFmtId="0" fontId="40" fillId="80" borderId="221" xfId="0" applyNumberFormat="1" applyFont="1" applyFill="1" applyBorder="1" applyAlignment="1">
      <x:alignment horizontal="center" vertical="center" wrapText="1"/>
    </x:xf>
    <x:xf numFmtId="0" fontId="40" fillId="80" borderId="222" xfId="0" applyNumberFormat="1" applyFont="1" applyFill="1" applyBorder="1" applyAlignment="1">
      <x:alignment horizontal="center" vertical="center" wrapText="1"/>
    </x:xf>
    <x:xf numFmtId="0" fontId="40" fillId="80" xfId="0" applyNumberFormat="1" applyFont="1" applyFill="1" applyBorder="0" applyAlignment="1">
      <x:alignment horizontal="center" vertical="center" wrapText="1"/>
    </x:xf>
    <x:xf numFmtId="0" fontId="40" fillId="80" borderId="223" xfId="0" applyNumberFormat="1" applyFont="1" applyFill="1" applyBorder="1" applyAlignment="1">
      <x:alignment horizontal="center" vertical="center" wrapText="1"/>
    </x:xf>
    <x:xf numFmtId="0" fontId="40" fillId="80" borderId="224" xfId="0" applyNumberFormat="1" applyFont="1" applyFill="1" applyBorder="1" applyAlignment="1">
      <x:alignment horizontal="center" vertical="center" wrapText="1"/>
    </x:xf>
    <x:xf numFmtId="0" fontId="40" fillId="80" borderId="225" xfId="0" applyNumberFormat="1" applyFont="1" applyFill="1" applyBorder="1" applyAlignment="1">
      <x:alignment horizontal="center" vertical="center" wrapText="1"/>
    </x:xf>
    <x:xf numFmtId="0" fontId="40" fillId="80" borderId="226" xfId="0" applyNumberFormat="1" applyFont="1" applyFill="1" applyBorder="1" applyAlignment="1">
      <x:alignment horizontal="center" vertical="center" wrapText="1"/>
    </x:xf>
    <x:xf numFmtId="0" fontId="40" fillId="80" borderId="227" xfId="0" applyNumberFormat="1" applyFont="1" applyFill="1" applyBorder="1" applyAlignment="1">
      <x:alignment horizontal="center" vertical="center" wrapText="1"/>
    </x:xf>
    <x:xf numFmtId="0" fontId="40" fillId="80" borderId="228" xfId="0" applyNumberFormat="1" applyFont="1" applyFill="1" applyBorder="1" applyAlignment="1">
      <x:alignment horizontal="center" vertical="center" wrapText="1"/>
    </x:xf>
    <x:xf numFmtId="0" fontId="40" fillId="80" borderId="229" xfId="0" applyNumberFormat="1" applyFont="1" applyFill="1" applyBorder="1" applyAlignment="1">
      <x:alignment horizontal="center" vertical="center" wrapText="1"/>
    </x:xf>
    <x:xf numFmtId="0" fontId="40" fillId="80" borderId="230" xfId="0" applyNumberFormat="1" applyFont="1" applyFill="1" applyBorder="1" applyAlignment="1">
      <x:alignment horizontal="center" vertical="center" wrapText="1"/>
    </x:xf>
    <x:xf numFmtId="0" fontId="40" fillId="80" borderId="231" xfId="0" applyNumberFormat="1" applyFont="1" applyFill="1" applyBorder="1" applyAlignment="1">
      <x:alignment horizontal="center" vertical="center" wrapText="1"/>
    </x:xf>
    <x:xf numFmtId="0" fontId="40" fillId="80" borderId="232" xfId="0" applyNumberFormat="1" applyFont="1" applyFill="1" applyBorder="1" applyAlignment="1">
      <x:alignment horizontal="center" vertical="center" wrapText="1"/>
    </x:xf>
    <x:xf numFmtId="0" fontId="40" fillId="80" borderId="218" xfId="0" applyNumberFormat="1" applyFont="1" applyFill="1" applyBorder="1" applyAlignment="1">
      <x:alignment horizontal="center" vertical="center" wrapText="1"/>
    </x:xf>
    <x:xf numFmtId="0" fontId="40" fillId="80" borderId="233" xfId="0" applyNumberFormat="1" applyFont="1" applyFill="1" applyBorder="1" applyAlignment="1">
      <x:alignment horizontal="center" vertical="center" wrapText="1"/>
    </x:xf>
    <x:xf numFmtId="0" fontId="41" fillId="81" borderId="0" xfId="0" applyNumberFormat="1" applyFont="1" applyFill="1" applyBorder="1" applyAlignment="1">
      <x:alignment vertical="top" wrapText="1"/>
    </x:xf>
    <x:xf numFmtId="0" fontId="41" fillId="82" borderId="0" xfId="0" applyNumberFormat="1" applyFont="1" applyFill="1" applyBorder="1" applyAlignment="1">
      <x:alignment vertical="top" wrapText="1"/>
    </x:xf>
    <x:xf numFmtId="0" fontId="42" fillId="77" borderId="218" xfId="0" applyNumberFormat="1" applyFont="1" applyFill="1" applyBorder="1"/>
    <x:xf numFmtId="0" fontId="28" fillId="78" borderId="0" xfId="0" applyNumberFormat="1" applyFont="1" applyFill="1" applyBorder="1"/>
    <x:xf numFmtId="0" fontId="34" fillId="79" borderId="0" xfId="0" applyNumberFormat="1" applyFont="1" applyFill="1" applyBorder="1"/>
    <x:xf numFmtId="0" fontId="37" fillId="78" borderId="0" xfId="0" applyNumberFormat="1" applyFont="1" applyFill="1" applyBorder="1"/>
    <x:xf numFmtId="0" fontId="37" fillId="78" borderId="0" xfId="0" applyNumberFormat="1" applyFont="1" applyFill="1" applyBorder="1" applyAlignment="1">
      <x:alignment wrapText="1"/>
    </x:xf>
    <x:xf numFmtId="0" fontId="0" fillId="82" borderId="0" xfId="0" applyNumberFormat="1" applyFont="1" applyFill="1" applyBorder="1" applyAlignment="1">
      <x:alignment wrapText="1"/>
    </x:xf>
    <x:xf numFmtId="0" fontId="0" fillId="79" borderId="0" xfId="0" applyNumberFormat="1" applyFont="1" applyFill="1" applyBorder="1" applyAlignment="1">
      <x:alignment wrapText="1"/>
    </x:xf>
    <x:xf numFmtId="0" fontId="46" fillId="79" borderId="0" xfId="0" applyNumberFormat="1" applyFont="1" applyFill="1" applyBorder="1"/>
    <x:xf numFmtId="0" fontId="46" fillId="79" borderId="0" xfId="0" applyNumberFormat="1" applyFont="1" applyFill="1" applyBorder="1" applyAlignment="1">
      <x:alignment wrapText="1"/>
    </x:xf>
    <x:xf numFmtId="0" fontId="46" fillId="79" borderId="0" xfId="0" applyNumberFormat="1" applyFont="1" applyFill="1" applyBorder="1" applyAlignment="1">
      <x:alignment vertical="center" wrapText="1"/>
    </x:xf>
    <x:xf numFmtId="0" fontId="40" fillId="79" borderId="0" xfId="0" applyNumberFormat="1" applyFont="1" applyFill="1" applyBorder="1"/>
    <x:xf numFmtId="0" fontId="40" fillId="78" borderId="0" xfId="0" applyNumberFormat="1" applyFont="1" applyFill="1" applyBorder="1" applyAlignment="1">
      <x:alignment wrapText="1"/>
    </x:xf>
    <x:xf numFmtId="0" fontId="41" fillId="82" borderId="0" xfId="0" applyNumberFormat="1" applyFont="1" applyFill="1" applyBorder="1" applyAlignment="1">
      <x:alignment wrapText="1"/>
    </x:xf>
    <x:xf numFmtId="0" fontId="41" fillId="79" borderId="0" xfId="0" applyNumberFormat="1" applyFont="1" applyFill="1" applyBorder="1" applyAlignment="1">
      <x:alignment wrapText="1"/>
    </x:xf>
    <x:xf numFmtId="0" fontId="40" fillId="79" borderId="0" xfId="0" applyNumberFormat="1" applyFont="1" applyFill="1" applyBorder="1" applyAlignment="1">
      <x:alignment vertical="center" wrapText="1"/>
    </x:xf>
    <x:xf numFmtId="0" fontId="38" fillId="76" borderId="0" xfId="0" applyNumberFormat="1" applyFont="1" applyFill="1" applyBorder="1"/>
    <x:xf numFmtId="0" fontId="33" fillId="79" borderId="0" xfId="0" applyNumberFormat="1" applyFont="1" applyFill="1" applyBorder="1"/>
    <x:xf numFmtId="0" fontId="33" fillId="79" borderId="234" xfId="0" applyNumberFormat="1" applyFont="1" applyFill="1" applyBorder="1"/>
    <x:xf numFmtId="0" fontId="43" fillId="79" borderId="0" xfId="0" applyNumberFormat="1" applyFont="1" applyFill="1" applyBorder="1"/>
    <x:xf numFmtId="0" fontId="43" fillId="79" borderId="0" xfId="0" applyNumberFormat="1" applyFont="1" applyFill="1" applyBorder="1" applyAlignment="1">
      <x:alignment wrapText="1"/>
    </x:xf>
    <x:xf numFmtId="0" fontId="43" fillId="79" borderId="0" xfId="0" applyNumberFormat="1" applyFont="1" applyFill="1" applyBorder="1" applyAlignment="1">
      <x:alignment horizontal="center" wrapText="1"/>
    </x:xf>
    <x:xf numFmtId="0" fontId="43" fillId="79" borderId="0" xfId="0" applyNumberFormat="1" applyFont="1" applyFill="1" applyBorder="1" applyAlignment="1">
      <x:alignment horizontal="center" vertical="center" wrapText="1"/>
    </x:xf>
    <x:xf numFmtId="0" fontId="33" fillId="76" borderId="0" xfId="0" applyNumberFormat="1" applyFont="1" applyFill="1" applyBorder="1"/>
    <x:xf numFmtId="0" fontId="39" fillId="80" borderId="0" xfId="0" applyNumberFormat="1" applyFont="1" applyFill="1" applyBorder="1"/>
    <x:xf numFmtId="0" fontId="39" fillId="80" borderId="0" xfId="0" applyNumberFormat="1" applyFont="1" applyFill="1" applyBorder="1" applyAlignment="1">
      <x:alignment wrapText="1"/>
    </x:xf>
    <x:xf numFmtId="0" fontId="39" fillId="80" borderId="0" xfId="0" applyNumberFormat="1" applyFont="1" applyFill="1" applyBorder="1" applyAlignment="1">
      <x:alignment horizontal="center" wrapText="1"/>
    </x:xf>
    <x:xf numFmtId="0" fontId="33" fillId="80" borderId="0" xfId="0" applyNumberFormat="1" applyFont="1" applyFill="1" applyBorder="1"/>
    <x:xf numFmtId="0" fontId="32" fillId="82" borderId="0" xfId="0" applyNumberFormat="1" applyFont="1" applyFill="1" applyBorder="1"/>
    <x:xf numFmtId="0" fontId="32" fillId="82" borderId="219" xfId="0" applyNumberFormat="1" applyFont="1" applyFill="1" applyBorder="1"/>
    <x:xf numFmtId="0" fontId="32" fillId="82" borderId="221" xfId="0" applyNumberFormat="1" applyFont="1" applyFill="1" applyBorder="1"/>
    <x:xf numFmtId="0" fontId="32" fillId="82" borderId="222" xfId="0" applyNumberFormat="1" applyFont="1" applyFill="1" applyBorder="1"/>
    <x:xf numFmtId="0" fontId="32" fillId="82" borderId="223" xfId="0" applyNumberFormat="1" applyFont="1" applyFill="1" applyBorder="1"/>
    <x:xf numFmtId="0" fontId="32" fillId="82" borderId="224" xfId="0" applyNumberFormat="1" applyFont="1" applyFill="1" applyBorder="1"/>
    <x:xf numFmtId="0" fontId="32" fillId="82" borderId="226" xfId="0" applyNumberFormat="1" applyFont="1" applyFill="1" applyBorder="1"/>
    <x:xf numFmtId="0" fontId="32" fillId="82" borderId="219" xfId="0" applyNumberFormat="1" applyFont="1" applyFill="1" applyBorder="1" applyAlignment="1">
      <x:alignment wrapText="1"/>
    </x:xf>
    <x:xf numFmtId="0" fontId="32" fillId="82" borderId="221" xfId="0" applyNumberFormat="1" applyFont="1" applyFill="1" applyBorder="1" applyAlignment="1">
      <x:alignment wrapText="1"/>
    </x:xf>
    <x:xf numFmtId="0" fontId="32" fillId="82" borderId="222" xfId="0" applyNumberFormat="1" applyFont="1" applyFill="1" applyBorder="1" applyAlignment="1">
      <x:alignment wrapText="1"/>
    </x:xf>
    <x:xf numFmtId="0" fontId="32" fillId="82" borderId="223" xfId="0" applyNumberFormat="1" applyFont="1" applyFill="1" applyBorder="1" applyAlignment="1">
      <x:alignment wrapText="1"/>
    </x:xf>
    <x:xf numFmtId="0" fontId="32" fillId="82" borderId="224" xfId="0" applyNumberFormat="1" applyFont="1" applyFill="1" applyBorder="1" applyAlignment="1">
      <x:alignment wrapText="1"/>
    </x:xf>
    <x:xf numFmtId="0" fontId="32" fillId="82" borderId="226" xfId="0" applyNumberFormat="1" applyFont="1" applyFill="1" applyBorder="1" applyAlignment="1">
      <x:alignment wrapText="1"/>
    </x:xf>
    <x:xf numFmtId="0" fontId="32" fillId="82" borderId="219" xfId="0" applyNumberFormat="1" applyFont="1" applyFill="1" applyBorder="1" applyAlignment="1">
      <x:alignment horizontal="center" wrapText="1"/>
    </x:xf>
    <x:xf numFmtId="0" fontId="32" fillId="82" borderId="221" xfId="0" applyNumberFormat="1" applyFont="1" applyFill="1" applyBorder="1" applyAlignment="1">
      <x:alignment horizontal="center" wrapText="1"/>
    </x:xf>
    <x:xf numFmtId="0" fontId="32" fillId="82" borderId="222" xfId="0" applyNumberFormat="1" applyFont="1" applyFill="1" applyBorder="1" applyAlignment="1">
      <x:alignment horizontal="center" wrapText="1"/>
    </x:xf>
    <x:xf numFmtId="0" fontId="32" fillId="82" borderId="223" xfId="0" applyNumberFormat="1" applyFont="1" applyFill="1" applyBorder="1" applyAlignment="1">
      <x:alignment horizontal="center" wrapText="1"/>
    </x:xf>
    <x:xf numFmtId="0" fontId="32" fillId="82" borderId="224" xfId="0" applyNumberFormat="1" applyFont="1" applyFill="1" applyBorder="1" applyAlignment="1">
      <x:alignment horizontal="center" wrapText="1"/>
    </x:xf>
    <x:xf numFmtId="0" fontId="32" fillId="82" borderId="226" xfId="0" applyNumberFormat="1" applyFont="1" applyFill="1" applyBorder="1" applyAlignment="1">
      <x:alignment horizontal="center" wrapText="1"/>
    </x:xf>
    <x:xf numFmtId="0" fontId="32" fillId="82" borderId="219" xfId="0" applyNumberFormat="1" applyFont="1" applyFill="1" applyBorder="1" applyAlignment="1">
      <x:alignment horizontal="center" vertical="center" wrapText="1"/>
    </x:xf>
    <x:xf numFmtId="0" fontId="32" fillId="82" borderId="221" xfId="0" applyNumberFormat="1" applyFont="1" applyFill="1" applyBorder="1" applyAlignment="1">
      <x:alignment horizontal="center" vertical="center" wrapText="1"/>
    </x:xf>
    <x:xf numFmtId="0" fontId="32" fillId="82" borderId="222" xfId="0" applyNumberFormat="1" applyFont="1" applyFill="1" applyBorder="1" applyAlignment="1">
      <x:alignment horizontal="center" vertical="center" wrapText="1"/>
    </x:xf>
    <x:xf numFmtId="0" fontId="32" fillId="82" borderId="223" xfId="0" applyNumberFormat="1" applyFont="1" applyFill="1" applyBorder="1" applyAlignment="1">
      <x:alignment horizontal="center" vertical="center" wrapText="1"/>
    </x:xf>
    <x:xf numFmtId="0" fontId="32" fillId="82" borderId="224" xfId="0" applyNumberFormat="1" applyFont="1" applyFill="1" applyBorder="1" applyAlignment="1">
      <x:alignment horizontal="center" vertical="center" wrapText="1"/>
    </x:xf>
    <x:xf numFmtId="0" fontId="32" fillId="82" borderId="226" xfId="0" applyNumberFormat="1" applyFont="1" applyFill="1" applyBorder="1" applyAlignment="1">
      <x:alignment horizontal="center" vertical="center" wrapText="1"/>
    </x:xf>
    <x:xf numFmtId="0" fontId="43" fillId="79" borderId="0" xfId="0" applyNumberFormat="1" applyFont="1" applyFill="1" applyBorder="1" applyAlignment="1">
      <x:alignment vertical="center" wrapText="1"/>
    </x:xf>
    <x:xf numFmtId="0" fontId="40" fillId="76" borderId="0" xfId="0" applyNumberFormat="1" applyFont="1" applyFill="1" applyBorder="1"/>
    <x:xf numFmtId="0" fontId="40" fillId="80" borderId="0" xfId="0" applyNumberFormat="1" applyFont="1" applyFill="1" applyBorder="1" applyAlignment="1">
      <x:alignment horizontal="center" wrapText="1"/>
    </x:xf>
    <x:xf numFmtId="0" fontId="40" fillId="79" borderId="234" xfId="0" applyNumberFormat="1" applyFont="1" applyFill="1" applyBorder="1"/>
    <x:xf numFmtId="0" fontId="41" fillId="79" borderId="0" xfId="0" applyNumberFormat="1" applyFont="1" applyFill="1" applyBorder="1" applyAlignment="1">
      <x:alignment horizontal="center" vertical="center" wrapText="1"/>
    </x:xf>
    <x:xf numFmtId="0" fontId="40" fillId="80" borderId="0" xfId="0" applyNumberFormat="1" applyFont="1" applyFill="1" applyBorder="1"/>
    <x:xf numFmtId="0" fontId="40" fillId="82" borderId="219" xfId="0" applyNumberFormat="1" applyFont="1" applyFill="1" applyBorder="1" applyAlignment="1">
      <x:alignment horizontal="center" vertical="center" wrapText="1"/>
    </x:xf>
    <x:xf numFmtId="0" fontId="40" fillId="82" borderId="221" xfId="0" applyNumberFormat="1" applyFont="1" applyFill="1" applyBorder="1" applyAlignment="1">
      <x:alignment horizontal="center" vertical="center" wrapText="1"/>
    </x:xf>
    <x:xf numFmtId="0" fontId="40" fillId="82" borderId="222" xfId="0" applyNumberFormat="1" applyFont="1" applyFill="1" applyBorder="1" applyAlignment="1">
      <x:alignment horizontal="center" vertical="center" wrapText="1"/>
    </x:xf>
    <x:xf numFmtId="0" fontId="40" fillId="82" borderId="223" xfId="0" applyNumberFormat="1" applyFont="1" applyFill="1" applyBorder="1" applyAlignment="1">
      <x:alignment horizontal="center" vertical="center" wrapText="1"/>
    </x:xf>
    <x:xf numFmtId="0" fontId="40" fillId="82" borderId="224" xfId="0" applyNumberFormat="1" applyFont="1" applyFill="1" applyBorder="1" applyAlignment="1">
      <x:alignment horizontal="center" vertical="center" wrapText="1"/>
    </x:xf>
    <x:xf numFmtId="0" fontId="40" fillId="82" borderId="226" xfId="0" applyNumberFormat="1" applyFont="1" applyFill="1" applyBorder="1" applyAlignment="1">
      <x:alignment horizontal="center" vertical="center" wrapText="1"/>
    </x:xf>
    <x:xf numFmtId="0" fontId="44" fillId="76" borderId="0" xfId="0" applyNumberFormat="1" applyFont="1" applyFill="1" applyBorder="1"/>
    <x:xf numFmtId="0" fontId="35" fillId="35" borderId="0" xfId="0" applyNumberFormat="1" applyFont="1" applyFill="1" applyBorder="1" applyAlignment="1">
      <x:alignment vertical="top" wrapText="1"/>
    </x:xf>
    <x:xf numFmtId="0" fontId="41" fillId="35" borderId="0" xfId="0" applyNumberFormat="1" applyFont="1" applyFill="1" applyBorder="1" applyAlignment="1">
      <x:alignment vertical="top" wrapText="1"/>
    </x:xf>
    <x:xf numFmtId="0" fontId="46" fillId="23" borderId="0" xfId="0" applyNumberFormat="1" applyFont="1" applyFill="1" applyBorder="1"/>
    <x:xf numFmtId="0" fontId="46" fillId="23" borderId="0" xfId="0" applyNumberFormat="1" applyFont="1" applyFill="1" applyBorder="1" applyAlignment="1">
      <x:alignment wrapText="1"/>
    </x:xf>
    <x:xf numFmtId="0" fontId="46" fillId="23" borderId="0" xfId="0" applyNumberFormat="1" applyFont="1" applyFill="1" applyBorder="1" applyAlignment="1">
      <x:alignment vertical="center" wrapText="1"/>
    </x:xf>
    <x:xf numFmtId="0" fontId="40" fillId="5" borderId="0" xfId="0" applyNumberFormat="1" applyFont="1" applyFill="1" applyBorder="1" applyAlignment="1">
      <x:alignment wrapText="1"/>
    </x:xf>
    <x:xf numFmtId="0" fontId="41" fillId="53" borderId="0" xfId="0" applyNumberFormat="1" applyFont="1" applyFill="1" applyBorder="1" applyAlignment="1">
      <x:alignment wrapText="1"/>
    </x:xf>
    <x:xf numFmtId="0" fontId="40" fillId="23" borderId="0" xfId="0" applyNumberFormat="1" applyFont="1" applyFill="1" applyBorder="1" applyAlignment="1">
      <x:alignment vertical="center" wrapText="1"/>
    </x:xf>
    <x:xf numFmtId="0" fontId="43" fillId="23" borderId="0" xfId="0" applyNumberFormat="1" applyFont="1" applyFill="1" applyBorder="1" applyAlignment="1">
      <x:alignment vertical="center" wrapText="1"/>
    </x:xf>
    <x:xf numFmtId="0" fontId="40" fillId="35" borderId="0" xfId="0" applyNumberFormat="1" applyFont="1" applyFill="1" applyBorder="1" applyAlignment="1">
      <x:alignment horizontal="center" wrapText="1"/>
    </x:xf>
    <x:xf numFmtId="0" fontId="40" fillId="35" borderId="0" xfId="0" applyNumberFormat="1" applyFont="1" applyFill="1" applyBorder="1"/>
    <x:xf numFmtId="0" fontId="0" fillId="83" borderId="0" xfId="0" applyNumberFormat="1" applyFont="1" applyFill="1" applyBorder="1"/>
    <x:xf numFmtId="0" fontId="30" fillId="83" borderId="0" xfId="0" applyNumberFormat="1" applyFont="1" applyFill="1" applyBorder="1"/>
    <x:xf numFmtId="0" fontId="30" fillId="83" borderId="0" xfId="0" applyNumberFormat="1" applyFont="1" applyFill="1" applyBorder="1" applyAlignment="1">
      <x:alignment wrapText="1"/>
    </x:xf>
    <x:xf numFmtId="0" fontId="0" fillId="84" borderId="0" xfId="0" applyNumberFormat="1" applyFont="1" applyFill="1" applyBorder="1"/>
    <x:xf numFmtId="0" fontId="31" fillId="84" borderId="0" xfId="0" applyNumberFormat="1" applyFont="1" applyFill="1" applyBorder="1"/>
    <x:xf numFmtId="0" fontId="31" fillId="84" borderId="235" xfId="0" applyNumberFormat="1" applyFont="1" applyFill="1" applyBorder="1"/>
    <x:xf numFmtId="0" fontId="20" fillId="83" borderId="0" xfId="0" applyNumberFormat="1" applyFont="1" applyFill="1" applyBorder="1"/>
    <x:xf numFmtId="0" fontId="20" fillId="83" borderId="0" xfId="0" applyNumberFormat="1" applyFont="1" applyFill="1" applyBorder="1" applyAlignment="1">
      <x:alignment wrapText="1"/>
    </x:xf>
    <x:xf numFmtId="0" fontId="0" fillId="85" borderId="0" xfId="0" applyNumberFormat="1" applyFont="1" applyFill="1" applyBorder="1"/>
    <x:xf numFmtId="0" fontId="32" fillId="85" borderId="0" xfId="0" applyNumberFormat="1" applyFont="1" applyFill="1" applyBorder="1"/>
    <x:xf numFmtId="0" fontId="32" fillId="85" borderId="0" xfId="0" applyNumberFormat="1" applyFont="1" applyFill="1" applyBorder="1" applyAlignment="1">
      <x:alignment wrapText="1"/>
    </x:xf>
    <x:xf numFmtId="0" fontId="0" fillId="86" borderId="0" xfId="0" applyNumberFormat="1" applyFont="1" applyFill="1" applyBorder="1"/>
    <x:xf numFmtId="0" fontId="37" fillId="86" borderId="0" xfId="0" applyNumberFormat="1" applyFont="1" applyFill="1" applyBorder="1"/>
    <x:xf numFmtId="0" fontId="37" fillId="86" borderId="0" xfId="0" applyNumberFormat="1" applyFont="1" applyFill="1" applyBorder="1" applyAlignment="1">
      <x:alignment wrapText="1"/>
    </x:xf>
    <x:xf numFmtId="0" fontId="0" fillId="85" borderId="0" xfId="0" applyNumberFormat="1" applyFont="1" applyFill="1" applyBorder="1" applyAlignment="1">
      <x:alignment wrapText="1"/>
    </x:xf>
    <x:xf numFmtId="0" fontId="0" fillId="87" borderId="0" xfId="0" applyNumberFormat="1" applyFont="1" applyFill="1" applyBorder="1" applyAlignment="1">
      <x:alignment wrapText="1"/>
    </x:xf>
    <x:xf numFmtId="0" fontId="21" fillId="86" borderId="0" xfId="0" applyNumberFormat="1" applyFont="1" applyFill="1" applyBorder="1"/>
    <x:xf numFmtId="0" fontId="35" fillId="83" borderId="0" xfId="0" applyNumberFormat="1" applyFont="1" applyFill="1" applyBorder="1"/>
    <x:xf numFmtId="0" fontId="35" fillId="83" borderId="0" xfId="0" applyNumberFormat="1" applyFont="1" applyFill="1" applyBorder="1" applyAlignment="1">
      <x:alignment wrapText="1"/>
    </x:xf>
    <x:xf numFmtId="0" fontId="35" fillId="83" borderId="0" xfId="0" applyNumberFormat="1" applyFont="1" applyFill="1" applyBorder="1" applyAlignment="1">
      <x:alignment vertical="top" wrapText="1"/>
    </x:xf>
    <x:xf numFmtId="0" fontId="40" fillId="84" borderId="235" xfId="0" applyNumberFormat="1" applyFont="1" applyFill="1" applyBorder="1"/>
    <x:xf numFmtId="0" fontId="41" fillId="83" borderId="0" xfId="0" applyNumberFormat="1" applyFont="1" applyFill="1" applyBorder="1" applyAlignment="1">
      <x:alignment wrapText="1"/>
    </x:xf>
    <x:xf numFmtId="0" fontId="40" fillId="85" borderId="0" xfId="0" applyNumberFormat="1" applyFont="1" applyFill="1" applyBorder="1" applyAlignment="1">
      <x:alignment wrapText="1"/>
    </x:xf>
    <x:xf numFmtId="0" fontId="40" fillId="86" borderId="0" xfId="0" applyNumberFormat="1" applyFont="1" applyFill="1" applyBorder="1" applyAlignment="1">
      <x:alignment wrapText="1"/>
    </x:xf>
    <x:xf numFmtId="0" fontId="41" fillId="85" borderId="0" xfId="0" applyNumberFormat="1" applyFont="1" applyFill="1" applyBorder="1" applyAlignment="1">
      <x:alignment wrapText="1"/>
    </x:xf>
    <x:xf numFmtId="0" fontId="41" fillId="87" borderId="0" xfId="0" applyNumberFormat="1" applyFont="1" applyFill="1" applyBorder="1" applyAlignment="1">
      <x:alignment wrapText="1"/>
    </x:xf>
    <x:xf numFmtId="0" fontId="40" fillId="86" borderId="0" xfId="0" applyNumberFormat="1" applyFont="1" applyFill="1" applyBorder="1"/>
    <x:xf numFmtId="0" fontId="41" fillId="83" borderId="0" xfId="0" applyNumberFormat="1" applyFont="1" applyFill="1" applyBorder="1" applyAlignment="1">
      <x:alignment vertical="top" wrapText="1"/>
    </x:xf>
    <x:xf numFmtId="0" fontId="42" fillId="84" borderId="235" xfId="0" applyNumberFormat="1" applyFont="1" applyFill="1" applyBorder="1"/>
    <x:xf numFmtId="0" fontId="47" fillId="86" borderId="0" xfId="0" applyNumberFormat="1" applyFont="1" applyFill="1" applyBorder="1" applyAlignment="1">
      <x:alignment wrapText="1"/>
    </x:xf>
    <x:xf numFmtId="0" fontId="28" fillId="86" borderId="0" xfId="0" applyNumberFormat="1" applyFont="1" applyFill="1" applyBorder="1"/>
    <x:xf numFmtId="0" fontId="36" fillId="84" borderId="0" xfId="0" applyNumberFormat="1" applyFont="1" applyFill="1" applyBorder="1"/>
    <x:xf numFmtId="0" fontId="36" fillId="84" borderId="235" xfId="0" applyNumberFormat="1" applyFont="1" applyFill="1" applyBorder="1"/>
    <x:xf numFmtId="0" fontId="48" fillId="84" borderId="235" xfId="0" applyNumberFormat="1" applyFont="1" applyFill="1" applyBorder="1"/>
    <x:xf numFmtId="0" fontId="35" fillId="36" borderId="0" xfId="0" applyNumberFormat="1" applyFont="1" applyFill="1" applyBorder="1" applyAlignment="1">
      <x:alignment vertical="top" wrapText="1"/>
    </x:xf>
    <x:xf numFmtId="0" fontId="41" fillId="35" borderId="0" xfId="0" applyNumberFormat="1" applyFont="1" applyFill="1" applyBorder="1" applyAlignment="1">
      <x:alignment wrapText="1"/>
    </x:xf>
    <x:xf numFmtId="0" fontId="41" fillId="36" borderId="0" xfId="0" applyNumberFormat="1" applyFont="1" applyFill="1" applyBorder="1" applyAlignment="1">
      <x:alignment vertical="top" wrapText="1"/>
    </x:xf>
    <x:xf numFmtId="0" fontId="47" fillId="5" borderId="0" xfId="0" applyNumberFormat="1" applyFont="1" applyFill="1" applyBorder="1" applyAlignment="1">
      <x:alignment wrapText="1"/>
    </x:xf>
    <x:xf numFmtId="0" fontId="48" fillId="14" borderId="0" xfId="0" applyNumberFormat="1" applyFont="1" applyFill="1" applyBorder="1"/>
    <x:xf numFmtId="0" fontId="0" fillId="88" borderId="0" xfId="0" applyNumberFormat="1" applyFont="1" applyFill="1" applyBorder="1"/>
    <x:xf numFmtId="0" fontId="30" fillId="88" borderId="0" xfId="0" applyNumberFormat="1" applyFont="1" applyFill="1" applyBorder="1"/>
    <x:xf numFmtId="0" fontId="30" fillId="88" borderId="0" xfId="0" applyNumberFormat="1" applyFont="1" applyFill="1" applyBorder="1" applyAlignment="1">
      <x:alignment wrapText="1"/>
    </x:xf>
    <x:xf numFmtId="0" fontId="0" fillId="89" borderId="0" xfId="0" applyNumberFormat="1" applyFont="1" applyFill="1" applyBorder="1"/>
    <x:xf numFmtId="0" fontId="31" fillId="89" borderId="0" xfId="0" applyNumberFormat="1" applyFont="1" applyFill="1" applyBorder="1"/>
    <x:xf numFmtId="0" fontId="31" fillId="89" borderId="236" xfId="0" applyNumberFormat="1" applyFont="1" applyFill="1" applyBorder="1"/>
    <x:xf numFmtId="0" fontId="20" fillId="88" borderId="0" xfId="0" applyNumberFormat="1" applyFont="1" applyFill="1" applyBorder="1"/>
    <x:xf numFmtId="0" fontId="20" fillId="88" borderId="0" xfId="0" applyNumberFormat="1" applyFont="1" applyFill="1" applyBorder="1" applyAlignment="1">
      <x:alignment wrapText="1"/>
    </x:xf>
    <x:xf numFmtId="0" fontId="0" fillId="90" borderId="0" xfId="0" applyNumberFormat="1" applyFont="1" applyFill="1" applyBorder="1"/>
    <x:xf numFmtId="0" fontId="37" fillId="90" borderId="0" xfId="0" applyNumberFormat="1" applyFont="1" applyFill="1" applyBorder="1"/>
    <x:xf numFmtId="0" fontId="37" fillId="90" borderId="0" xfId="0" applyNumberFormat="1" applyFont="1" applyFill="1" applyBorder="1" applyAlignment="1">
      <x:alignment wrapText="1"/>
    </x:xf>
    <x:xf numFmtId="0" fontId="0" fillId="91" borderId="0" xfId="0" applyNumberFormat="1" applyFont="1" applyFill="1" applyBorder="1" applyAlignment="1">
      <x:alignment wrapText="1"/>
    </x:xf>
    <x:xf numFmtId="0" fontId="0" fillId="92" borderId="0" xfId="0" applyNumberFormat="1" applyFont="1" applyFill="1" applyBorder="1" applyAlignment="1">
      <x:alignment wrapText="1"/>
    </x:xf>
    <x:xf numFmtId="0" fontId="0" fillId="93" borderId="0" xfId="0" applyNumberFormat="1" applyFont="1" applyFill="1" applyBorder="1" applyAlignment="1">
      <x:alignment wrapText="1"/>
    </x:xf>
    <x:xf numFmtId="0" fontId="0" fillId="88" borderId="0" xfId="0" applyNumberFormat="1" applyFont="1" applyFill="1" applyBorder="1" applyAlignment="1">
      <x:alignment wrapText="1"/>
    </x:xf>
    <x:xf numFmtId="0" fontId="21" fillId="90" borderId="0" xfId="0" applyNumberFormat="1" applyFont="1" applyFill="1" applyBorder="1"/>
    <x:xf numFmtId="0" fontId="0" fillId="92" borderId="0" xfId="0" applyNumberFormat="1" applyFont="1" applyFill="1" applyBorder="1"/>
    <x:xf numFmtId="0" fontId="32" fillId="92" borderId="0" xfId="0" applyNumberFormat="1" applyFont="1" applyFill="1" applyBorder="1"/>
    <x:xf numFmtId="0" fontId="32" fillId="92" borderId="0" xfId="0" applyNumberFormat="1" applyFont="1" applyFill="1" applyBorder="1" applyAlignment="1">
      <x:alignment wrapText="1"/>
    </x:xf>
    <x:xf numFmtId="0" fontId="32" fillId="92" borderId="0" xfId="0" applyNumberFormat="1" applyFont="1" applyFill="1" applyBorder="1" applyAlignment="1">
      <x:alignment vertical="top" wrapText="1"/>
    </x:xf>
    <x:xf numFmtId="0" fontId="40" fillId="89" borderId="236" xfId="0" applyNumberFormat="1" applyFont="1" applyFill="1" applyBorder="1"/>
    <x:xf numFmtId="0" fontId="41" fillId="88" borderId="0" xfId="0" applyNumberFormat="1" applyFont="1" applyFill="1" applyBorder="1" applyAlignment="1">
      <x:alignment wrapText="1"/>
    </x:xf>
    <x:xf numFmtId="0" fontId="40" fillId="90" borderId="0" xfId="0" applyNumberFormat="1" applyFont="1" applyFill="1" applyBorder="1" applyAlignment="1">
      <x:alignment wrapText="1"/>
    </x:xf>
    <x:xf numFmtId="0" fontId="41" fillId="91" borderId="0" xfId="0" applyNumberFormat="1" applyFont="1" applyFill="1" applyBorder="1" applyAlignment="1">
      <x:alignment wrapText="1"/>
    </x:xf>
    <x:xf numFmtId="0" fontId="41" fillId="92" borderId="0" xfId="0" applyNumberFormat="1" applyFont="1" applyFill="1" applyBorder="1" applyAlignment="1">
      <x:alignment wrapText="1"/>
    </x:xf>
    <x:xf numFmtId="0" fontId="41" fillId="93" borderId="0" xfId="0" applyNumberFormat="1" applyFont="1" applyFill="1" applyBorder="1" applyAlignment="1">
      <x:alignment wrapText="1"/>
    </x:xf>
    <x:xf numFmtId="0" fontId="40" fillId="90" borderId="0" xfId="0" applyNumberFormat="1" applyFont="1" applyFill="1" applyBorder="1"/>
    <x:xf numFmtId="0" fontId="40" fillId="92" borderId="0" xfId="0" applyNumberFormat="1" applyFont="1" applyFill="1" applyBorder="1" applyAlignment="1">
      <x:alignment vertical="top" wrapText="1"/>
    </x:xf>
    <x:xf numFmtId="0" fontId="42" fillId="89" borderId="236" xfId="0" applyNumberFormat="1" applyFont="1" applyFill="1" applyBorder="1"/>
    <x:xf numFmtId="0" fontId="47" fillId="90" borderId="0" xfId="0" applyNumberFormat="1" applyFont="1" applyFill="1" applyBorder="1" applyAlignment="1">
      <x:alignment wrapText="1"/>
    </x:xf>
    <x:xf numFmtId="0" fontId="28" fillId="90" borderId="0" xfId="0" applyNumberFormat="1" applyFont="1" applyFill="1" applyBorder="1"/>
    <x:xf numFmtId="0" fontId="32" fillId="92" borderId="0" xfId="0" applyNumberFormat="1" applyFont="1" applyFill="1" applyBorder="1" applyAlignment="1">
      <x:alignment vertical="center" wrapText="1"/>
    </x:xf>
    <x:xf numFmtId="0" fontId="40" fillId="92" borderId="0" xfId="0" applyNumberFormat="1" applyFont="1" applyFill="1" applyBorder="1" applyAlignment="1">
      <x:alignment vertical="center" wrapText="1"/>
    </x:xf>
    <x:xf numFmtId="0" fontId="49" fillId="89" borderId="0" xfId="0" applyNumberFormat="1" applyFont="1" applyFill="1" applyBorder="1"/>
    <x:xf numFmtId="0" fontId="49" fillId="89" borderId="236" xfId="0" applyNumberFormat="1" applyFont="1" applyFill="1" applyBorder="1"/>
    <x:xf numFmtId="0" fontId="50" fillId="88" borderId="0" xfId="0" applyNumberFormat="1" applyFont="1" applyFill="1" applyBorder="1"/>
    <x:xf numFmtId="0" fontId="50" fillId="88" borderId="0" xfId="0" applyNumberFormat="1" applyFont="1" applyFill="1" applyBorder="1" applyAlignment="1">
      <x:alignment wrapText="1"/>
    </x:xf>
    <x:xf numFmtId="0" fontId="0" fillId="91" borderId="0" xfId="0" applyNumberFormat="1" applyFont="1" applyFill="1" applyBorder="1"/>
    <x:xf numFmtId="0" fontId="32" fillId="91" borderId="0" xfId="0" applyNumberFormat="1" applyFont="1" applyFill="1" applyBorder="1"/>
    <x:xf numFmtId="0" fontId="32" fillId="91" borderId="237" xfId="0" applyNumberFormat="1" applyFont="1" applyFill="1" applyBorder="1"/>
    <x:xf numFmtId="0" fontId="32" fillId="91" borderId="238" xfId="0" applyNumberFormat="1" applyFont="1" applyFill="1" applyBorder="1"/>
    <x:xf numFmtId="0" fontId="32" fillId="91" borderId="239" xfId="0" applyNumberFormat="1" applyFont="1" applyFill="1" applyBorder="1"/>
    <x:xf numFmtId="0" fontId="32" fillId="91" borderId="240" xfId="0" applyNumberFormat="1" applyFont="1" applyFill="1" applyBorder="1"/>
    <x:xf numFmtId="0" fontId="32" fillId="91" xfId="0" applyNumberFormat="1" applyFont="1" applyFill="1" applyBorder="0"/>
    <x:xf numFmtId="0" fontId="32" fillId="91" borderId="241" xfId="0" applyNumberFormat="1" applyFont="1" applyFill="1" applyBorder="1"/>
    <x:xf numFmtId="0" fontId="32" fillId="91" borderId="242" xfId="0" applyNumberFormat="1" applyFont="1" applyFill="1" applyBorder="1"/>
    <x:xf numFmtId="0" fontId="32" fillId="91" borderId="243" xfId="0" applyNumberFormat="1" applyFont="1" applyFill="1" applyBorder="1"/>
    <x:xf numFmtId="0" fontId="32" fillId="91" borderId="244" xfId="0" applyNumberFormat="1" applyFont="1" applyFill="1" applyBorder="1"/>
    <x:xf numFmtId="0" fontId="32" fillId="91" borderId="237" xfId="0" applyNumberFormat="1" applyFont="1" applyFill="1" applyBorder="1" applyAlignment="1">
      <x:alignment wrapText="1"/>
    </x:xf>
    <x:xf numFmtId="0" fontId="32" fillId="91" borderId="238" xfId="0" applyNumberFormat="1" applyFont="1" applyFill="1" applyBorder="1" applyAlignment="1">
      <x:alignment wrapText="1"/>
    </x:xf>
    <x:xf numFmtId="0" fontId="32" fillId="91" borderId="239" xfId="0" applyNumberFormat="1" applyFont="1" applyFill="1" applyBorder="1" applyAlignment="1">
      <x:alignment wrapText="1"/>
    </x:xf>
    <x:xf numFmtId="0" fontId="32" fillId="91" borderId="240" xfId="0" applyNumberFormat="1" applyFont="1" applyFill="1" applyBorder="1" applyAlignment="1">
      <x:alignment wrapText="1"/>
    </x:xf>
    <x:xf numFmtId="0" fontId="32" fillId="91" xfId="0" applyNumberFormat="1" applyFont="1" applyFill="1" applyBorder="0" applyAlignment="1">
      <x:alignment wrapText="1"/>
    </x:xf>
    <x:xf numFmtId="0" fontId="32" fillId="91" borderId="241" xfId="0" applyNumberFormat="1" applyFont="1" applyFill="1" applyBorder="1" applyAlignment="1">
      <x:alignment wrapText="1"/>
    </x:xf>
    <x:xf numFmtId="0" fontId="32" fillId="91" borderId="242" xfId="0" applyNumberFormat="1" applyFont="1" applyFill="1" applyBorder="1" applyAlignment="1">
      <x:alignment wrapText="1"/>
    </x:xf>
    <x:xf numFmtId="0" fontId="32" fillId="91" borderId="243" xfId="0" applyNumberFormat="1" applyFont="1" applyFill="1" applyBorder="1" applyAlignment="1">
      <x:alignment wrapText="1"/>
    </x:xf>
    <x:xf numFmtId="0" fontId="32" fillId="91" borderId="244" xfId="0" applyNumberFormat="1" applyFont="1" applyFill="1" applyBorder="1" applyAlignment="1">
      <x:alignment wrapText="1"/>
    </x:xf>
    <x:xf numFmtId="0" fontId="32" fillId="91" borderId="237" xfId="0" applyNumberFormat="1" applyFont="1" applyFill="1" applyBorder="1" applyAlignment="1">
      <x:alignment horizontal="center" wrapText="1"/>
    </x:xf>
    <x:xf numFmtId="0" fontId="32" fillId="91" borderId="238" xfId="0" applyNumberFormat="1" applyFont="1" applyFill="1" applyBorder="1" applyAlignment="1">
      <x:alignment horizontal="center" wrapText="1"/>
    </x:xf>
    <x:xf numFmtId="0" fontId="32" fillId="91" borderId="239" xfId="0" applyNumberFormat="1" applyFont="1" applyFill="1" applyBorder="1" applyAlignment="1">
      <x:alignment horizontal="center" wrapText="1"/>
    </x:xf>
    <x:xf numFmtId="0" fontId="32" fillId="91" borderId="240" xfId="0" applyNumberFormat="1" applyFont="1" applyFill="1" applyBorder="1" applyAlignment="1">
      <x:alignment horizontal="center" wrapText="1"/>
    </x:xf>
    <x:xf numFmtId="0" fontId="32" fillId="91" xfId="0" applyNumberFormat="1" applyFont="1" applyFill="1" applyBorder="0" applyAlignment="1">
      <x:alignment horizontal="center" wrapText="1"/>
    </x:xf>
    <x:xf numFmtId="0" fontId="32" fillId="91" borderId="241" xfId="0" applyNumberFormat="1" applyFont="1" applyFill="1" applyBorder="1" applyAlignment="1">
      <x:alignment horizontal="center" wrapText="1"/>
    </x:xf>
    <x:xf numFmtId="0" fontId="32" fillId="91" borderId="242" xfId="0" applyNumberFormat="1" applyFont="1" applyFill="1" applyBorder="1" applyAlignment="1">
      <x:alignment horizontal="center" wrapText="1"/>
    </x:xf>
    <x:xf numFmtId="0" fontId="32" fillId="91" borderId="243" xfId="0" applyNumberFormat="1" applyFont="1" applyFill="1" applyBorder="1" applyAlignment="1">
      <x:alignment horizontal="center" wrapText="1"/>
    </x:xf>
    <x:xf numFmtId="0" fontId="32" fillId="91" borderId="244" xfId="0" applyNumberFormat="1" applyFont="1" applyFill="1" applyBorder="1" applyAlignment="1">
      <x:alignment horizontal="center" wrapText="1"/>
    </x:xf>
    <x:xf numFmtId="0" fontId="32" fillId="91" borderId="237" xfId="0" applyNumberFormat="1" applyFont="1" applyFill="1" applyBorder="1" applyAlignment="1">
      <x:alignment horizontal="center" vertical="center" wrapText="1"/>
    </x:xf>
    <x:xf numFmtId="0" fontId="32" fillId="91" borderId="238" xfId="0" applyNumberFormat="1" applyFont="1" applyFill="1" applyBorder="1" applyAlignment="1">
      <x:alignment horizontal="center" vertical="center" wrapText="1"/>
    </x:xf>
    <x:xf numFmtId="0" fontId="32" fillId="91" borderId="239" xfId="0" applyNumberFormat="1" applyFont="1" applyFill="1" applyBorder="1" applyAlignment="1">
      <x:alignment horizontal="center" vertical="center" wrapText="1"/>
    </x:xf>
    <x:xf numFmtId="0" fontId="32" fillId="91" borderId="240" xfId="0" applyNumberFormat="1" applyFont="1" applyFill="1" applyBorder="1" applyAlignment="1">
      <x:alignment horizontal="center" vertical="center" wrapText="1"/>
    </x:xf>
    <x:xf numFmtId="0" fontId="32" fillId="91" xfId="0" applyNumberFormat="1" applyFont="1" applyFill="1" applyBorder="0" applyAlignment="1">
      <x:alignment horizontal="center" vertical="center" wrapText="1"/>
    </x:xf>
    <x:xf numFmtId="0" fontId="32" fillId="91" borderId="241" xfId="0" applyNumberFormat="1" applyFont="1" applyFill="1" applyBorder="1" applyAlignment="1">
      <x:alignment horizontal="center" vertical="center" wrapText="1"/>
    </x:xf>
    <x:xf numFmtId="0" fontId="32" fillId="91" borderId="242" xfId="0" applyNumberFormat="1" applyFont="1" applyFill="1" applyBorder="1" applyAlignment="1">
      <x:alignment horizontal="center" vertical="center" wrapText="1"/>
    </x:xf>
    <x:xf numFmtId="0" fontId="32" fillId="91" borderId="243" xfId="0" applyNumberFormat="1" applyFont="1" applyFill="1" applyBorder="1" applyAlignment="1">
      <x:alignment horizontal="center" vertical="center" wrapText="1"/>
    </x:xf>
    <x:xf numFmtId="0" fontId="32" fillId="91" borderId="244" xfId="0" applyNumberFormat="1" applyFont="1" applyFill="1" applyBorder="1" applyAlignment="1">
      <x:alignment horizontal="center" vertical="center" wrapText="1"/>
    </x:xf>
    <x:xf numFmtId="0" fontId="32" fillId="92" borderId="237" xfId="0" applyNumberFormat="1" applyFont="1" applyFill="1" applyBorder="1"/>
    <x:xf numFmtId="0" fontId="32" fillId="92" borderId="238" xfId="0" applyNumberFormat="1" applyFont="1" applyFill="1" applyBorder="1"/>
    <x:xf numFmtId="0" fontId="32" fillId="92" borderId="239" xfId="0" applyNumberFormat="1" applyFont="1" applyFill="1" applyBorder="1"/>
    <x:xf numFmtId="0" fontId="32" fillId="92" borderId="240" xfId="0" applyNumberFormat="1" applyFont="1" applyFill="1" applyBorder="1"/>
    <x:xf numFmtId="0" fontId="32" fillId="92" xfId="0" applyNumberFormat="1" applyFont="1" applyFill="1" applyBorder="0"/>
    <x:xf numFmtId="0" fontId="32" fillId="92" borderId="241" xfId="0" applyNumberFormat="1" applyFont="1" applyFill="1" applyBorder="1"/>
    <x:xf numFmtId="0" fontId="32" fillId="92" borderId="242" xfId="0" applyNumberFormat="1" applyFont="1" applyFill="1" applyBorder="1"/>
    <x:xf numFmtId="0" fontId="32" fillId="92" borderId="243" xfId="0" applyNumberFormat="1" applyFont="1" applyFill="1" applyBorder="1"/>
    <x:xf numFmtId="0" fontId="32" fillId="92" borderId="244" xfId="0" applyNumberFormat="1" applyFont="1" applyFill="1" applyBorder="1"/>
    <x:xf numFmtId="0" fontId="32" fillId="92" borderId="237" xfId="0" applyNumberFormat="1" applyFont="1" applyFill="1" applyBorder="1" applyAlignment="1">
      <x:alignment wrapText="1"/>
    </x:xf>
    <x:xf numFmtId="0" fontId="32" fillId="92" borderId="238" xfId="0" applyNumberFormat="1" applyFont="1" applyFill="1" applyBorder="1" applyAlignment="1">
      <x:alignment wrapText="1"/>
    </x:xf>
    <x:xf numFmtId="0" fontId="32" fillId="92" borderId="239" xfId="0" applyNumberFormat="1" applyFont="1" applyFill="1" applyBorder="1" applyAlignment="1">
      <x:alignment wrapText="1"/>
    </x:xf>
    <x:xf numFmtId="0" fontId="32" fillId="92" borderId="240" xfId="0" applyNumberFormat="1" applyFont="1" applyFill="1" applyBorder="1" applyAlignment="1">
      <x:alignment wrapText="1"/>
    </x:xf>
    <x:xf numFmtId="0" fontId="32" fillId="92" xfId="0" applyNumberFormat="1" applyFont="1" applyFill="1" applyBorder="0" applyAlignment="1">
      <x:alignment wrapText="1"/>
    </x:xf>
    <x:xf numFmtId="0" fontId="32" fillId="92" borderId="241" xfId="0" applyNumberFormat="1" applyFont="1" applyFill="1" applyBorder="1" applyAlignment="1">
      <x:alignment wrapText="1"/>
    </x:xf>
    <x:xf numFmtId="0" fontId="32" fillId="92" borderId="242" xfId="0" applyNumberFormat="1" applyFont="1" applyFill="1" applyBorder="1" applyAlignment="1">
      <x:alignment wrapText="1"/>
    </x:xf>
    <x:xf numFmtId="0" fontId="32" fillId="92" borderId="243" xfId="0" applyNumberFormat="1" applyFont="1" applyFill="1" applyBorder="1" applyAlignment="1">
      <x:alignment wrapText="1"/>
    </x:xf>
    <x:xf numFmtId="0" fontId="32" fillId="92" borderId="244" xfId="0" applyNumberFormat="1" applyFont="1" applyFill="1" applyBorder="1" applyAlignment="1">
      <x:alignment wrapText="1"/>
    </x:xf>
    <x:xf numFmtId="0" fontId="32" fillId="92" borderId="237" xfId="0" applyNumberFormat="1" applyFont="1" applyFill="1" applyBorder="1" applyAlignment="1">
      <x:alignment horizontal="center" wrapText="1"/>
    </x:xf>
    <x:xf numFmtId="0" fontId="32" fillId="92" borderId="238" xfId="0" applyNumberFormat="1" applyFont="1" applyFill="1" applyBorder="1" applyAlignment="1">
      <x:alignment horizontal="center" wrapText="1"/>
    </x:xf>
    <x:xf numFmtId="0" fontId="32" fillId="92" borderId="239" xfId="0" applyNumberFormat="1" applyFont="1" applyFill="1" applyBorder="1" applyAlignment="1">
      <x:alignment horizontal="center" wrapText="1"/>
    </x:xf>
    <x:xf numFmtId="0" fontId="32" fillId="92" borderId="240" xfId="0" applyNumberFormat="1" applyFont="1" applyFill="1" applyBorder="1" applyAlignment="1">
      <x:alignment horizontal="center" wrapText="1"/>
    </x:xf>
    <x:xf numFmtId="0" fontId="32" fillId="92" xfId="0" applyNumberFormat="1" applyFont="1" applyFill="1" applyBorder="0" applyAlignment="1">
      <x:alignment horizontal="center" wrapText="1"/>
    </x:xf>
    <x:xf numFmtId="0" fontId="32" fillId="92" borderId="241" xfId="0" applyNumberFormat="1" applyFont="1" applyFill="1" applyBorder="1" applyAlignment="1">
      <x:alignment horizontal="center" wrapText="1"/>
    </x:xf>
    <x:xf numFmtId="0" fontId="32" fillId="92" borderId="242" xfId="0" applyNumberFormat="1" applyFont="1" applyFill="1" applyBorder="1" applyAlignment="1">
      <x:alignment horizontal="center" wrapText="1"/>
    </x:xf>
    <x:xf numFmtId="0" fontId="32" fillId="92" borderId="243" xfId="0" applyNumberFormat="1" applyFont="1" applyFill="1" applyBorder="1" applyAlignment="1">
      <x:alignment horizontal="center" wrapText="1"/>
    </x:xf>
    <x:xf numFmtId="0" fontId="32" fillId="92" borderId="244" xfId="0" applyNumberFormat="1" applyFont="1" applyFill="1" applyBorder="1" applyAlignment="1">
      <x:alignment horizontal="center" wrapText="1"/>
    </x:xf>
    <x:xf numFmtId="0" fontId="32" fillId="92" borderId="237" xfId="0" applyNumberFormat="1" applyFont="1" applyFill="1" applyBorder="1" applyAlignment="1">
      <x:alignment horizontal="center" vertical="center" wrapText="1"/>
    </x:xf>
    <x:xf numFmtId="0" fontId="32" fillId="92" borderId="238" xfId="0" applyNumberFormat="1" applyFont="1" applyFill="1" applyBorder="1" applyAlignment="1">
      <x:alignment horizontal="center" vertical="center" wrapText="1"/>
    </x:xf>
    <x:xf numFmtId="0" fontId="32" fillId="92" borderId="239" xfId="0" applyNumberFormat="1" applyFont="1" applyFill="1" applyBorder="1" applyAlignment="1">
      <x:alignment horizontal="center" vertical="center" wrapText="1"/>
    </x:xf>
    <x:xf numFmtId="0" fontId="32" fillId="92" borderId="240" xfId="0" applyNumberFormat="1" applyFont="1" applyFill="1" applyBorder="1" applyAlignment="1">
      <x:alignment horizontal="center" vertical="center" wrapText="1"/>
    </x:xf>
    <x:xf numFmtId="0" fontId="32" fillId="92" xfId="0" applyNumberFormat="1" applyFont="1" applyFill="1" applyBorder="0" applyAlignment="1">
      <x:alignment horizontal="center" vertical="center" wrapText="1"/>
    </x:xf>
    <x:xf numFmtId="0" fontId="32" fillId="92" borderId="241" xfId="0" applyNumberFormat="1" applyFont="1" applyFill="1" applyBorder="1" applyAlignment="1">
      <x:alignment horizontal="center" vertical="center" wrapText="1"/>
    </x:xf>
    <x:xf numFmtId="0" fontId="32" fillId="92" borderId="242" xfId="0" applyNumberFormat="1" applyFont="1" applyFill="1" applyBorder="1" applyAlignment="1">
      <x:alignment horizontal="center" vertical="center" wrapText="1"/>
    </x:xf>
    <x:xf numFmtId="0" fontId="32" fillId="92" borderId="243" xfId="0" applyNumberFormat="1" applyFont="1" applyFill="1" applyBorder="1" applyAlignment="1">
      <x:alignment horizontal="center" vertical="center" wrapText="1"/>
    </x:xf>
    <x:xf numFmtId="0" fontId="32" fillId="92" borderId="244" xfId="0" applyNumberFormat="1" applyFont="1" applyFill="1" applyBorder="1" applyAlignment="1">
      <x:alignment horizontal="center" vertical="center" wrapText="1"/>
    </x:xf>
    <x:xf numFmtId="0" fontId="38" fillId="91" borderId="0" xfId="0" applyNumberFormat="1" applyFont="1" applyFill="1" applyBorder="1"/>
    <x:xf numFmtId="0" fontId="33" fillId="91" borderId="0" xfId="0" applyNumberFormat="1" applyFont="1" applyFill="1" applyBorder="1"/>
    <x:xf numFmtId="0" fontId="33" fillId="91" borderId="245" xfId="0" applyNumberFormat="1" applyFont="1" applyFill="1" applyBorder="1"/>
    <x:xf numFmtId="0" fontId="43" fillId="92" borderId="0" xfId="0" applyNumberFormat="1" applyFont="1" applyFill="1" applyBorder="1"/>
    <x:xf numFmtId="0" fontId="43" fillId="92" borderId="0" xfId="0" applyNumberFormat="1" applyFont="1" applyFill="1" applyBorder="1" applyAlignment="1">
      <x:alignment wrapText="1"/>
    </x:xf>
    <x:xf numFmtId="0" fontId="43" fillId="92" borderId="0" xfId="0" applyNumberFormat="1" applyFont="1" applyFill="1" applyBorder="1" applyAlignment="1">
      <x:alignment horizontal="center" wrapText="1"/>
    </x:xf>
    <x:xf numFmtId="0" fontId="43" fillId="92" borderId="0" xfId="0" applyNumberFormat="1" applyFont="1" applyFill="1" applyBorder="1" applyAlignment="1">
      <x:alignment horizontal="center" vertical="center" wrapText="1"/>
    </x:xf>
    <x:xf numFmtId="0" fontId="33" fillId="88" borderId="0" xfId="0" applyNumberFormat="1" applyFont="1" applyFill="1" applyBorder="1"/>
    <x:xf numFmtId="0" fontId="0" fillId="93" borderId="0" xfId="0" applyNumberFormat="1" applyFont="1" applyFill="1" applyBorder="1"/>
    <x:xf numFmtId="0" fontId="39" fillId="93" borderId="0" xfId="0" applyNumberFormat="1" applyFont="1" applyFill="1" applyBorder="1"/>
    <x:xf numFmtId="0" fontId="39" fillId="93" borderId="0" xfId="0" applyNumberFormat="1" applyFont="1" applyFill="1" applyBorder="1" applyAlignment="1">
      <x:alignment wrapText="1"/>
    </x:xf>
    <x:xf numFmtId="0" fontId="39" fillId="93" borderId="0" xfId="0" applyNumberFormat="1" applyFont="1" applyFill="1" applyBorder="1" applyAlignment="1">
      <x:alignment horizontal="center" wrapText="1"/>
    </x:xf>
    <x:xf numFmtId="0" fontId="32" fillId="93" borderId="0" xfId="0" applyNumberFormat="1" applyFont="1" applyFill="1" applyBorder="1"/>
    <x:xf numFmtId="0" fontId="32" fillId="93" borderId="237" xfId="0" applyNumberFormat="1" applyFont="1" applyFill="1" applyBorder="1"/>
    <x:xf numFmtId="0" fontId="32" fillId="93" borderId="238" xfId="0" applyNumberFormat="1" applyFont="1" applyFill="1" applyBorder="1"/>
    <x:xf numFmtId="0" fontId="32" fillId="93" borderId="239" xfId="0" applyNumberFormat="1" applyFont="1" applyFill="1" applyBorder="1"/>
    <x:xf numFmtId="0" fontId="32" fillId="93" borderId="240" xfId="0" applyNumberFormat="1" applyFont="1" applyFill="1" applyBorder="1"/>
    <x:xf numFmtId="0" fontId="32" fillId="93" xfId="0" applyNumberFormat="1" applyFont="1" applyFill="1" applyBorder="0"/>
    <x:xf numFmtId="0" fontId="32" fillId="93" borderId="241" xfId="0" applyNumberFormat="1" applyFont="1" applyFill="1" applyBorder="1"/>
    <x:xf numFmtId="0" fontId="32" fillId="93" borderId="242" xfId="0" applyNumberFormat="1" applyFont="1" applyFill="1" applyBorder="1"/>
    <x:xf numFmtId="0" fontId="32" fillId="93" borderId="243" xfId="0" applyNumberFormat="1" applyFont="1" applyFill="1" applyBorder="1"/>
    <x:xf numFmtId="0" fontId="32" fillId="93" borderId="244" xfId="0" applyNumberFormat="1" applyFont="1" applyFill="1" applyBorder="1"/>
    <x:xf numFmtId="0" fontId="32" fillId="93" borderId="237" xfId="0" applyNumberFormat="1" applyFont="1" applyFill="1" applyBorder="1" applyAlignment="1">
      <x:alignment wrapText="1"/>
    </x:xf>
    <x:xf numFmtId="0" fontId="32" fillId="93" borderId="238" xfId="0" applyNumberFormat="1" applyFont="1" applyFill="1" applyBorder="1" applyAlignment="1">
      <x:alignment wrapText="1"/>
    </x:xf>
    <x:xf numFmtId="0" fontId="32" fillId="93" borderId="239" xfId="0" applyNumberFormat="1" applyFont="1" applyFill="1" applyBorder="1" applyAlignment="1">
      <x:alignment wrapText="1"/>
    </x:xf>
    <x:xf numFmtId="0" fontId="32" fillId="93" borderId="240" xfId="0" applyNumberFormat="1" applyFont="1" applyFill="1" applyBorder="1" applyAlignment="1">
      <x:alignment wrapText="1"/>
    </x:xf>
    <x:xf numFmtId="0" fontId="32" fillId="93" xfId="0" applyNumberFormat="1" applyFont="1" applyFill="1" applyBorder="0" applyAlignment="1">
      <x:alignment wrapText="1"/>
    </x:xf>
    <x:xf numFmtId="0" fontId="32" fillId="93" borderId="241" xfId="0" applyNumberFormat="1" applyFont="1" applyFill="1" applyBorder="1" applyAlignment="1">
      <x:alignment wrapText="1"/>
    </x:xf>
    <x:xf numFmtId="0" fontId="32" fillId="93" borderId="242" xfId="0" applyNumberFormat="1" applyFont="1" applyFill="1" applyBorder="1" applyAlignment="1">
      <x:alignment wrapText="1"/>
    </x:xf>
    <x:xf numFmtId="0" fontId="32" fillId="93" borderId="243" xfId="0" applyNumberFormat="1" applyFont="1" applyFill="1" applyBorder="1" applyAlignment="1">
      <x:alignment wrapText="1"/>
    </x:xf>
    <x:xf numFmtId="0" fontId="32" fillId="93" borderId="244" xfId="0" applyNumberFormat="1" applyFont="1" applyFill="1" applyBorder="1" applyAlignment="1">
      <x:alignment wrapText="1"/>
    </x:xf>
    <x:xf numFmtId="0" fontId="32" fillId="93" borderId="237" xfId="0" applyNumberFormat="1" applyFont="1" applyFill="1" applyBorder="1" applyAlignment="1">
      <x:alignment horizontal="center" wrapText="1"/>
    </x:xf>
    <x:xf numFmtId="0" fontId="32" fillId="93" borderId="238" xfId="0" applyNumberFormat="1" applyFont="1" applyFill="1" applyBorder="1" applyAlignment="1">
      <x:alignment horizontal="center" wrapText="1"/>
    </x:xf>
    <x:xf numFmtId="0" fontId="32" fillId="93" borderId="239" xfId="0" applyNumberFormat="1" applyFont="1" applyFill="1" applyBorder="1" applyAlignment="1">
      <x:alignment horizontal="center" wrapText="1"/>
    </x:xf>
    <x:xf numFmtId="0" fontId="32" fillId="93" borderId="240" xfId="0" applyNumberFormat="1" applyFont="1" applyFill="1" applyBorder="1" applyAlignment="1">
      <x:alignment horizontal="center" wrapText="1"/>
    </x:xf>
    <x:xf numFmtId="0" fontId="32" fillId="93" xfId="0" applyNumberFormat="1" applyFont="1" applyFill="1" applyBorder="0" applyAlignment="1">
      <x:alignment horizontal="center" wrapText="1"/>
    </x:xf>
    <x:xf numFmtId="0" fontId="32" fillId="93" borderId="241" xfId="0" applyNumberFormat="1" applyFont="1" applyFill="1" applyBorder="1" applyAlignment="1">
      <x:alignment horizontal="center" wrapText="1"/>
    </x:xf>
    <x:xf numFmtId="0" fontId="32" fillId="93" borderId="242" xfId="0" applyNumberFormat="1" applyFont="1" applyFill="1" applyBorder="1" applyAlignment="1">
      <x:alignment horizontal="center" wrapText="1"/>
    </x:xf>
    <x:xf numFmtId="0" fontId="32" fillId="93" borderId="243" xfId="0" applyNumberFormat="1" applyFont="1" applyFill="1" applyBorder="1" applyAlignment="1">
      <x:alignment horizontal="center" wrapText="1"/>
    </x:xf>
    <x:xf numFmtId="0" fontId="32" fillId="93" borderId="244" xfId="0" applyNumberFormat="1" applyFont="1" applyFill="1" applyBorder="1" applyAlignment="1">
      <x:alignment horizontal="center" wrapText="1"/>
    </x:xf>
    <x:xf numFmtId="0" fontId="32" fillId="93" borderId="237" xfId="0" applyNumberFormat="1" applyFont="1" applyFill="1" applyBorder="1" applyAlignment="1">
      <x:alignment horizontal="center" vertical="center" wrapText="1"/>
    </x:xf>
    <x:xf numFmtId="0" fontId="32" fillId="93" borderId="238" xfId="0" applyNumberFormat="1" applyFont="1" applyFill="1" applyBorder="1" applyAlignment="1">
      <x:alignment horizontal="center" vertical="center" wrapText="1"/>
    </x:xf>
    <x:xf numFmtId="0" fontId="32" fillId="93" borderId="239" xfId="0" applyNumberFormat="1" applyFont="1" applyFill="1" applyBorder="1" applyAlignment="1">
      <x:alignment horizontal="center" vertical="center" wrapText="1"/>
    </x:xf>
    <x:xf numFmtId="0" fontId="32" fillId="93" borderId="240" xfId="0" applyNumberFormat="1" applyFont="1" applyFill="1" applyBorder="1" applyAlignment="1">
      <x:alignment horizontal="center" vertical="center" wrapText="1"/>
    </x:xf>
    <x:xf numFmtId="0" fontId="32" fillId="93" xfId="0" applyNumberFormat="1" applyFont="1" applyFill="1" applyBorder="0" applyAlignment="1">
      <x:alignment horizontal="center" vertical="center" wrapText="1"/>
    </x:xf>
    <x:xf numFmtId="0" fontId="32" fillId="93" borderId="241" xfId="0" applyNumberFormat="1" applyFont="1" applyFill="1" applyBorder="1" applyAlignment="1">
      <x:alignment horizontal="center" vertical="center" wrapText="1"/>
    </x:xf>
    <x:xf numFmtId="0" fontId="32" fillId="93" borderId="242" xfId="0" applyNumberFormat="1" applyFont="1" applyFill="1" applyBorder="1" applyAlignment="1">
      <x:alignment horizontal="center" vertical="center" wrapText="1"/>
    </x:xf>
    <x:xf numFmtId="0" fontId="32" fillId="93" borderId="243" xfId="0" applyNumberFormat="1" applyFont="1" applyFill="1" applyBorder="1" applyAlignment="1">
      <x:alignment horizontal="center" vertical="center" wrapText="1"/>
    </x:xf>
    <x:xf numFmtId="0" fontId="32" fillId="93" borderId="244" xfId="0" applyNumberFormat="1" applyFont="1" applyFill="1" applyBorder="1" applyAlignment="1">
      <x:alignment horizontal="center" vertical="center" wrapText="1"/>
    </x:xf>
    <x:xf numFmtId="0" fontId="33" fillId="93" borderId="0" xfId="0" applyNumberFormat="1" applyFont="1" applyFill="1" applyBorder="1"/>
    <x:xf numFmtId="0" fontId="43" fillId="93" borderId="0" xfId="0" applyNumberFormat="1" applyFont="1" applyFill="1" applyBorder="1"/>
    <x:xf numFmtId="0" fontId="43" fillId="93" borderId="0" xfId="0" applyNumberFormat="1" applyFont="1" applyFill="1" applyBorder="1" applyAlignment="1">
      <x:alignment wrapText="1"/>
    </x:xf>
    <x:xf numFmtId="0" fontId="43" fillId="93" borderId="0" xfId="0" applyNumberFormat="1" applyFont="1" applyFill="1" applyBorder="1" applyAlignment="1">
      <x:alignment vertical="center" wrapText="1"/>
    </x:xf>
    <x:xf numFmtId="0" fontId="32" fillId="88" borderId="0" xfId="0" applyNumberFormat="1" applyFont="1" applyFill="1" applyBorder="1"/>
    <x:xf numFmtId="0" fontId="32" fillId="88" borderId="246" xfId="0" applyNumberFormat="1" applyFont="1" applyFill="1" applyBorder="1"/>
    <x:xf numFmtId="0" fontId="32" fillId="88" borderId="247" xfId="0" applyNumberFormat="1" applyFont="1" applyFill="1" applyBorder="1"/>
    <x:xf numFmtId="0" fontId="32" fillId="88" borderId="248" xfId="0" applyNumberFormat="1" applyFont="1" applyFill="1" applyBorder="1"/>
    <x:xf numFmtId="0" fontId="32" fillId="88" borderId="249" xfId="0" applyNumberFormat="1" applyFont="1" applyFill="1" applyBorder="1"/>
    <x:xf numFmtId="0" fontId="32" fillId="88" xfId="0" applyNumberFormat="1" applyFont="1" applyFill="1" applyBorder="0"/>
    <x:xf numFmtId="0" fontId="32" fillId="88" borderId="250" xfId="0" applyNumberFormat="1" applyFont="1" applyFill="1" applyBorder="1"/>
    <x:xf numFmtId="0" fontId="32" fillId="88" borderId="251" xfId="0" applyNumberFormat="1" applyFont="1" applyFill="1" applyBorder="1"/>
    <x:xf numFmtId="0" fontId="32" fillId="88" borderId="236" xfId="0" applyNumberFormat="1" applyFont="1" applyFill="1" applyBorder="1"/>
    <x:xf numFmtId="0" fontId="32" fillId="88" borderId="252" xfId="0" applyNumberFormat="1" applyFont="1" applyFill="1" applyBorder="1"/>
    <x:xf numFmtId="0" fontId="32" fillId="88" borderId="246" xfId="0" applyNumberFormat="1" applyFont="1" applyFill="1" applyBorder="1" applyAlignment="1">
      <x:alignment wrapText="1"/>
    </x:xf>
    <x:xf numFmtId="0" fontId="32" fillId="88" borderId="247" xfId="0" applyNumberFormat="1" applyFont="1" applyFill="1" applyBorder="1" applyAlignment="1">
      <x:alignment wrapText="1"/>
    </x:xf>
    <x:xf numFmtId="0" fontId="32" fillId="88" borderId="248" xfId="0" applyNumberFormat="1" applyFont="1" applyFill="1" applyBorder="1" applyAlignment="1">
      <x:alignment wrapText="1"/>
    </x:xf>
    <x:xf numFmtId="0" fontId="32" fillId="88" borderId="249" xfId="0" applyNumberFormat="1" applyFont="1" applyFill="1" applyBorder="1" applyAlignment="1">
      <x:alignment wrapText="1"/>
    </x:xf>
    <x:xf numFmtId="0" fontId="32" fillId="88" xfId="0" applyNumberFormat="1" applyFont="1" applyFill="1" applyBorder="0" applyAlignment="1">
      <x:alignment wrapText="1"/>
    </x:xf>
    <x:xf numFmtId="0" fontId="32" fillId="88" borderId="250" xfId="0" applyNumberFormat="1" applyFont="1" applyFill="1" applyBorder="1" applyAlignment="1">
      <x:alignment wrapText="1"/>
    </x:xf>
    <x:xf numFmtId="0" fontId="32" fillId="88" borderId="251" xfId="0" applyNumberFormat="1" applyFont="1" applyFill="1" applyBorder="1" applyAlignment="1">
      <x:alignment wrapText="1"/>
    </x:xf>
    <x:xf numFmtId="0" fontId="32" fillId="88" borderId="236" xfId="0" applyNumberFormat="1" applyFont="1" applyFill="1" applyBorder="1" applyAlignment="1">
      <x:alignment wrapText="1"/>
    </x:xf>
    <x:xf numFmtId="0" fontId="32" fillId="88" borderId="252" xfId="0" applyNumberFormat="1" applyFont="1" applyFill="1" applyBorder="1" applyAlignment="1">
      <x:alignment wrapText="1"/>
    </x:xf>
    <x:xf numFmtId="0" fontId="32" fillId="88" borderId="246" xfId="0" applyNumberFormat="1" applyFont="1" applyFill="1" applyBorder="1" applyAlignment="1">
      <x:alignment horizontal="center" wrapText="1"/>
    </x:xf>
    <x:xf numFmtId="0" fontId="32" fillId="88" borderId="247" xfId="0" applyNumberFormat="1" applyFont="1" applyFill="1" applyBorder="1" applyAlignment="1">
      <x:alignment horizontal="center" wrapText="1"/>
    </x:xf>
    <x:xf numFmtId="0" fontId="32" fillId="88" borderId="248" xfId="0" applyNumberFormat="1" applyFont="1" applyFill="1" applyBorder="1" applyAlignment="1">
      <x:alignment horizontal="center" wrapText="1"/>
    </x:xf>
    <x:xf numFmtId="0" fontId="32" fillId="88" borderId="249" xfId="0" applyNumberFormat="1" applyFont="1" applyFill="1" applyBorder="1" applyAlignment="1">
      <x:alignment horizontal="center" wrapText="1"/>
    </x:xf>
    <x:xf numFmtId="0" fontId="32" fillId="88" xfId="0" applyNumberFormat="1" applyFont="1" applyFill="1" applyBorder="0" applyAlignment="1">
      <x:alignment horizontal="center" wrapText="1"/>
    </x:xf>
    <x:xf numFmtId="0" fontId="32" fillId="88" borderId="250" xfId="0" applyNumberFormat="1" applyFont="1" applyFill="1" applyBorder="1" applyAlignment="1">
      <x:alignment horizontal="center" wrapText="1"/>
    </x:xf>
    <x:xf numFmtId="0" fontId="32" fillId="88" borderId="251" xfId="0" applyNumberFormat="1" applyFont="1" applyFill="1" applyBorder="1" applyAlignment="1">
      <x:alignment horizontal="center" wrapText="1"/>
    </x:xf>
    <x:xf numFmtId="0" fontId="32" fillId="88" borderId="236" xfId="0" applyNumberFormat="1" applyFont="1" applyFill="1" applyBorder="1" applyAlignment="1">
      <x:alignment horizontal="center" wrapText="1"/>
    </x:xf>
    <x:xf numFmtId="0" fontId="32" fillId="88" borderId="252" xfId="0" applyNumberFormat="1" applyFont="1" applyFill="1" applyBorder="1" applyAlignment="1">
      <x:alignment horizontal="center" wrapText="1"/>
    </x:xf>
    <x:xf numFmtId="0" fontId="32" fillId="88" borderId="246" xfId="0" applyNumberFormat="1" applyFont="1" applyFill="1" applyBorder="1" applyAlignment="1">
      <x:alignment horizontal="center" vertical="center" wrapText="1"/>
    </x:xf>
    <x:xf numFmtId="0" fontId="32" fillId="88" borderId="247" xfId="0" applyNumberFormat="1" applyFont="1" applyFill="1" applyBorder="1" applyAlignment="1">
      <x:alignment horizontal="center" vertical="center" wrapText="1"/>
    </x:xf>
    <x:xf numFmtId="0" fontId="32" fillId="88" borderId="248" xfId="0" applyNumberFormat="1" applyFont="1" applyFill="1" applyBorder="1" applyAlignment="1">
      <x:alignment horizontal="center" vertical="center" wrapText="1"/>
    </x:xf>
    <x:xf numFmtId="0" fontId="32" fillId="88" borderId="249" xfId="0" applyNumberFormat="1" applyFont="1" applyFill="1" applyBorder="1" applyAlignment="1">
      <x:alignment horizontal="center" vertical="center" wrapText="1"/>
    </x:xf>
    <x:xf numFmtId="0" fontId="32" fillId="88" xfId="0" applyNumberFormat="1" applyFont="1" applyFill="1" applyBorder="0" applyAlignment="1">
      <x:alignment horizontal="center" vertical="center" wrapText="1"/>
    </x:xf>
    <x:xf numFmtId="0" fontId="32" fillId="88" borderId="250" xfId="0" applyNumberFormat="1" applyFont="1" applyFill="1" applyBorder="1" applyAlignment="1">
      <x:alignment horizontal="center" vertical="center" wrapText="1"/>
    </x:xf>
    <x:xf numFmtId="0" fontId="32" fillId="88" borderId="251" xfId="0" applyNumberFormat="1" applyFont="1" applyFill="1" applyBorder="1" applyAlignment="1">
      <x:alignment horizontal="center" vertical="center" wrapText="1"/>
    </x:xf>
    <x:xf numFmtId="0" fontId="32" fillId="88" borderId="236" xfId="0" applyNumberFormat="1" applyFont="1" applyFill="1" applyBorder="1" applyAlignment="1">
      <x:alignment horizontal="center" vertical="center" wrapText="1"/>
    </x:xf>
    <x:xf numFmtId="0" fontId="32" fillId="88" borderId="252" xfId="0" applyNumberFormat="1" applyFont="1" applyFill="1" applyBorder="1" applyAlignment="1">
      <x:alignment horizontal="center" vertical="center" wrapText="1"/>
    </x:xf>
    <x:xf numFmtId="0" fontId="46" fillId="91" borderId="0" xfId="0" applyNumberFormat="1" applyFont="1" applyFill="1" applyBorder="1"/>
    <x:xf numFmtId="0" fontId="46" fillId="91" borderId="0" xfId="0" applyNumberFormat="1" applyFont="1" applyFill="1" applyBorder="1" applyAlignment="1">
      <x:alignment wrapText="1"/>
    </x:xf>
    <x:xf numFmtId="0" fontId="46" fillId="91" borderId="0" xfId="0" applyNumberFormat="1" applyFont="1" applyFill="1" applyBorder="1" applyAlignment="1">
      <x:alignment vertical="center" wrapText="1"/>
    </x:xf>
    <x:xf numFmtId="0" fontId="40" fillId="88" borderId="0" xfId="0" applyNumberFormat="1" applyFont="1" applyFill="1" applyBorder="1" applyAlignment="1">
      <x:alignment wrapText="1"/>
    </x:xf>
    <x:xf numFmtId="0" fontId="40" fillId="91" borderId="237" xfId="0" applyNumberFormat="1" applyFont="1" applyFill="1" applyBorder="1" applyAlignment="1">
      <x:alignment horizontal="center" vertical="center" wrapText="1"/>
    </x:xf>
    <x:xf numFmtId="0" fontId="40" fillId="91" borderId="238" xfId="0" applyNumberFormat="1" applyFont="1" applyFill="1" applyBorder="1" applyAlignment="1">
      <x:alignment horizontal="center" vertical="center" wrapText="1"/>
    </x:xf>
    <x:xf numFmtId="0" fontId="40" fillId="91" borderId="239" xfId="0" applyNumberFormat="1" applyFont="1" applyFill="1" applyBorder="1" applyAlignment="1">
      <x:alignment horizontal="center" vertical="center" wrapText="1"/>
    </x:xf>
    <x:xf numFmtId="0" fontId="40" fillId="92" borderId="237" xfId="0" applyNumberFormat="1" applyFont="1" applyFill="1" applyBorder="1" applyAlignment="1">
      <x:alignment horizontal="center" vertical="center" wrapText="1"/>
    </x:xf>
    <x:xf numFmtId="0" fontId="40" fillId="92" borderId="238" xfId="0" applyNumberFormat="1" applyFont="1" applyFill="1" applyBorder="1" applyAlignment="1">
      <x:alignment horizontal="center" vertical="center" wrapText="1"/>
    </x:xf>
    <x:xf numFmtId="0" fontId="40" fillId="92" borderId="239" xfId="0" applyNumberFormat="1" applyFont="1" applyFill="1" applyBorder="1" applyAlignment="1">
      <x:alignment horizontal="center" vertical="center" wrapText="1"/>
    </x:xf>
    <x:xf numFmtId="0" fontId="40" fillId="91" borderId="240" xfId="0" applyNumberFormat="1" applyFont="1" applyFill="1" applyBorder="1" applyAlignment="1">
      <x:alignment horizontal="center" vertical="center" wrapText="1"/>
    </x:xf>
    <x:xf numFmtId="0" fontId="40" fillId="91" xfId="0" applyNumberFormat="1" applyFont="1" applyFill="1" applyBorder="0" applyAlignment="1">
      <x:alignment horizontal="center" vertical="center" wrapText="1"/>
    </x:xf>
    <x:xf numFmtId="0" fontId="40" fillId="91" borderId="241" xfId="0" applyNumberFormat="1" applyFont="1" applyFill="1" applyBorder="1" applyAlignment="1">
      <x:alignment horizontal="center" vertical="center" wrapText="1"/>
    </x:xf>
    <x:xf numFmtId="0" fontId="40" fillId="92" borderId="240" xfId="0" applyNumberFormat="1" applyFont="1" applyFill="1" applyBorder="1" applyAlignment="1">
      <x:alignment horizontal="center" vertical="center" wrapText="1"/>
    </x:xf>
    <x:xf numFmtId="0" fontId="40" fillId="92" xfId="0" applyNumberFormat="1" applyFont="1" applyFill="1" applyBorder="0" applyAlignment="1">
      <x:alignment horizontal="center" vertical="center" wrapText="1"/>
    </x:xf>
    <x:xf numFmtId="0" fontId="40" fillId="92" borderId="241" xfId="0" applyNumberFormat="1" applyFont="1" applyFill="1" applyBorder="1" applyAlignment="1">
      <x:alignment horizontal="center" vertical="center" wrapText="1"/>
    </x:xf>
    <x:xf numFmtId="0" fontId="40" fillId="91" borderId="242" xfId="0" applyNumberFormat="1" applyFont="1" applyFill="1" applyBorder="1" applyAlignment="1">
      <x:alignment horizontal="center" vertical="center" wrapText="1"/>
    </x:xf>
    <x:xf numFmtId="0" fontId="40" fillId="91" borderId="243" xfId="0" applyNumberFormat="1" applyFont="1" applyFill="1" applyBorder="1" applyAlignment="1">
      <x:alignment horizontal="center" vertical="center" wrapText="1"/>
    </x:xf>
    <x:xf numFmtId="0" fontId="40" fillId="91" borderId="244" xfId="0" applyNumberFormat="1" applyFont="1" applyFill="1" applyBorder="1" applyAlignment="1">
      <x:alignment horizontal="center" vertical="center" wrapText="1"/>
    </x:xf>
    <x:xf numFmtId="0" fontId="40" fillId="92" borderId="242" xfId="0" applyNumberFormat="1" applyFont="1" applyFill="1" applyBorder="1" applyAlignment="1">
      <x:alignment horizontal="center" vertical="center" wrapText="1"/>
    </x:xf>
    <x:xf numFmtId="0" fontId="40" fillId="92" borderId="243" xfId="0" applyNumberFormat="1" applyFont="1" applyFill="1" applyBorder="1" applyAlignment="1">
      <x:alignment horizontal="center" vertical="center" wrapText="1"/>
    </x:xf>
    <x:xf numFmtId="0" fontId="40" fillId="92" borderId="244" xfId="0" applyNumberFormat="1" applyFont="1" applyFill="1" applyBorder="1" applyAlignment="1">
      <x:alignment horizontal="center" vertical="center" wrapText="1"/>
    </x:xf>
    <x:xf numFmtId="0" fontId="40" fillId="91" borderId="0" xfId="0" applyNumberFormat="1" applyFont="1" applyFill="1" applyBorder="1"/>
    <x:xf numFmtId="0" fontId="40" fillId="88" borderId="0" xfId="0" applyNumberFormat="1" applyFont="1" applyFill="1" applyBorder="1"/>
    <x:xf numFmtId="0" fontId="40" fillId="93" borderId="0" xfId="0" applyNumberFormat="1" applyFont="1" applyFill="1" applyBorder="1" applyAlignment="1">
      <x:alignment horizontal="center" wrapText="1"/>
    </x:xf>
    <x:xf numFmtId="0" fontId="40" fillId="91" borderId="245" xfId="0" applyNumberFormat="1" applyFont="1" applyFill="1" applyBorder="1"/>
    <x:xf numFmtId="0" fontId="41" fillId="92" borderId="0" xfId="0" applyNumberFormat="1" applyFont="1" applyFill="1" applyBorder="1" applyAlignment="1">
      <x:alignment horizontal="center" vertical="center" wrapText="1"/>
    </x:xf>
    <x:xf numFmtId="0" fontId="40" fillId="93" borderId="237" xfId="0" applyNumberFormat="1" applyFont="1" applyFill="1" applyBorder="1" applyAlignment="1">
      <x:alignment horizontal="center" vertical="center" wrapText="1"/>
    </x:xf>
    <x:xf numFmtId="0" fontId="40" fillId="93" borderId="238" xfId="0" applyNumberFormat="1" applyFont="1" applyFill="1" applyBorder="1" applyAlignment="1">
      <x:alignment horizontal="center" vertical="center" wrapText="1"/>
    </x:xf>
    <x:xf numFmtId="0" fontId="40" fillId="93" borderId="239" xfId="0" applyNumberFormat="1" applyFont="1" applyFill="1" applyBorder="1" applyAlignment="1">
      <x:alignment horizontal="center" vertical="center" wrapText="1"/>
    </x:xf>
    <x:xf numFmtId="0" fontId="40" fillId="93" borderId="240" xfId="0" applyNumberFormat="1" applyFont="1" applyFill="1" applyBorder="1" applyAlignment="1">
      <x:alignment horizontal="center" vertical="center" wrapText="1"/>
    </x:xf>
    <x:xf numFmtId="0" fontId="40" fillId="93" xfId="0" applyNumberFormat="1" applyFont="1" applyFill="1" applyBorder="0" applyAlignment="1">
      <x:alignment horizontal="center" vertical="center" wrapText="1"/>
    </x:xf>
    <x:xf numFmtId="0" fontId="40" fillId="93" borderId="241" xfId="0" applyNumberFormat="1" applyFont="1" applyFill="1" applyBorder="1" applyAlignment="1">
      <x:alignment horizontal="center" vertical="center" wrapText="1"/>
    </x:xf>
    <x:xf numFmtId="0" fontId="40" fillId="93" borderId="242" xfId="0" applyNumberFormat="1" applyFont="1" applyFill="1" applyBorder="1" applyAlignment="1">
      <x:alignment horizontal="center" vertical="center" wrapText="1"/>
    </x:xf>
    <x:xf numFmtId="0" fontId="40" fillId="93" borderId="243" xfId="0" applyNumberFormat="1" applyFont="1" applyFill="1" applyBorder="1" applyAlignment="1">
      <x:alignment horizontal="center" vertical="center" wrapText="1"/>
    </x:xf>
    <x:xf numFmtId="0" fontId="40" fillId="93" borderId="244" xfId="0" applyNumberFormat="1" applyFont="1" applyFill="1" applyBorder="1" applyAlignment="1">
      <x:alignment horizontal="center" vertical="center" wrapText="1"/>
    </x:xf>
    <x:xf numFmtId="0" fontId="40" fillId="93" borderId="0" xfId="0" applyNumberFormat="1" applyFont="1" applyFill="1" applyBorder="1"/>
    <x:xf numFmtId="0" fontId="41" fillId="93" borderId="0" xfId="0" applyNumberFormat="1" applyFont="1" applyFill="1" applyBorder="1" applyAlignment="1">
      <x:alignment vertical="center" wrapText="1"/>
    </x:xf>
    <x:xf numFmtId="0" fontId="40" fillId="88" borderId="246" xfId="0" applyNumberFormat="1" applyFont="1" applyFill="1" applyBorder="1" applyAlignment="1">
      <x:alignment horizontal="center" vertical="center" wrapText="1"/>
    </x:xf>
    <x:xf numFmtId="0" fontId="40" fillId="88" borderId="247" xfId="0" applyNumberFormat="1" applyFont="1" applyFill="1" applyBorder="1" applyAlignment="1">
      <x:alignment horizontal="center" vertical="center" wrapText="1"/>
    </x:xf>
    <x:xf numFmtId="0" fontId="40" fillId="88" borderId="248" xfId="0" applyNumberFormat="1" applyFont="1" applyFill="1" applyBorder="1" applyAlignment="1">
      <x:alignment horizontal="center" vertical="center" wrapText="1"/>
    </x:xf>
    <x:xf numFmtId="0" fontId="40" fillId="88" borderId="249" xfId="0" applyNumberFormat="1" applyFont="1" applyFill="1" applyBorder="1" applyAlignment="1">
      <x:alignment horizontal="center" vertical="center" wrapText="1"/>
    </x:xf>
    <x:xf numFmtId="0" fontId="40" fillId="88" xfId="0" applyNumberFormat="1" applyFont="1" applyFill="1" applyBorder="0" applyAlignment="1">
      <x:alignment horizontal="center" vertical="center" wrapText="1"/>
    </x:xf>
    <x:xf numFmtId="0" fontId="40" fillId="88" borderId="250" xfId="0" applyNumberFormat="1" applyFont="1" applyFill="1" applyBorder="1" applyAlignment="1">
      <x:alignment horizontal="center" vertical="center" wrapText="1"/>
    </x:xf>
    <x:xf numFmtId="0" fontId="40" fillId="88" borderId="251" xfId="0" applyNumberFormat="1" applyFont="1" applyFill="1" applyBorder="1" applyAlignment="1">
      <x:alignment horizontal="center" vertical="center" wrapText="1"/>
    </x:xf>
    <x:xf numFmtId="0" fontId="40" fillId="88" borderId="236" xfId="0" applyNumberFormat="1" applyFont="1" applyFill="1" applyBorder="1" applyAlignment="1">
      <x:alignment horizontal="center" vertical="center" wrapText="1"/>
    </x:xf>
    <x:xf numFmtId="0" fontId="40" fillId="88" borderId="252" xfId="0" applyNumberFormat="1" applyFont="1" applyFill="1" applyBorder="1" applyAlignment="1">
      <x:alignment horizontal="center" vertical="center" wrapText="1"/>
    </x:xf>
    <x:xf numFmtId="0" fontId="40" fillId="91" borderId="0" xfId="0" applyNumberFormat="1" applyFont="1" applyFill="1" applyBorder="1" applyAlignment="1">
      <x:alignment vertical="center" wrapText="1"/>
    </x:xf>
    <x:xf numFmtId="0" fontId="51" fillId="89" borderId="236" xfId="0" applyNumberFormat="1" applyFont="1" applyFill="1" applyBorder="1"/>
    <x:xf numFmtId="0" fontId="0" fillId="36" borderId="0" xfId="0" applyNumberFormat="1" applyFont="1" applyFill="1" applyBorder="1" applyAlignment="1">
      <x:alignment wrapText="1"/>
    </x:xf>
    <x:xf numFmtId="0" fontId="32" fillId="23" borderId="0" xfId="0" applyNumberFormat="1" applyFont="1" applyFill="1" applyBorder="1" applyAlignment="1">
      <x:alignment vertical="top" wrapText="1"/>
    </x:xf>
    <x:xf numFmtId="0" fontId="32" fillId="23" borderId="0" xfId="0" applyNumberFormat="1" applyFont="1" applyFill="1" applyBorder="1" applyAlignment="1">
      <x:alignment vertical="center" wrapText="1"/>
    </x:xf>
    <x:xf numFmtId="0" fontId="49" fillId="14" borderId="0" xfId="0" applyNumberFormat="1" applyFont="1" applyFill="1" applyBorder="1"/>
    <x:xf numFmtId="0" fontId="50" fillId="36" borderId="0" xfId="0" applyNumberFormat="1" applyFont="1" applyFill="1" applyBorder="1"/>
    <x:xf numFmtId="0" fontId="50" fillId="36" borderId="0" xfId="0" applyNumberFormat="1" applyFont="1" applyFill="1" applyBorder="1" applyAlignment="1">
      <x:alignment wrapText="1"/>
    </x:xf>
    <x:xf numFmtId="0" fontId="38" fillId="53" borderId="0" xfId="0" applyNumberFormat="1" applyFont="1" applyFill="1" applyBorder="1"/>
    <x:xf numFmtId="0" fontId="33" fillId="53" borderId="0" xfId="0" applyNumberFormat="1" applyFont="1" applyFill="1" applyBorder="1"/>
    <x:xf numFmtId="0" fontId="43" fillId="35" borderId="0" xfId="0" applyNumberFormat="1" applyFont="1" applyFill="1" applyBorder="1"/>
    <x:xf numFmtId="0" fontId="43" fillId="35" borderId="0" xfId="0" applyNumberFormat="1" applyFont="1" applyFill="1" applyBorder="1" applyAlignment="1">
      <x:alignment wrapText="1"/>
    </x:xf>
    <x:xf numFmtId="0" fontId="43" fillId="35" borderId="0" xfId="0" applyNumberFormat="1" applyFont="1" applyFill="1" applyBorder="1" applyAlignment="1">
      <x:alignment vertical="center" wrapText="1"/>
    </x:xf>
    <x:xf numFmtId="0" fontId="32" fillId="36" borderId="0" xfId="0" applyNumberFormat="1" applyFont="1" applyFill="1" applyBorder="1"/>
    <x:xf numFmtId="0" fontId="32" fillId="36" xfId="0" applyNumberFormat="1" applyFont="1" applyFill="1" applyBorder="0"/>
    <x:xf numFmtId="0" fontId="32" fillId="36" borderId="0" xfId="0" applyNumberFormat="1" applyFont="1" applyFill="1" applyBorder="1" applyAlignment="1">
      <x:alignment wrapText="1"/>
    </x:xf>
    <x:xf numFmtId="0" fontId="32" fillId="36" xfId="0" applyNumberFormat="1" applyFont="1" applyFill="1" applyBorder="0" applyAlignment="1">
      <x:alignment wrapText="1"/>
    </x:xf>
    <x:xf numFmtId="0" fontId="32" fillId="36" borderId="0" xfId="0" applyNumberFormat="1" applyFont="1" applyFill="1" applyBorder="1" applyAlignment="1">
      <x:alignment horizontal="center" wrapText="1"/>
    </x:xf>
    <x:xf numFmtId="0" fontId="32" fillId="36" xfId="0" applyNumberFormat="1" applyFont="1" applyFill="1" applyBorder="0" applyAlignment="1">
      <x:alignment horizontal="center" wrapText="1"/>
    </x:xf>
    <x:xf numFmtId="0" fontId="32" fillId="36" borderId="0" xfId="0" applyNumberFormat="1" applyFont="1" applyFill="1" applyBorder="1" applyAlignment="1">
      <x:alignment horizontal="center" vertical="center" wrapText="1"/>
    </x:xf>
    <x:xf numFmtId="0" fontId="32" fillId="36" xfId="0" applyNumberFormat="1" applyFont="1" applyFill="1" applyBorder="0" applyAlignment="1">
      <x:alignment horizontal="center" vertical="center" wrapText="1"/>
    </x:xf>
    <x:xf numFmtId="0" fontId="46" fillId="53" borderId="0" xfId="0" applyNumberFormat="1" applyFont="1" applyFill="1" applyBorder="1"/>
    <x:xf numFmtId="0" fontId="46" fillId="53" borderId="0" xfId="0" applyNumberFormat="1" applyFont="1" applyFill="1" applyBorder="1" applyAlignment="1">
      <x:alignment wrapText="1"/>
    </x:xf>
    <x:xf numFmtId="0" fontId="46" fillId="53" borderId="0" xfId="0" applyNumberFormat="1" applyFont="1" applyFill="1" applyBorder="1" applyAlignment="1">
      <x:alignment vertical="center" wrapText="1"/>
    </x:xf>
    <x:xf numFmtId="0" fontId="40" fillId="53" borderId="0" xfId="0" applyNumberFormat="1" applyFont="1" applyFill="1" applyBorder="1"/>
    <x:xf numFmtId="0" fontId="40" fillId="36" borderId="0" xfId="0" applyNumberFormat="1" applyFont="1" applyFill="1" applyBorder="1" applyAlignment="1">
      <x:alignment horizontal="center" vertical="center" wrapText="1"/>
    </x:xf>
    <x:xf numFmtId="0" fontId="40" fillId="36" xfId="0" applyNumberFormat="1" applyFont="1" applyFill="1" applyBorder="0" applyAlignment="1">
      <x:alignment horizontal="center" vertical="center" wrapText="1"/>
    </x:xf>
    <x:xf numFmtId="0" fontId="40" fillId="53" borderId="0" xfId="0" applyNumberFormat="1" applyFont="1" applyFill="1" applyBorder="1" applyAlignment="1">
      <x:alignment vertical="center" wrapText="1"/>
    </x:xf>
    <x:xf numFmtId="0" fontId="51" fillId="14" borderId="0" xfId="0" applyNumberFormat="1" applyFont="1" applyFill="1" applyBorder="1"/>
    <x:xf numFmtId="0" fontId="0" fillId="94" borderId="0" xfId="0" applyNumberFormat="1" applyFont="1" applyFill="1" applyBorder="1"/>
    <x:xf numFmtId="0" fontId="30" fillId="94" borderId="0" xfId="0" applyNumberFormat="1" applyFont="1" applyFill="1" applyBorder="1"/>
    <x:xf numFmtId="0" fontId="30" fillId="94" borderId="0" xfId="0" applyNumberFormat="1" applyFont="1" applyFill="1" applyBorder="1" applyAlignment="1">
      <x:alignment wrapText="1"/>
    </x:xf>
    <x:xf numFmtId="0" fontId="41" fillId="95" borderId="0" xfId="0" applyNumberFormat="1" applyFont="1" applyFill="1" applyBorder="1" applyAlignment="1">
      <x:alignment wrapText="1"/>
    </x:xf>
    <x:xf numFmtId="0" fontId="41" fillId="96" borderId="0" xfId="0" applyNumberFormat="1" applyFont="1" applyFill="1" applyBorder="1" applyAlignment="1">
      <x:alignment wrapText="1"/>
    </x:xf>
    <x:xf numFmtId="0" fontId="41" fillId="97" borderId="0" xfId="0" applyNumberFormat="1" applyFont="1" applyFill="1" applyBorder="1" applyAlignment="1">
      <x:alignment wrapText="1"/>
    </x:xf>
    <x:xf numFmtId="0" fontId="28" fillId="95" borderId="0" xfId="0" applyNumberFormat="1" applyFont="1" applyFill="1" applyBorder="1"/>
    <x:xf numFmtId="0" fontId="41" fillId="95" borderId="0" xfId="0" applyNumberFormat="1" applyFont="1" applyFill="1" applyBorder="1"/>
    <x:xf numFmtId="0" fontId="40" fillId="95" borderId="0" xfId="0" applyNumberFormat="1" applyFont="1" applyFill="1" applyBorder="1"/>
    <x:xf numFmtId="0" fontId="40" fillId="95" borderId="0" xfId="0" applyNumberFormat="1" applyFont="1" applyFill="1" applyBorder="1" applyAlignment="1">
      <x:alignment wrapText="1"/>
    </x:xf>
    <x:xf numFmtId="0" fontId="40" fillId="95" borderId="0" xfId="0" applyNumberFormat="1" applyFont="1" applyFill="1" applyBorder="1" applyAlignment="1">
      <x:alignment vertical="top" wrapText="1"/>
    </x:xf>
    <x:xf numFmtId="0" fontId="40" fillId="95" borderId="0" xfId="0" applyNumberFormat="1" applyFont="1" applyFill="1" applyBorder="1" applyAlignment="1">
      <x:alignment horizontal="center" vertical="center" wrapText="1"/>
    </x:xf>
    <x:xf numFmtId="0" fontId="40" fillId="95" xfId="0" applyNumberFormat="1" applyFont="1" applyFill="1" applyBorder="0" applyAlignment="1">
      <x:alignment horizontal="center" vertical="center" wrapText="1"/>
    </x:xf>
    <x:xf numFmtId="0" fontId="40" fillId="95" borderId="0" xfId="0" applyNumberFormat="1" applyFont="1" applyFill="1" applyBorder="1" applyAlignment="1">
      <x:alignment horizontal="center" vertical="center"/>
    </x:xf>
    <x:xf numFmtId="0" fontId="40" fillId="95" borderId="0" xfId="0" applyNumberFormat="1" applyFont="1" applyFill="1" applyBorder="1" applyAlignment="1">
      <x:alignment horizontal="center" vertical="top" wrapText="1"/>
    </x:xf>
    <x:xf numFmtId="0" fontId="40" fillId="95" xfId="0" applyNumberFormat="1" applyFont="1" applyFill="1" applyBorder="0" applyAlignment="1">
      <x:alignment horizontal="center" vertical="top" wrapText="1"/>
    </x:xf>
    <x:xf numFmtId="0" fontId="41" fillId="94" borderId="0" xfId="0" applyNumberFormat="1" applyFont="1" applyFill="1" applyBorder="1" applyAlignment="1">
      <x:alignment wrapText="1"/>
    </x:xf>
    <x:xf numFmtId="0" fontId="28" fillId="98" borderId="0" xfId="0" applyNumberFormat="1" applyFont="1" applyFill="1" applyBorder="1"/>
    <x:xf numFmtId="0" fontId="0" fillId="95" borderId="0" xfId="0" applyNumberFormat="1" applyFont="1" applyFill="1" applyBorder="1"/>
    <x:xf numFmtId="0" fontId="32" fillId="95" borderId="0" xfId="0" applyNumberFormat="1" applyFont="1" applyFill="1" applyBorder="1"/>
    <x:xf numFmtId="0" fontId="32" fillId="95" borderId="0" xfId="0" applyNumberFormat="1" applyFont="1" applyFill="1" applyBorder="1" applyAlignment="1">
      <x:alignment wrapText="1"/>
    </x:xf>
    <x:xf numFmtId="0" fontId="32" fillId="95" borderId="0" xfId="0" applyNumberFormat="1" applyFont="1" applyFill="1" applyBorder="1" applyAlignment="1">
      <x:alignment vertical="top" wrapText="1"/>
    </x:xf>
    <x:xf numFmtId="0" fontId="28" fillId="5" borderId="0" xfId="0" applyNumberFormat="1" applyFont="1" applyFill="1" applyBorder="1" applyAlignment="1">
      <x:alignment wrapText="1"/>
    </x:xf>
    <x:xf numFmtId="0" fontId="28" fillId="97" borderId="0" xfId="0" applyNumberFormat="1" applyFont="1" applyFill="1" applyBorder="1" applyAlignment="1">
      <x:alignment wrapText="1"/>
    </x:xf>
    <x:xf numFmtId="0" fontId="41" fillId="95" borderId="0" xfId="0" applyNumberFormat="1" applyFont="1" applyFill="1" applyBorder="1" applyAlignment="1">
      <x:alignment vertical="center" wrapText="1"/>
    </x:xf>
    <x:xf numFmtId="0" fontId="40" fillId="95" borderId="0" xfId="0" applyNumberFormat="1" applyFont="1" applyFill="1" applyBorder="1" applyAlignment="1">
      <x:alignment vertical="center" wrapText="1"/>
    </x:xf>
    <x:xf numFmtId="0" fontId="0" fillId="98" borderId="0" xfId="0" applyNumberFormat="1" applyFont="1" applyFill="1" applyBorder="1"/>
    <x:xf numFmtId="0" fontId="21" fillId="98" borderId="0" xfId="0" applyNumberFormat="1" applyFont="1" applyFill="1" applyBorder="1"/>
    <x:xf numFmtId="0" fontId="0" fillId="99" borderId="0" xfId="0" applyNumberFormat="1" applyFont="1" applyFill="1" applyBorder="1"/>
    <x:xf numFmtId="0" fontId="32" fillId="99" borderId="0" xfId="0" applyNumberFormat="1" applyFont="1" applyFill="1" applyBorder="1"/>
    <x:xf numFmtId="0" fontId="32" fillId="99" borderId="253" xfId="0" applyNumberFormat="1" applyFont="1" applyFill="1" applyBorder="1"/>
    <x:xf numFmtId="0" fontId="32" fillId="99" borderId="254" xfId="0" applyNumberFormat="1" applyFont="1" applyFill="1" applyBorder="1"/>
    <x:xf numFmtId="0" fontId="32" fillId="99" borderId="255" xfId="0" applyNumberFormat="1" applyFont="1" applyFill="1" applyBorder="1"/>
    <x:xf numFmtId="0" fontId="32" fillId="99" borderId="256" xfId="0" applyNumberFormat="1" applyFont="1" applyFill="1" applyBorder="1"/>
    <x:xf numFmtId="0" fontId="32" fillId="99" xfId="0" applyNumberFormat="1" applyFont="1" applyFill="1" applyBorder="0"/>
    <x:xf numFmtId="0" fontId="32" fillId="99" borderId="257" xfId="0" applyNumberFormat="1" applyFont="1" applyFill="1" applyBorder="1"/>
    <x:xf numFmtId="0" fontId="32" fillId="99" borderId="258" xfId="0" applyNumberFormat="1" applyFont="1" applyFill="1" applyBorder="1"/>
    <x:xf numFmtId="0" fontId="32" fillId="99" borderId="259" xfId="0" applyNumberFormat="1" applyFont="1" applyFill="1" applyBorder="1"/>
    <x:xf numFmtId="0" fontId="32" fillId="99" borderId="260" xfId="0" applyNumberFormat="1" applyFont="1" applyFill="1" applyBorder="1"/>
    <x:xf numFmtId="0" fontId="32" fillId="99" borderId="253" xfId="0" applyNumberFormat="1" applyFont="1" applyFill="1" applyBorder="1" applyAlignment="1">
      <x:alignment wrapText="1"/>
    </x:xf>
    <x:xf numFmtId="0" fontId="32" fillId="99" borderId="254" xfId="0" applyNumberFormat="1" applyFont="1" applyFill="1" applyBorder="1" applyAlignment="1">
      <x:alignment wrapText="1"/>
    </x:xf>
    <x:xf numFmtId="0" fontId="32" fillId="99" borderId="255" xfId="0" applyNumberFormat="1" applyFont="1" applyFill="1" applyBorder="1" applyAlignment="1">
      <x:alignment wrapText="1"/>
    </x:xf>
    <x:xf numFmtId="0" fontId="32" fillId="99" borderId="256" xfId="0" applyNumberFormat="1" applyFont="1" applyFill="1" applyBorder="1" applyAlignment="1">
      <x:alignment wrapText="1"/>
    </x:xf>
    <x:xf numFmtId="0" fontId="32" fillId="99" xfId="0" applyNumberFormat="1" applyFont="1" applyFill="1" applyBorder="0" applyAlignment="1">
      <x:alignment wrapText="1"/>
    </x:xf>
    <x:xf numFmtId="0" fontId="32" fillId="99" borderId="257" xfId="0" applyNumberFormat="1" applyFont="1" applyFill="1" applyBorder="1" applyAlignment="1">
      <x:alignment wrapText="1"/>
    </x:xf>
    <x:xf numFmtId="0" fontId="32" fillId="99" borderId="258" xfId="0" applyNumberFormat="1" applyFont="1" applyFill="1" applyBorder="1" applyAlignment="1">
      <x:alignment wrapText="1"/>
    </x:xf>
    <x:xf numFmtId="0" fontId="32" fillId="99" borderId="259" xfId="0" applyNumberFormat="1" applyFont="1" applyFill="1" applyBorder="1" applyAlignment="1">
      <x:alignment wrapText="1"/>
    </x:xf>
    <x:xf numFmtId="0" fontId="32" fillId="99" borderId="260" xfId="0" applyNumberFormat="1" applyFont="1" applyFill="1" applyBorder="1" applyAlignment="1">
      <x:alignment wrapText="1"/>
    </x:xf>
    <x:xf numFmtId="0" fontId="32" fillId="99" borderId="253" xfId="0" applyNumberFormat="1" applyFont="1" applyFill="1" applyBorder="1" applyAlignment="1">
      <x:alignment horizontal="center" wrapText="1"/>
    </x:xf>
    <x:xf numFmtId="0" fontId="32" fillId="99" borderId="254" xfId="0" applyNumberFormat="1" applyFont="1" applyFill="1" applyBorder="1" applyAlignment="1">
      <x:alignment horizontal="center" wrapText="1"/>
    </x:xf>
    <x:xf numFmtId="0" fontId="32" fillId="99" borderId="255" xfId="0" applyNumberFormat="1" applyFont="1" applyFill="1" applyBorder="1" applyAlignment="1">
      <x:alignment horizontal="center" wrapText="1"/>
    </x:xf>
    <x:xf numFmtId="0" fontId="32" fillId="99" borderId="256" xfId="0" applyNumberFormat="1" applyFont="1" applyFill="1" applyBorder="1" applyAlignment="1">
      <x:alignment horizontal="center" wrapText="1"/>
    </x:xf>
    <x:xf numFmtId="0" fontId="32" fillId="99" xfId="0" applyNumberFormat="1" applyFont="1" applyFill="1" applyBorder="0" applyAlignment="1">
      <x:alignment horizontal="center" wrapText="1"/>
    </x:xf>
    <x:xf numFmtId="0" fontId="32" fillId="99" borderId="257" xfId="0" applyNumberFormat="1" applyFont="1" applyFill="1" applyBorder="1" applyAlignment="1">
      <x:alignment horizontal="center" wrapText="1"/>
    </x:xf>
    <x:xf numFmtId="0" fontId="32" fillId="99" borderId="258" xfId="0" applyNumberFormat="1" applyFont="1" applyFill="1" applyBorder="1" applyAlignment="1">
      <x:alignment horizontal="center" wrapText="1"/>
    </x:xf>
    <x:xf numFmtId="0" fontId="32" fillId="99" borderId="259" xfId="0" applyNumberFormat="1" applyFont="1" applyFill="1" applyBorder="1" applyAlignment="1">
      <x:alignment horizontal="center" wrapText="1"/>
    </x:xf>
    <x:xf numFmtId="0" fontId="32" fillId="99" borderId="260" xfId="0" applyNumberFormat="1" applyFont="1" applyFill="1" applyBorder="1" applyAlignment="1">
      <x:alignment horizontal="center" wrapText="1"/>
    </x:xf>
    <x:xf numFmtId="0" fontId="32" fillId="99" borderId="253" xfId="0" applyNumberFormat="1" applyFont="1" applyFill="1" applyBorder="1" applyAlignment="1">
      <x:alignment horizontal="center" vertical="center" wrapText="1"/>
    </x:xf>
    <x:xf numFmtId="0" fontId="32" fillId="99" borderId="254" xfId="0" applyNumberFormat="1" applyFont="1" applyFill="1" applyBorder="1" applyAlignment="1">
      <x:alignment horizontal="center" vertical="center" wrapText="1"/>
    </x:xf>
    <x:xf numFmtId="0" fontId="32" fillId="99" borderId="255" xfId="0" applyNumberFormat="1" applyFont="1" applyFill="1" applyBorder="1" applyAlignment="1">
      <x:alignment horizontal="center" vertical="center" wrapText="1"/>
    </x:xf>
    <x:xf numFmtId="0" fontId="32" fillId="99" borderId="256" xfId="0" applyNumberFormat="1" applyFont="1" applyFill="1" applyBorder="1" applyAlignment="1">
      <x:alignment horizontal="center" vertical="center" wrapText="1"/>
    </x:xf>
    <x:xf numFmtId="0" fontId="32" fillId="99" xfId="0" applyNumberFormat="1" applyFont="1" applyFill="1" applyBorder="0" applyAlignment="1">
      <x:alignment horizontal="center" vertical="center" wrapText="1"/>
    </x:xf>
    <x:xf numFmtId="0" fontId="32" fillId="99" borderId="257" xfId="0" applyNumberFormat="1" applyFont="1" applyFill="1" applyBorder="1" applyAlignment="1">
      <x:alignment horizontal="center" vertical="center" wrapText="1"/>
    </x:xf>
    <x:xf numFmtId="0" fontId="32" fillId="99" borderId="258" xfId="0" applyNumberFormat="1" applyFont="1" applyFill="1" applyBorder="1" applyAlignment="1">
      <x:alignment horizontal="center" vertical="center" wrapText="1"/>
    </x:xf>
    <x:xf numFmtId="0" fontId="32" fillId="99" borderId="259" xfId="0" applyNumberFormat="1" applyFont="1" applyFill="1" applyBorder="1" applyAlignment="1">
      <x:alignment horizontal="center" vertical="center" wrapText="1"/>
    </x:xf>
    <x:xf numFmtId="0" fontId="32" fillId="99" borderId="260" xfId="0" applyNumberFormat="1" applyFont="1" applyFill="1" applyBorder="1" applyAlignment="1">
      <x:alignment horizontal="center" vertical="center" wrapText="1"/>
    </x:xf>
    <x:xf numFmtId="0" fontId="32" fillId="95" borderId="261" xfId="0" applyNumberFormat="1" applyFont="1" applyFill="1" applyBorder="1"/>
    <x:xf numFmtId="0" fontId="32" fillId="95" borderId="262" xfId="0" applyNumberFormat="1" applyFont="1" applyFill="1" applyBorder="1"/>
    <x:xf numFmtId="0" fontId="32" fillId="95" borderId="263" xfId="0" applyNumberFormat="1" applyFont="1" applyFill="1" applyBorder="1"/>
    <x:xf numFmtId="0" fontId="32" fillId="95" borderId="264" xfId="0" applyNumberFormat="1" applyFont="1" applyFill="1" applyBorder="1"/>
    <x:xf numFmtId="0" fontId="32" fillId="95" xfId="0" applyNumberFormat="1" applyFont="1" applyFill="1" applyBorder="0"/>
    <x:xf numFmtId="0" fontId="32" fillId="95" borderId="265" xfId="0" applyNumberFormat="1" applyFont="1" applyFill="1" applyBorder="1"/>
    <x:xf numFmtId="0" fontId="32" fillId="95" borderId="266" xfId="0" applyNumberFormat="1" applyFont="1" applyFill="1" applyBorder="1"/>
    <x:xf numFmtId="0" fontId="32" fillId="95" borderId="267" xfId="0" applyNumberFormat="1" applyFont="1" applyFill="1" applyBorder="1"/>
    <x:xf numFmtId="0" fontId="32" fillId="95" borderId="268" xfId="0" applyNumberFormat="1" applyFont="1" applyFill="1" applyBorder="1"/>
    <x:xf numFmtId="0" fontId="32" fillId="95" borderId="261" xfId="0" applyNumberFormat="1" applyFont="1" applyFill="1" applyBorder="1" applyAlignment="1">
      <x:alignment wrapText="1"/>
    </x:xf>
    <x:xf numFmtId="0" fontId="32" fillId="95" borderId="262" xfId="0" applyNumberFormat="1" applyFont="1" applyFill="1" applyBorder="1" applyAlignment="1">
      <x:alignment wrapText="1"/>
    </x:xf>
    <x:xf numFmtId="0" fontId="32" fillId="95" borderId="263" xfId="0" applyNumberFormat="1" applyFont="1" applyFill="1" applyBorder="1" applyAlignment="1">
      <x:alignment wrapText="1"/>
    </x:xf>
    <x:xf numFmtId="0" fontId="32" fillId="95" borderId="264" xfId="0" applyNumberFormat="1" applyFont="1" applyFill="1" applyBorder="1" applyAlignment="1">
      <x:alignment wrapText="1"/>
    </x:xf>
    <x:xf numFmtId="0" fontId="32" fillId="95" xfId="0" applyNumberFormat="1" applyFont="1" applyFill="1" applyBorder="0" applyAlignment="1">
      <x:alignment wrapText="1"/>
    </x:xf>
    <x:xf numFmtId="0" fontId="32" fillId="95" borderId="265" xfId="0" applyNumberFormat="1" applyFont="1" applyFill="1" applyBorder="1" applyAlignment="1">
      <x:alignment wrapText="1"/>
    </x:xf>
    <x:xf numFmtId="0" fontId="32" fillId="95" borderId="266" xfId="0" applyNumberFormat="1" applyFont="1" applyFill="1" applyBorder="1" applyAlignment="1">
      <x:alignment wrapText="1"/>
    </x:xf>
    <x:xf numFmtId="0" fontId="32" fillId="95" borderId="267" xfId="0" applyNumberFormat="1" applyFont="1" applyFill="1" applyBorder="1" applyAlignment="1">
      <x:alignment wrapText="1"/>
    </x:xf>
    <x:xf numFmtId="0" fontId="32" fillId="95" borderId="268" xfId="0" applyNumberFormat="1" applyFont="1" applyFill="1" applyBorder="1" applyAlignment="1">
      <x:alignment wrapText="1"/>
    </x:xf>
    <x:xf numFmtId="0" fontId="32" fillId="95" borderId="261" xfId="0" applyNumberFormat="1" applyFont="1" applyFill="1" applyBorder="1" applyAlignment="1">
      <x:alignment horizontal="center" wrapText="1"/>
    </x:xf>
    <x:xf numFmtId="0" fontId="32" fillId="95" borderId="262" xfId="0" applyNumberFormat="1" applyFont="1" applyFill="1" applyBorder="1" applyAlignment="1">
      <x:alignment horizontal="center" wrapText="1"/>
    </x:xf>
    <x:xf numFmtId="0" fontId="32" fillId="95" borderId="263" xfId="0" applyNumberFormat="1" applyFont="1" applyFill="1" applyBorder="1" applyAlignment="1">
      <x:alignment horizontal="center" wrapText="1"/>
    </x:xf>
    <x:xf numFmtId="0" fontId="32" fillId="95" borderId="264" xfId="0" applyNumberFormat="1" applyFont="1" applyFill="1" applyBorder="1" applyAlignment="1">
      <x:alignment horizontal="center" wrapText="1"/>
    </x:xf>
    <x:xf numFmtId="0" fontId="32" fillId="95" xfId="0" applyNumberFormat="1" applyFont="1" applyFill="1" applyBorder="0" applyAlignment="1">
      <x:alignment horizontal="center" wrapText="1"/>
    </x:xf>
    <x:xf numFmtId="0" fontId="32" fillId="95" borderId="265" xfId="0" applyNumberFormat="1" applyFont="1" applyFill="1" applyBorder="1" applyAlignment="1">
      <x:alignment horizontal="center" wrapText="1"/>
    </x:xf>
    <x:xf numFmtId="0" fontId="32" fillId="95" borderId="266" xfId="0" applyNumberFormat="1" applyFont="1" applyFill="1" applyBorder="1" applyAlignment="1">
      <x:alignment horizontal="center" wrapText="1"/>
    </x:xf>
    <x:xf numFmtId="0" fontId="32" fillId="95" borderId="267" xfId="0" applyNumberFormat="1" applyFont="1" applyFill="1" applyBorder="1" applyAlignment="1">
      <x:alignment horizontal="center" wrapText="1"/>
    </x:xf>
    <x:xf numFmtId="0" fontId="32" fillId="95" borderId="268" xfId="0" applyNumberFormat="1" applyFont="1" applyFill="1" applyBorder="1" applyAlignment="1">
      <x:alignment horizontal="center" wrapText="1"/>
    </x:xf>
    <x:xf numFmtId="0" fontId="32" fillId="95" borderId="261" xfId="0" applyNumberFormat="1" applyFont="1" applyFill="1" applyBorder="1" applyAlignment="1">
      <x:alignment horizontal="center" vertical="center" wrapText="1"/>
    </x:xf>
    <x:xf numFmtId="0" fontId="32" fillId="95" borderId="262" xfId="0" applyNumberFormat="1" applyFont="1" applyFill="1" applyBorder="1" applyAlignment="1">
      <x:alignment horizontal="center" vertical="center" wrapText="1"/>
    </x:xf>
    <x:xf numFmtId="0" fontId="32" fillId="95" borderId="263" xfId="0" applyNumberFormat="1" applyFont="1" applyFill="1" applyBorder="1" applyAlignment="1">
      <x:alignment horizontal="center" vertical="center" wrapText="1"/>
    </x:xf>
    <x:xf numFmtId="0" fontId="32" fillId="95" borderId="264" xfId="0" applyNumberFormat="1" applyFont="1" applyFill="1" applyBorder="1" applyAlignment="1">
      <x:alignment horizontal="center" vertical="center" wrapText="1"/>
    </x:xf>
    <x:xf numFmtId="0" fontId="32" fillId="95" xfId="0" applyNumberFormat="1" applyFont="1" applyFill="1" applyBorder="0" applyAlignment="1">
      <x:alignment horizontal="center" vertical="center" wrapText="1"/>
    </x:xf>
    <x:xf numFmtId="0" fontId="32" fillId="95" borderId="265" xfId="0" applyNumberFormat="1" applyFont="1" applyFill="1" applyBorder="1" applyAlignment="1">
      <x:alignment horizontal="center" vertical="center" wrapText="1"/>
    </x:xf>
    <x:xf numFmtId="0" fontId="32" fillId="95" borderId="266" xfId="0" applyNumberFormat="1" applyFont="1" applyFill="1" applyBorder="1" applyAlignment="1">
      <x:alignment horizontal="center" vertical="center" wrapText="1"/>
    </x:xf>
    <x:xf numFmtId="0" fontId="32" fillId="95" borderId="267" xfId="0" applyNumberFormat="1" applyFont="1" applyFill="1" applyBorder="1" applyAlignment="1">
      <x:alignment horizontal="center" vertical="center" wrapText="1"/>
    </x:xf>
    <x:xf numFmtId="0" fontId="32" fillId="95" borderId="268" xfId="0" applyNumberFormat="1" applyFont="1" applyFill="1" applyBorder="1" applyAlignment="1">
      <x:alignment horizontal="center" vertical="center" wrapText="1"/>
    </x:xf>
    <x:xf numFmtId="0" fontId="0" fillId="96" borderId="0" xfId="0" applyNumberFormat="1" applyFont="1" applyFill="1" applyBorder="1"/>
    <x:xf numFmtId="0" fontId="32" fillId="96" borderId="0" xfId="0" applyNumberFormat="1" applyFont="1" applyFill="1" applyBorder="1"/>
    <x:xf numFmtId="0" fontId="32" fillId="96" borderId="261" xfId="0" applyNumberFormat="1" applyFont="1" applyFill="1" applyBorder="1"/>
    <x:xf numFmtId="0" fontId="32" fillId="96" borderId="262" xfId="0" applyNumberFormat="1" applyFont="1" applyFill="1" applyBorder="1"/>
    <x:xf numFmtId="0" fontId="32" fillId="96" borderId="263" xfId="0" applyNumberFormat="1" applyFont="1" applyFill="1" applyBorder="1"/>
    <x:xf numFmtId="0" fontId="32" fillId="96" borderId="264" xfId="0" applyNumberFormat="1" applyFont="1" applyFill="1" applyBorder="1"/>
    <x:xf numFmtId="0" fontId="32" fillId="96" xfId="0" applyNumberFormat="1" applyFont="1" applyFill="1" applyBorder="0"/>
    <x:xf numFmtId="0" fontId="32" fillId="96" borderId="265" xfId="0" applyNumberFormat="1" applyFont="1" applyFill="1" applyBorder="1"/>
    <x:xf numFmtId="0" fontId="32" fillId="96" borderId="266" xfId="0" applyNumberFormat="1" applyFont="1" applyFill="1" applyBorder="1"/>
    <x:xf numFmtId="0" fontId="32" fillId="96" borderId="267" xfId="0" applyNumberFormat="1" applyFont="1" applyFill="1" applyBorder="1"/>
    <x:xf numFmtId="0" fontId="32" fillId="96" borderId="268" xfId="0" applyNumberFormat="1" applyFont="1" applyFill="1" applyBorder="1"/>
    <x:xf numFmtId="0" fontId="32" fillId="96" borderId="261" xfId="0" applyNumberFormat="1" applyFont="1" applyFill="1" applyBorder="1" applyAlignment="1">
      <x:alignment wrapText="1"/>
    </x:xf>
    <x:xf numFmtId="0" fontId="32" fillId="96" borderId="262" xfId="0" applyNumberFormat="1" applyFont="1" applyFill="1" applyBorder="1" applyAlignment="1">
      <x:alignment wrapText="1"/>
    </x:xf>
    <x:xf numFmtId="0" fontId="32" fillId="96" borderId="263" xfId="0" applyNumberFormat="1" applyFont="1" applyFill="1" applyBorder="1" applyAlignment="1">
      <x:alignment wrapText="1"/>
    </x:xf>
    <x:xf numFmtId="0" fontId="32" fillId="96" borderId="264" xfId="0" applyNumberFormat="1" applyFont="1" applyFill="1" applyBorder="1" applyAlignment="1">
      <x:alignment wrapText="1"/>
    </x:xf>
    <x:xf numFmtId="0" fontId="32" fillId="96" xfId="0" applyNumberFormat="1" applyFont="1" applyFill="1" applyBorder="0" applyAlignment="1">
      <x:alignment wrapText="1"/>
    </x:xf>
    <x:xf numFmtId="0" fontId="32" fillId="96" borderId="265" xfId="0" applyNumberFormat="1" applyFont="1" applyFill="1" applyBorder="1" applyAlignment="1">
      <x:alignment wrapText="1"/>
    </x:xf>
    <x:xf numFmtId="0" fontId="32" fillId="96" borderId="266" xfId="0" applyNumberFormat="1" applyFont="1" applyFill="1" applyBorder="1" applyAlignment="1">
      <x:alignment wrapText="1"/>
    </x:xf>
    <x:xf numFmtId="0" fontId="32" fillId="96" borderId="267" xfId="0" applyNumberFormat="1" applyFont="1" applyFill="1" applyBorder="1" applyAlignment="1">
      <x:alignment wrapText="1"/>
    </x:xf>
    <x:xf numFmtId="0" fontId="32" fillId="96" borderId="268" xfId="0" applyNumberFormat="1" applyFont="1" applyFill="1" applyBorder="1" applyAlignment="1">
      <x:alignment wrapText="1"/>
    </x:xf>
    <x:xf numFmtId="0" fontId="32" fillId="96" borderId="261" xfId="0" applyNumberFormat="1" applyFont="1" applyFill="1" applyBorder="1" applyAlignment="1">
      <x:alignment horizontal="center" wrapText="1"/>
    </x:xf>
    <x:xf numFmtId="0" fontId="32" fillId="96" borderId="262" xfId="0" applyNumberFormat="1" applyFont="1" applyFill="1" applyBorder="1" applyAlignment="1">
      <x:alignment horizontal="center" wrapText="1"/>
    </x:xf>
    <x:xf numFmtId="0" fontId="32" fillId="96" borderId="263" xfId="0" applyNumberFormat="1" applyFont="1" applyFill="1" applyBorder="1" applyAlignment="1">
      <x:alignment horizontal="center" wrapText="1"/>
    </x:xf>
    <x:xf numFmtId="0" fontId="32" fillId="96" borderId="264" xfId="0" applyNumberFormat="1" applyFont="1" applyFill="1" applyBorder="1" applyAlignment="1">
      <x:alignment horizontal="center" wrapText="1"/>
    </x:xf>
    <x:xf numFmtId="0" fontId="32" fillId="96" xfId="0" applyNumberFormat="1" applyFont="1" applyFill="1" applyBorder="0" applyAlignment="1">
      <x:alignment horizontal="center" wrapText="1"/>
    </x:xf>
    <x:xf numFmtId="0" fontId="32" fillId="96" borderId="265" xfId="0" applyNumberFormat="1" applyFont="1" applyFill="1" applyBorder="1" applyAlignment="1">
      <x:alignment horizontal="center" wrapText="1"/>
    </x:xf>
    <x:xf numFmtId="0" fontId="32" fillId="96" borderId="266" xfId="0" applyNumberFormat="1" applyFont="1" applyFill="1" applyBorder="1" applyAlignment="1">
      <x:alignment horizontal="center" wrapText="1"/>
    </x:xf>
    <x:xf numFmtId="0" fontId="32" fillId="96" borderId="267" xfId="0" applyNumberFormat="1" applyFont="1" applyFill="1" applyBorder="1" applyAlignment="1">
      <x:alignment horizontal="center" wrapText="1"/>
    </x:xf>
    <x:xf numFmtId="0" fontId="32" fillId="96" borderId="268" xfId="0" applyNumberFormat="1" applyFont="1" applyFill="1" applyBorder="1" applyAlignment="1">
      <x:alignment horizontal="center" wrapText="1"/>
    </x:xf>
    <x:xf numFmtId="0" fontId="32" fillId="96" borderId="261" xfId="0" applyNumberFormat="1" applyFont="1" applyFill="1" applyBorder="1" applyAlignment="1">
      <x:alignment horizontal="center" vertical="center" wrapText="1"/>
    </x:xf>
    <x:xf numFmtId="0" fontId="32" fillId="96" borderId="262" xfId="0" applyNumberFormat="1" applyFont="1" applyFill="1" applyBorder="1" applyAlignment="1">
      <x:alignment horizontal="center" vertical="center" wrapText="1"/>
    </x:xf>
    <x:xf numFmtId="0" fontId="32" fillId="96" borderId="263" xfId="0" applyNumberFormat="1" applyFont="1" applyFill="1" applyBorder="1" applyAlignment="1">
      <x:alignment horizontal="center" vertical="center" wrapText="1"/>
    </x:xf>
    <x:xf numFmtId="0" fontId="32" fillId="96" borderId="264" xfId="0" applyNumberFormat="1" applyFont="1" applyFill="1" applyBorder="1" applyAlignment="1">
      <x:alignment horizontal="center" vertical="center" wrapText="1"/>
    </x:xf>
    <x:xf numFmtId="0" fontId="32" fillId="96" xfId="0" applyNumberFormat="1" applyFont="1" applyFill="1" applyBorder="0" applyAlignment="1">
      <x:alignment horizontal="center" vertical="center" wrapText="1"/>
    </x:xf>
    <x:xf numFmtId="0" fontId="32" fillId="96" borderId="265" xfId="0" applyNumberFormat="1" applyFont="1" applyFill="1" applyBorder="1" applyAlignment="1">
      <x:alignment horizontal="center" vertical="center" wrapText="1"/>
    </x:xf>
    <x:xf numFmtId="0" fontId="32" fillId="96" borderId="266" xfId="0" applyNumberFormat="1" applyFont="1" applyFill="1" applyBorder="1" applyAlignment="1">
      <x:alignment horizontal="center" vertical="center" wrapText="1"/>
    </x:xf>
    <x:xf numFmtId="0" fontId="32" fillId="96" borderId="267" xfId="0" applyNumberFormat="1" applyFont="1" applyFill="1" applyBorder="1" applyAlignment="1">
      <x:alignment horizontal="center" vertical="center" wrapText="1"/>
    </x:xf>
    <x:xf numFmtId="0" fontId="32" fillId="96" borderId="268" xfId="0" applyNumberFormat="1" applyFont="1" applyFill="1" applyBorder="1" applyAlignment="1">
      <x:alignment horizontal="center" vertical="center" wrapText="1"/>
    </x:xf>
    <x:xf numFmtId="0" fontId="35" fillId="94" borderId="0" xfId="0" applyNumberFormat="1" applyFont="1" applyFill="1" applyBorder="1"/>
    <x:xf numFmtId="0" fontId="35" fillId="94" borderId="0" xfId="0" applyNumberFormat="1" applyFont="1" applyFill="1" applyBorder="1" applyAlignment="1">
      <x:alignment wrapText="1"/>
    </x:xf>
    <x:xf numFmtId="0" fontId="35" fillId="94" borderId="0" xfId="0" applyNumberFormat="1" applyFont="1" applyFill="1" applyBorder="1" applyAlignment="1">
      <x:alignment vertical="center" wrapText="1"/>
    </x:xf>
    <x:xf numFmtId="0" fontId="31" fillId="99" borderId="0" xfId="0" applyNumberFormat="1" applyFont="1" applyFill="1" applyBorder="1"/>
    <x:xf numFmtId="0" fontId="31" fillId="99" borderId="259" xfId="0" applyNumberFormat="1" applyFont="1" applyFill="1" applyBorder="1"/>
    <x:xf numFmtId="0" fontId="20" fillId="94" borderId="0" xfId="0" applyNumberFormat="1" applyFont="1" applyFill="1" applyBorder="1"/>
    <x:xf numFmtId="0" fontId="20" fillId="94" borderId="0" xfId="0" applyNumberFormat="1" applyFont="1" applyFill="1" applyBorder="1" applyAlignment="1">
      <x:alignment wrapText="1"/>
    </x:xf>
    <x:xf numFmtId="0" fontId="37" fillId="98" borderId="0" xfId="0" applyNumberFormat="1" applyFont="1" applyFill="1" applyBorder="1"/>
    <x:xf numFmtId="0" fontId="37" fillId="98" borderId="0" xfId="0" applyNumberFormat="1" applyFont="1" applyFill="1" applyBorder="1" applyAlignment="1">
      <x:alignment wrapText="1"/>
    </x:xf>
    <x:xf numFmtId="0" fontId="0" fillId="96" borderId="0" xfId="0" applyNumberFormat="1" applyFont="1" applyFill="1" applyBorder="1" applyAlignment="1">
      <x:alignment wrapText="1"/>
    </x:xf>
    <x:xf numFmtId="0" fontId="0" fillId="100" borderId="0" xfId="0" applyNumberFormat="1" applyFont="1" applyFill="1" applyBorder="1" applyAlignment="1">
      <x:alignment wrapText="1"/>
    </x:xf>
    <x:xf numFmtId="0" fontId="0" fillId="97" borderId="0" xfId="0" applyNumberFormat="1" applyFont="1" applyFill="1" applyBorder="1" applyAlignment="1">
      <x:alignment wrapText="1"/>
    </x:xf>
    <x:xf numFmtId="0" fontId="46" fillId="95" borderId="0" xfId="0" applyNumberFormat="1" applyFont="1" applyFill="1" applyBorder="1"/>
    <x:xf numFmtId="0" fontId="46" fillId="95" borderId="0" xfId="0" applyNumberFormat="1" applyFont="1" applyFill="1" applyBorder="1" applyAlignment="1">
      <x:alignment wrapText="1"/>
    </x:xf>
    <x:xf numFmtId="0" fontId="46" fillId="95" borderId="0" xfId="0" applyNumberFormat="1" applyFont="1" applyFill="1" applyBorder="1" applyAlignment="1">
      <x:alignment vertical="center" wrapText="1"/>
    </x:xf>
    <x:xf numFmtId="0" fontId="40" fillId="99" borderId="259" xfId="0" applyNumberFormat="1" applyFont="1" applyFill="1" applyBorder="1"/>
    <x:xf numFmtId="0" fontId="40" fillId="98" borderId="0" xfId="0" applyNumberFormat="1" applyFont="1" applyFill="1" applyBorder="1" applyAlignment="1">
      <x:alignment wrapText="1"/>
    </x:xf>
    <x:xf numFmtId="0" fontId="41" fillId="100" borderId="0" xfId="0" applyNumberFormat="1" applyFont="1" applyFill="1" applyBorder="1" applyAlignment="1">
      <x:alignment wrapText="1"/>
    </x:xf>
    <x:xf numFmtId="0" fontId="40" fillId="98" borderId="0" xfId="0" applyNumberFormat="1" applyFont="1" applyFill="1" applyBorder="1"/>
    <x:xf numFmtId="0" fontId="49" fillId="99" borderId="0" xfId="0" applyNumberFormat="1" applyFont="1" applyFill="1" applyBorder="1"/>
    <x:xf numFmtId="0" fontId="49" fillId="99" borderId="259" xfId="0" applyNumberFormat="1" applyFont="1" applyFill="1" applyBorder="1"/>
    <x:xf numFmtId="0" fontId="50" fillId="94" borderId="0" xfId="0" applyNumberFormat="1" applyFont="1" applyFill="1" applyBorder="1"/>
    <x:xf numFmtId="0" fontId="50" fillId="94" borderId="0" xfId="0" applyNumberFormat="1" applyFont="1" applyFill="1" applyBorder="1" applyAlignment="1">
      <x:alignment wrapText="1"/>
    </x:xf>
    <x:xf numFmtId="0" fontId="0" fillId="97" borderId="0" xfId="0" applyNumberFormat="1" applyFont="1" applyFill="1" applyBorder="1"/>
    <x:xf numFmtId="0" fontId="32" fillId="97" borderId="0" xfId="0" applyNumberFormat="1" applyFont="1" applyFill="1" applyBorder="1"/>
    <x:xf numFmtId="0" fontId="32" fillId="97" borderId="261" xfId="0" applyNumberFormat="1" applyFont="1" applyFill="1" applyBorder="1"/>
    <x:xf numFmtId="0" fontId="32" fillId="97" borderId="262" xfId="0" applyNumberFormat="1" applyFont="1" applyFill="1" applyBorder="1"/>
    <x:xf numFmtId="0" fontId="32" fillId="97" borderId="263" xfId="0" applyNumberFormat="1" applyFont="1" applyFill="1" applyBorder="1"/>
    <x:xf numFmtId="0" fontId="32" fillId="97" borderId="264" xfId="0" applyNumberFormat="1" applyFont="1" applyFill="1" applyBorder="1"/>
    <x:xf numFmtId="0" fontId="32" fillId="97" xfId="0" applyNumberFormat="1" applyFont="1" applyFill="1" applyBorder="0"/>
    <x:xf numFmtId="0" fontId="32" fillId="97" borderId="265" xfId="0" applyNumberFormat="1" applyFont="1" applyFill="1" applyBorder="1"/>
    <x:xf numFmtId="0" fontId="32" fillId="97" borderId="266" xfId="0" applyNumberFormat="1" applyFont="1" applyFill="1" applyBorder="1"/>
    <x:xf numFmtId="0" fontId="32" fillId="97" borderId="267" xfId="0" applyNumberFormat="1" applyFont="1" applyFill="1" applyBorder="1"/>
    <x:xf numFmtId="0" fontId="32" fillId="97" borderId="268" xfId="0" applyNumberFormat="1" applyFont="1" applyFill="1" applyBorder="1"/>
    <x:xf numFmtId="0" fontId="32" fillId="97" borderId="261" xfId="0" applyNumberFormat="1" applyFont="1" applyFill="1" applyBorder="1" applyAlignment="1">
      <x:alignment wrapText="1"/>
    </x:xf>
    <x:xf numFmtId="0" fontId="32" fillId="97" borderId="262" xfId="0" applyNumberFormat="1" applyFont="1" applyFill="1" applyBorder="1" applyAlignment="1">
      <x:alignment wrapText="1"/>
    </x:xf>
    <x:xf numFmtId="0" fontId="32" fillId="97" borderId="263" xfId="0" applyNumberFormat="1" applyFont="1" applyFill="1" applyBorder="1" applyAlignment="1">
      <x:alignment wrapText="1"/>
    </x:xf>
    <x:xf numFmtId="0" fontId="32" fillId="97" borderId="264" xfId="0" applyNumberFormat="1" applyFont="1" applyFill="1" applyBorder="1" applyAlignment="1">
      <x:alignment wrapText="1"/>
    </x:xf>
    <x:xf numFmtId="0" fontId="32" fillId="97" xfId="0" applyNumberFormat="1" applyFont="1" applyFill="1" applyBorder="0" applyAlignment="1">
      <x:alignment wrapText="1"/>
    </x:xf>
    <x:xf numFmtId="0" fontId="32" fillId="97" borderId="265" xfId="0" applyNumberFormat="1" applyFont="1" applyFill="1" applyBorder="1" applyAlignment="1">
      <x:alignment wrapText="1"/>
    </x:xf>
    <x:xf numFmtId="0" fontId="32" fillId="97" borderId="266" xfId="0" applyNumberFormat="1" applyFont="1" applyFill="1" applyBorder="1" applyAlignment="1">
      <x:alignment wrapText="1"/>
    </x:xf>
    <x:xf numFmtId="0" fontId="32" fillId="97" borderId="267" xfId="0" applyNumberFormat="1" applyFont="1" applyFill="1" applyBorder="1" applyAlignment="1">
      <x:alignment wrapText="1"/>
    </x:xf>
    <x:xf numFmtId="0" fontId="32" fillId="97" borderId="268" xfId="0" applyNumberFormat="1" applyFont="1" applyFill="1" applyBorder="1" applyAlignment="1">
      <x:alignment wrapText="1"/>
    </x:xf>
    <x:xf numFmtId="0" fontId="32" fillId="97" borderId="261" xfId="0" applyNumberFormat="1" applyFont="1" applyFill="1" applyBorder="1" applyAlignment="1">
      <x:alignment horizontal="center" wrapText="1"/>
    </x:xf>
    <x:xf numFmtId="0" fontId="32" fillId="97" borderId="262" xfId="0" applyNumberFormat="1" applyFont="1" applyFill="1" applyBorder="1" applyAlignment="1">
      <x:alignment horizontal="center" wrapText="1"/>
    </x:xf>
    <x:xf numFmtId="0" fontId="32" fillId="97" borderId="263" xfId="0" applyNumberFormat="1" applyFont="1" applyFill="1" applyBorder="1" applyAlignment="1">
      <x:alignment horizontal="center" wrapText="1"/>
    </x:xf>
    <x:xf numFmtId="0" fontId="32" fillId="97" borderId="264" xfId="0" applyNumberFormat="1" applyFont="1" applyFill="1" applyBorder="1" applyAlignment="1">
      <x:alignment horizontal="center" wrapText="1"/>
    </x:xf>
    <x:xf numFmtId="0" fontId="32" fillId="97" xfId="0" applyNumberFormat="1" applyFont="1" applyFill="1" applyBorder="0" applyAlignment="1">
      <x:alignment horizontal="center" wrapText="1"/>
    </x:xf>
    <x:xf numFmtId="0" fontId="32" fillId="97" borderId="265" xfId="0" applyNumberFormat="1" applyFont="1" applyFill="1" applyBorder="1" applyAlignment="1">
      <x:alignment horizontal="center" wrapText="1"/>
    </x:xf>
    <x:xf numFmtId="0" fontId="32" fillId="97" borderId="266" xfId="0" applyNumberFormat="1" applyFont="1" applyFill="1" applyBorder="1" applyAlignment="1">
      <x:alignment horizontal="center" wrapText="1"/>
    </x:xf>
    <x:xf numFmtId="0" fontId="32" fillId="97" borderId="267" xfId="0" applyNumberFormat="1" applyFont="1" applyFill="1" applyBorder="1" applyAlignment="1">
      <x:alignment horizontal="center" wrapText="1"/>
    </x:xf>
    <x:xf numFmtId="0" fontId="32" fillId="97" borderId="268" xfId="0" applyNumberFormat="1" applyFont="1" applyFill="1" applyBorder="1" applyAlignment="1">
      <x:alignment horizontal="center" wrapText="1"/>
    </x:xf>
    <x:xf numFmtId="0" fontId="32" fillId="97" borderId="261" xfId="0" applyNumberFormat="1" applyFont="1" applyFill="1" applyBorder="1" applyAlignment="1">
      <x:alignment horizontal="center" vertical="center" wrapText="1"/>
    </x:xf>
    <x:xf numFmtId="0" fontId="32" fillId="97" borderId="262" xfId="0" applyNumberFormat="1" applyFont="1" applyFill="1" applyBorder="1" applyAlignment="1">
      <x:alignment horizontal="center" vertical="center" wrapText="1"/>
    </x:xf>
    <x:xf numFmtId="0" fontId="32" fillId="97" borderId="263" xfId="0" applyNumberFormat="1" applyFont="1" applyFill="1" applyBorder="1" applyAlignment="1">
      <x:alignment horizontal="center" vertical="center" wrapText="1"/>
    </x:xf>
    <x:xf numFmtId="0" fontId="32" fillId="97" borderId="264" xfId="0" applyNumberFormat="1" applyFont="1" applyFill="1" applyBorder="1" applyAlignment="1">
      <x:alignment horizontal="center" vertical="center" wrapText="1"/>
    </x:xf>
    <x:xf numFmtId="0" fontId="32" fillId="97" xfId="0" applyNumberFormat="1" applyFont="1" applyFill="1" applyBorder="0" applyAlignment="1">
      <x:alignment horizontal="center" vertical="center" wrapText="1"/>
    </x:xf>
    <x:xf numFmtId="0" fontId="32" fillId="97" borderId="265" xfId="0" applyNumberFormat="1" applyFont="1" applyFill="1" applyBorder="1" applyAlignment="1">
      <x:alignment horizontal="center" vertical="center" wrapText="1"/>
    </x:xf>
    <x:xf numFmtId="0" fontId="32" fillId="97" borderId="266" xfId="0" applyNumberFormat="1" applyFont="1" applyFill="1" applyBorder="1" applyAlignment="1">
      <x:alignment horizontal="center" vertical="center" wrapText="1"/>
    </x:xf>
    <x:xf numFmtId="0" fontId="32" fillId="97" borderId="267" xfId="0" applyNumberFormat="1" applyFont="1" applyFill="1" applyBorder="1" applyAlignment="1">
      <x:alignment horizontal="center" vertical="center" wrapText="1"/>
    </x:xf>
    <x:xf numFmtId="0" fontId="32" fillId="97" borderId="268" xfId="0" applyNumberFormat="1" applyFont="1" applyFill="1" applyBorder="1" applyAlignment="1">
      <x:alignment horizontal="center" vertical="center" wrapText="1"/>
    </x:xf>
    <x:xf numFmtId="0" fontId="38" fillId="97" borderId="0" xfId="0" applyNumberFormat="1" applyFont="1" applyFill="1" applyBorder="1"/>
    <x:xf numFmtId="0" fontId="33" fillId="97" borderId="0" xfId="0" applyNumberFormat="1" applyFont="1" applyFill="1" applyBorder="1"/>
    <x:xf numFmtId="0" fontId="33" fillId="97" borderId="269" xfId="0" applyNumberFormat="1" applyFont="1" applyFill="1" applyBorder="1"/>
    <x:xf numFmtId="0" fontId="43" fillId="95" borderId="0" xfId="0" applyNumberFormat="1" applyFont="1" applyFill="1" applyBorder="1"/>
    <x:xf numFmtId="0" fontId="43" fillId="95" borderId="0" xfId="0" applyNumberFormat="1" applyFont="1" applyFill="1" applyBorder="1" applyAlignment="1">
      <x:alignment wrapText="1"/>
    </x:xf>
    <x:xf numFmtId="0" fontId="43" fillId="95" borderId="0" xfId="0" applyNumberFormat="1" applyFont="1" applyFill="1" applyBorder="1" applyAlignment="1">
      <x:alignment horizontal="center" wrapText="1"/>
    </x:xf>
    <x:xf numFmtId="0" fontId="43" fillId="95" borderId="0" xfId="0" applyNumberFormat="1" applyFont="1" applyFill="1" applyBorder="1" applyAlignment="1">
      <x:alignment horizontal="center" vertical="center" wrapText="1"/>
    </x:xf>
    <x:xf numFmtId="0" fontId="33" fillId="94" borderId="0" xfId="0" applyNumberFormat="1" applyFont="1" applyFill="1" applyBorder="1"/>
    <x:xf numFmtId="0" fontId="39" fillId="97" borderId="0" xfId="0" applyNumberFormat="1" applyFont="1" applyFill="1" applyBorder="1"/>
    <x:xf numFmtId="0" fontId="39" fillId="97" borderId="0" xfId="0" applyNumberFormat="1" applyFont="1" applyFill="1" applyBorder="1" applyAlignment="1">
      <x:alignment wrapText="1"/>
    </x:xf>
    <x:xf numFmtId="0" fontId="39" fillId="97" borderId="0" xfId="0" applyNumberFormat="1" applyFont="1" applyFill="1" applyBorder="1" applyAlignment="1">
      <x:alignment horizontal="center" wrapText="1"/>
    </x:xf>
    <x:xf numFmtId="0" fontId="39" fillId="96" borderId="0" xfId="0" applyNumberFormat="1" applyFont="1" applyFill="1" applyBorder="1"/>
    <x:xf numFmtId="0" fontId="39" fillId="96" borderId="0" xfId="0" applyNumberFormat="1" applyFont="1" applyFill="1" applyBorder="1" applyAlignment="1">
      <x:alignment wrapText="1"/>
    </x:xf>
    <x:xf numFmtId="0" fontId="39" fillId="96" borderId="0" xfId="0" applyNumberFormat="1" applyFont="1" applyFill="1" applyBorder="1" applyAlignment="1">
      <x:alignment vertical="center" wrapText="1"/>
    </x:xf>
    <x:xf numFmtId="0" fontId="39" fillId="95" borderId="0" xfId="0" applyNumberFormat="1" applyFont="1" applyFill="1" applyBorder="1"/>
    <x:xf numFmtId="0" fontId="39" fillId="95" borderId="0" xfId="0" applyNumberFormat="1" applyFont="1" applyFill="1" applyBorder="1" applyAlignment="1">
      <x:alignment wrapText="1"/>
    </x:xf>
    <x:xf numFmtId="0" fontId="39" fillId="95" borderId="0" xfId="0" applyNumberFormat="1" applyFont="1" applyFill="1" applyBorder="1" applyAlignment="1">
      <x:alignment vertical="center" wrapText="1"/>
    </x:xf>
    <x:xf numFmtId="0" fontId="46" fillId="97" borderId="0" xfId="0" applyNumberFormat="1" applyFont="1" applyFill="1" applyBorder="1"/>
    <x:xf numFmtId="0" fontId="46" fillId="97" borderId="0" xfId="0" applyNumberFormat="1" applyFont="1" applyFill="1" applyBorder="1" applyAlignment="1">
      <x:alignment wrapText="1"/>
    </x:xf>
    <x:xf numFmtId="0" fontId="46" fillId="97" borderId="0" xfId="0" applyNumberFormat="1" applyFont="1" applyFill="1" applyBorder="1" applyAlignment="1">
      <x:alignment vertical="center" wrapText="1"/>
    </x:xf>
    <x:xf numFmtId="0" fontId="40" fillId="94" borderId="0" xfId="0" applyNumberFormat="1" applyFont="1" applyFill="1" applyBorder="1" applyAlignment="1">
      <x:alignment wrapText="1"/>
    </x:xf>
    <x:xf numFmtId="0" fontId="40" fillId="97" borderId="261" xfId="0" applyNumberFormat="1" applyFont="1" applyFill="1" applyBorder="1" applyAlignment="1">
      <x:alignment horizontal="center" vertical="center" wrapText="1"/>
    </x:xf>
    <x:xf numFmtId="0" fontId="40" fillId="97" borderId="262" xfId="0" applyNumberFormat="1" applyFont="1" applyFill="1" applyBorder="1" applyAlignment="1">
      <x:alignment horizontal="center" vertical="center" wrapText="1"/>
    </x:xf>
    <x:xf numFmtId="0" fontId="40" fillId="97" borderId="263" xfId="0" applyNumberFormat="1" applyFont="1" applyFill="1" applyBorder="1" applyAlignment="1">
      <x:alignment horizontal="center" vertical="center" wrapText="1"/>
    </x:xf>
    <x:xf numFmtId="0" fontId="40" fillId="95" borderId="261" xfId="0" applyNumberFormat="1" applyFont="1" applyFill="1" applyBorder="1" applyAlignment="1">
      <x:alignment horizontal="center" vertical="center" wrapText="1"/>
    </x:xf>
    <x:xf numFmtId="0" fontId="40" fillId="95" borderId="262" xfId="0" applyNumberFormat="1" applyFont="1" applyFill="1" applyBorder="1" applyAlignment="1">
      <x:alignment horizontal="center" vertical="center" wrapText="1"/>
    </x:xf>
    <x:xf numFmtId="0" fontId="40" fillId="95" borderId="263" xfId="0" applyNumberFormat="1" applyFont="1" applyFill="1" applyBorder="1" applyAlignment="1">
      <x:alignment horizontal="center" vertical="center" wrapText="1"/>
    </x:xf>
    <x:xf numFmtId="0" fontId="40" fillId="97" borderId="264" xfId="0" applyNumberFormat="1" applyFont="1" applyFill="1" applyBorder="1" applyAlignment="1">
      <x:alignment horizontal="center" vertical="center" wrapText="1"/>
    </x:xf>
    <x:xf numFmtId="0" fontId="40" fillId="97" xfId="0" applyNumberFormat="1" applyFont="1" applyFill="1" applyBorder="0" applyAlignment="1">
      <x:alignment horizontal="center" vertical="center" wrapText="1"/>
    </x:xf>
    <x:xf numFmtId="0" fontId="40" fillId="97" borderId="265" xfId="0" applyNumberFormat="1" applyFont="1" applyFill="1" applyBorder="1" applyAlignment="1">
      <x:alignment horizontal="center" vertical="center" wrapText="1"/>
    </x:xf>
    <x:xf numFmtId="0" fontId="40" fillId="95" borderId="264" xfId="0" applyNumberFormat="1" applyFont="1" applyFill="1" applyBorder="1" applyAlignment="1">
      <x:alignment horizontal="center" vertical="center" wrapText="1"/>
    </x:xf>
    <x:xf numFmtId="0" fontId="40" fillId="95" borderId="265" xfId="0" applyNumberFormat="1" applyFont="1" applyFill="1" applyBorder="1" applyAlignment="1">
      <x:alignment horizontal="center" vertical="center" wrapText="1"/>
    </x:xf>
    <x:xf numFmtId="0" fontId="40" fillId="97" borderId="266" xfId="0" applyNumberFormat="1" applyFont="1" applyFill="1" applyBorder="1" applyAlignment="1">
      <x:alignment horizontal="center" vertical="center" wrapText="1"/>
    </x:xf>
    <x:xf numFmtId="0" fontId="40" fillId="97" borderId="267" xfId="0" applyNumberFormat="1" applyFont="1" applyFill="1" applyBorder="1" applyAlignment="1">
      <x:alignment horizontal="center" vertical="center" wrapText="1"/>
    </x:xf>
    <x:xf numFmtId="0" fontId="40" fillId="97" borderId="268" xfId="0" applyNumberFormat="1" applyFont="1" applyFill="1" applyBorder="1" applyAlignment="1">
      <x:alignment horizontal="center" vertical="center" wrapText="1"/>
    </x:xf>
    <x:xf numFmtId="0" fontId="40" fillId="95" borderId="266" xfId="0" applyNumberFormat="1" applyFont="1" applyFill="1" applyBorder="1" applyAlignment="1">
      <x:alignment horizontal="center" vertical="center" wrapText="1"/>
    </x:xf>
    <x:xf numFmtId="0" fontId="40" fillId="95" borderId="267" xfId="0" applyNumberFormat="1" applyFont="1" applyFill="1" applyBorder="1" applyAlignment="1">
      <x:alignment horizontal="center" vertical="center" wrapText="1"/>
    </x:xf>
    <x:xf numFmtId="0" fontId="40" fillId="95" borderId="268" xfId="0" applyNumberFormat="1" applyFont="1" applyFill="1" applyBorder="1" applyAlignment="1">
      <x:alignment horizontal="center" vertical="center" wrapText="1"/>
    </x:xf>
    <x:xf numFmtId="0" fontId="40" fillId="97" borderId="0" xfId="0" applyNumberFormat="1" applyFont="1" applyFill="1" applyBorder="1"/>
    <x:xf numFmtId="0" fontId="40" fillId="94" borderId="0" xfId="0" applyNumberFormat="1" applyFont="1" applyFill="1" applyBorder="1"/>
    <x:xf numFmtId="0" fontId="40" fillId="97" borderId="0" xfId="0" applyNumberFormat="1" applyFont="1" applyFill="1" applyBorder="1" applyAlignment="1">
      <x:alignment horizontal="center" wrapText="1"/>
    </x:xf>
    <x:xf numFmtId="0" fontId="40" fillId="97" borderId="269" xfId="0" applyNumberFormat="1" applyFont="1" applyFill="1" applyBorder="1"/>
    <x:xf numFmtId="0" fontId="41" fillId="95" borderId="0" xfId="0" applyNumberFormat="1" applyFont="1" applyFill="1" applyBorder="1" applyAlignment="1">
      <x:alignment horizontal="center" vertical="center" wrapText="1"/>
    </x:xf>
    <x:xf numFmtId="0" fontId="40" fillId="96" borderId="0" xfId="0" applyNumberFormat="1" applyFont="1" applyFill="1" applyBorder="1" applyAlignment="1">
      <x:alignment vertical="center" wrapText="1"/>
    </x:xf>
    <x:xf numFmtId="0" fontId="40" fillId="96" borderId="261" xfId="0" applyNumberFormat="1" applyFont="1" applyFill="1" applyBorder="1" applyAlignment="1">
      <x:alignment horizontal="center" vertical="center" wrapText="1"/>
    </x:xf>
    <x:xf numFmtId="0" fontId="40" fillId="96" borderId="262" xfId="0" applyNumberFormat="1" applyFont="1" applyFill="1" applyBorder="1" applyAlignment="1">
      <x:alignment horizontal="center" vertical="center" wrapText="1"/>
    </x:xf>
    <x:xf numFmtId="0" fontId="40" fillId="96" borderId="263" xfId="0" applyNumberFormat="1" applyFont="1" applyFill="1" applyBorder="1" applyAlignment="1">
      <x:alignment horizontal="center" vertical="center" wrapText="1"/>
    </x:xf>
    <x:xf numFmtId="0" fontId="40" fillId="96" borderId="264" xfId="0" applyNumberFormat="1" applyFont="1" applyFill="1" applyBorder="1" applyAlignment="1">
      <x:alignment horizontal="center" vertical="center" wrapText="1"/>
    </x:xf>
    <x:xf numFmtId="0" fontId="40" fillId="96" xfId="0" applyNumberFormat="1" applyFont="1" applyFill="1" applyBorder="0" applyAlignment="1">
      <x:alignment horizontal="center" vertical="center" wrapText="1"/>
    </x:xf>
    <x:xf numFmtId="0" fontId="40" fillId="96" borderId="265" xfId="0" applyNumberFormat="1" applyFont="1" applyFill="1" applyBorder="1" applyAlignment="1">
      <x:alignment horizontal="center" vertical="center" wrapText="1"/>
    </x:xf>
    <x:xf numFmtId="0" fontId="40" fillId="96" borderId="266" xfId="0" applyNumberFormat="1" applyFont="1" applyFill="1" applyBorder="1" applyAlignment="1">
      <x:alignment horizontal="center" vertical="center" wrapText="1"/>
    </x:xf>
    <x:xf numFmtId="0" fontId="40" fillId="96" borderId="267" xfId="0" applyNumberFormat="1" applyFont="1" applyFill="1" applyBorder="1" applyAlignment="1">
      <x:alignment horizontal="center" vertical="center" wrapText="1"/>
    </x:xf>
    <x:xf numFmtId="0" fontId="40" fillId="96" borderId="268" xfId="0" applyNumberFormat="1" applyFont="1" applyFill="1" applyBorder="1" applyAlignment="1">
      <x:alignment horizontal="center" vertical="center" wrapText="1"/>
    </x:xf>
    <x:xf numFmtId="0" fontId="40" fillId="97" borderId="0" xfId="0" applyNumberFormat="1" applyFont="1" applyFill="1" applyBorder="1" applyAlignment="1">
      <x:alignment vertical="center" wrapText="1"/>
    </x:xf>
    <x:xf numFmtId="0" fontId="40" fillId="23" borderId="0" xfId="0" applyNumberFormat="1" applyFont="1" applyFill="1" applyBorder="1" applyAlignment="1">
      <x:alignment horizontal="center" vertical="top" wrapText="1"/>
    </x:xf>
    <x:xf numFmtId="0" fontId="40" fillId="23" xfId="0" applyNumberFormat="1" applyFont="1" applyFill="1" applyBorder="0" applyAlignment="1">
      <x:alignment horizontal="center" vertical="top" wrapText="1"/>
    </x:xf>
    <x:xf numFmtId="0" fontId="28" fillId="53" borderId="0" xfId="0" applyNumberFormat="1" applyFont="1" applyFill="1" applyBorder="1" applyAlignment="1">
      <x:alignment wrapText="1"/>
    </x:xf>
    <x:xf numFmtId="0" fontId="0" fillId="40" borderId="0" xfId="0" applyNumberFormat="1" applyFont="1" applyFill="1" applyBorder="1" applyAlignment="1">
      <x:alignment wrapText="1"/>
    </x:xf>
    <x:xf numFmtId="0" fontId="41" fillId="40" borderId="0" xfId="0" applyNumberFormat="1" applyFont="1" applyFill="1" applyBorder="1" applyAlignment="1">
      <x:alignment wrapText="1"/>
    </x:xf>
    <x:xf numFmtId="0" fontId="39" fillId="53" borderId="0" xfId="0" applyNumberFormat="1" applyFont="1" applyFill="1" applyBorder="1"/>
    <x:xf numFmtId="0" fontId="39" fillId="53" borderId="0" xfId="0" applyNumberFormat="1" applyFont="1" applyFill="1" applyBorder="1" applyAlignment="1">
      <x:alignment wrapText="1"/>
    </x:xf>
    <x:xf numFmtId="0" fontId="39" fillId="53" borderId="0" xfId="0" applyNumberFormat="1" applyFont="1" applyFill="1" applyBorder="1" applyAlignment="1">
      <x:alignment horizontal="center" wrapText="1"/>
    </x:xf>
    <x:xf numFmtId="0" fontId="39" fillId="35" borderId="0" xfId="0" applyNumberFormat="1" applyFont="1" applyFill="1" applyBorder="1" applyAlignment="1">
      <x:alignment vertical="center" wrapText="1"/>
    </x:xf>
    <x:xf numFmtId="0" fontId="39" fillId="23" borderId="0" xfId="0" applyNumberFormat="1" applyFont="1" applyFill="1" applyBorder="1"/>
    <x:xf numFmtId="0" fontId="39" fillId="23" borderId="0" xfId="0" applyNumberFormat="1" applyFont="1" applyFill="1" applyBorder="1" applyAlignment="1">
      <x:alignment wrapText="1"/>
    </x:xf>
    <x:xf numFmtId="0" fontId="39" fillId="23" borderId="0" xfId="0" applyNumberFormat="1" applyFont="1" applyFill="1" applyBorder="1" applyAlignment="1">
      <x:alignment vertical="center" wrapText="1"/>
    </x:xf>
    <x:xf numFmtId="0" fontId="40" fillId="53" borderId="0" xfId="0" applyNumberFormat="1" applyFont="1" applyFill="1" applyBorder="1" applyAlignment="1">
      <x:alignment horizontal="center" wrapText="1"/>
    </x:xf>
    <x:xf numFmtId="0" fontId="40" fillId="35" borderId="0" xfId="0" applyNumberFormat="1" applyFont="1" applyFill="1" applyBorder="1" applyAlignment="1">
      <x:alignment vertical="center" wrapText="1"/>
    </x:xf>
    <x:xf numFmtId="0" fontId="0" fillId="101" borderId="0" xfId="0" applyNumberFormat="1" applyFont="1" applyFill="1" applyBorder="1"/>
    <x:xf numFmtId="0" fontId="30" fillId="101" borderId="0" xfId="0" applyNumberFormat="1" applyFont="1" applyFill="1" applyBorder="1"/>
    <x:xf numFmtId="0" fontId="30" fillId="101" borderId="0" xfId="0" applyNumberFormat="1" applyFont="1" applyFill="1" applyBorder="1" applyAlignment="1">
      <x:alignment wrapText="1"/>
    </x:xf>
    <x:xf numFmtId="0" fontId="0" fillId="102" borderId="0" xfId="0" applyNumberFormat="1" applyFont="1" applyFill="1" applyBorder="1"/>
    <x:xf numFmtId="0" fontId="31" fillId="102" borderId="0" xfId="0" applyNumberFormat="1" applyFont="1" applyFill="1" applyBorder="1"/>
    <x:xf numFmtId="0" fontId="31" fillId="102" borderId="270" xfId="0" applyNumberFormat="1" applyFont="1" applyFill="1" applyBorder="1"/>
    <x:xf numFmtId="0" fontId="20" fillId="101" borderId="0" xfId="0" applyNumberFormat="1" applyFont="1" applyFill="1" applyBorder="1"/>
    <x:xf numFmtId="0" fontId="20" fillId="101" borderId="0" xfId="0" applyNumberFormat="1" applyFont="1" applyFill="1" applyBorder="1" applyAlignment="1">
      <x:alignment wrapText="1"/>
    </x:xf>
    <x:xf numFmtId="0" fontId="0" fillId="103" borderId="0" xfId="0" applyNumberFormat="1" applyFont="1" applyFill="1" applyBorder="1"/>
    <x:xf numFmtId="0" fontId="37" fillId="103" borderId="0" xfId="0" applyNumberFormat="1" applyFont="1" applyFill="1" applyBorder="1"/>
    <x:xf numFmtId="0" fontId="37" fillId="103" borderId="0" xfId="0" applyNumberFormat="1" applyFont="1" applyFill="1" applyBorder="1" applyAlignment="1">
      <x:alignment wrapText="1"/>
    </x:xf>
    <x:xf numFmtId="0" fontId="0" fillId="104" borderId="0" xfId="0" applyNumberFormat="1" applyFont="1" applyFill="1" applyBorder="1" applyAlignment="1">
      <x:alignment wrapText="1"/>
    </x:xf>
    <x:xf numFmtId="0" fontId="0" fillId="105" borderId="0" xfId="0" applyNumberFormat="1" applyFont="1" applyFill="1" applyBorder="1" applyAlignment="1">
      <x:alignment wrapText="1"/>
    </x:xf>
    <x:xf numFmtId="0" fontId="21" fillId="103" borderId="0" xfId="0" applyNumberFormat="1" applyFont="1" applyFill="1" applyBorder="1"/>
    <x:xf numFmtId="0" fontId="0" fillId="104" borderId="0" xfId="0" applyNumberFormat="1" applyFont="1" applyFill="1" applyBorder="1"/>
    <x:xf numFmtId="0" fontId="32" fillId="104" borderId="0" xfId="0" applyNumberFormat="1" applyFont="1" applyFill="1" applyBorder="1"/>
    <x:xf numFmtId="0" fontId="32" fillId="104" borderId="0" xfId="0" applyNumberFormat="1" applyFont="1" applyFill="1" applyBorder="1" applyAlignment="1">
      <x:alignment wrapText="1"/>
    </x:xf>
    <x:xf numFmtId="0" fontId="32" fillId="104" borderId="0" xfId="0" applyNumberFormat="1" applyFont="1" applyFill="1" applyBorder="1" applyAlignment="1">
      <x:alignment vertical="top" wrapText="1"/>
    </x:xf>
    <x:xf numFmtId="0" fontId="40" fillId="102" borderId="270" xfId="0" applyNumberFormat="1" applyFont="1" applyFill="1" applyBorder="1"/>
    <x:xf numFmtId="0" fontId="41" fillId="101" borderId="0" xfId="0" applyNumberFormat="1" applyFont="1" applyFill="1" applyBorder="1" applyAlignment="1">
      <x:alignment wrapText="1"/>
    </x:xf>
    <x:xf numFmtId="0" fontId="40" fillId="103" borderId="0" xfId="0" applyNumberFormat="1" applyFont="1" applyFill="1" applyBorder="1" applyAlignment="1">
      <x:alignment wrapText="1"/>
    </x:xf>
    <x:xf numFmtId="0" fontId="41" fillId="104" borderId="0" xfId="0" applyNumberFormat="1" applyFont="1" applyFill="1" applyBorder="1" applyAlignment="1">
      <x:alignment wrapText="1"/>
    </x:xf>
    <x:xf numFmtId="0" fontId="41" fillId="105" borderId="0" xfId="0" applyNumberFormat="1" applyFont="1" applyFill="1" applyBorder="1" applyAlignment="1">
      <x:alignment wrapText="1"/>
    </x:xf>
    <x:xf numFmtId="0" fontId="40" fillId="103" borderId="0" xfId="0" applyNumberFormat="1" applyFont="1" applyFill="1" applyBorder="1"/>
    <x:xf numFmtId="0" fontId="40" fillId="104" borderId="0" xfId="0" applyNumberFormat="1" applyFont="1" applyFill="1" applyBorder="1" applyAlignment="1">
      <x:alignment vertical="top" wrapText="1"/>
    </x:xf>
    <x:xf numFmtId="0" fontId="0" fillId="106" borderId="0" xfId="0" applyNumberFormat="1" applyFont="1" applyFill="1" applyBorder="1" applyAlignment="1">
      <x:alignment wrapText="1"/>
    </x:xf>
    <x:xf numFmtId="0" fontId="0" fillId="101" borderId="0" xfId="0" applyNumberFormat="1" applyFont="1" applyFill="1" applyBorder="1" applyAlignment="1">
      <x:alignment wrapText="1"/>
    </x:xf>
    <x:xf numFmtId="0" fontId="52" fillId="102" borderId="270" xfId="0" applyNumberFormat="1" applyFont="1" applyFill="1" applyBorder="1"/>
    <x:xf numFmtId="0" fontId="45" fillId="101" borderId="0" xfId="0" applyNumberFormat="1" applyFont="1" applyFill="1" applyBorder="1" applyAlignment="1">
      <x:alignment wrapText="1"/>
    </x:xf>
    <x:xf numFmtId="0" fontId="45" fillId="0" borderId="0" xfId="0" applyNumberFormat="1" applyFont="1" applyFill="1" applyBorder="1"/>
    <x:xf numFmtId="0" fontId="52" fillId="103" borderId="0" xfId="0" applyNumberFormat="1" applyFont="1" applyFill="1" applyBorder="1" applyAlignment="1">
      <x:alignment wrapText="1"/>
    </x:xf>
    <x:xf numFmtId="0" fontId="45" fillId="0" borderId="0" xfId="0" applyNumberFormat="1" applyFont="1" applyFill="1" applyBorder="1" applyAlignment="1">
      <x:alignment wrapText="1"/>
    </x:xf>
    <x:xf numFmtId="0" fontId="45" fillId="105" borderId="0" xfId="0" applyNumberFormat="1" applyFont="1" applyFill="1" applyBorder="1" applyAlignment="1">
      <x:alignment wrapText="1"/>
    </x:xf>
    <x:xf numFmtId="0" fontId="45" fillId="104" borderId="0" xfId="0" applyNumberFormat="1" applyFont="1" applyFill="1" applyBorder="1" applyAlignment="1">
      <x:alignment wrapText="1"/>
    </x:xf>
    <x:xf numFmtId="0" fontId="45" fillId="106" borderId="0" xfId="0" applyNumberFormat="1" applyFont="1" applyFill="1" applyBorder="1" applyAlignment="1">
      <x:alignment wrapText="1"/>
    </x:xf>
    <x:xf numFmtId="0" fontId="42" fillId="102" borderId="270" xfId="0" applyNumberFormat="1" applyFont="1" applyFill="1" applyBorder="1"/>
    <x:xf numFmtId="0" fontId="47" fillId="103" borderId="0" xfId="0" applyNumberFormat="1" applyFont="1" applyFill="1" applyBorder="1" applyAlignment="1">
      <x:alignment wrapText="1"/>
    </x:xf>
    <x:xf numFmtId="0" fontId="0" fillId="107" borderId="0" xfId="0" applyNumberFormat="1" applyFont="1" applyFill="1" applyBorder="1" applyAlignment="1">
      <x:alignment wrapText="1"/>
    </x:xf>
    <x:xf numFmtId="0" fontId="45" fillId="107" borderId="0" xfId="0" applyNumberFormat="1" applyFont="1" applyFill="1" applyBorder="1" applyAlignment="1">
      <x:alignment wrapText="1"/>
    </x:xf>
    <x:xf numFmtId="0" fontId="49" fillId="102" borderId="0" xfId="0" applyNumberFormat="1" applyFont="1" applyFill="1" applyBorder="1"/>
    <x:xf numFmtId="0" fontId="49" fillId="102" borderId="270" xfId="0" applyNumberFormat="1" applyFont="1" applyFill="1" applyBorder="1"/>
    <x:xf numFmtId="0" fontId="50" fillId="101" borderId="0" xfId="0" applyNumberFormat="1" applyFont="1" applyFill="1" applyBorder="1"/>
    <x:xf numFmtId="0" fontId="0" fillId="105" borderId="0" xfId="0" applyNumberFormat="1" applyFont="1" applyFill="1" applyBorder="1"/>
    <x:xf numFmtId="0" fontId="32" fillId="105" borderId="0" xfId="0" applyNumberFormat="1" applyFont="1" applyFill="1" applyBorder="1"/>
    <x:xf numFmtId="0" fontId="32" fillId="105" borderId="271" xfId="0" applyNumberFormat="1" applyFont="1" applyFill="1" applyBorder="1"/>
    <x:xf numFmtId="0" fontId="32" fillId="105" borderId="272" xfId="0" applyNumberFormat="1" applyFont="1" applyFill="1" applyBorder="1"/>
    <x:xf numFmtId="0" fontId="32" fillId="105" borderId="273" xfId="0" applyNumberFormat="1" applyFont="1" applyFill="1" applyBorder="1"/>
    <x:xf numFmtId="0" fontId="32" fillId="105" borderId="274" xfId="0" applyNumberFormat="1" applyFont="1" applyFill="1" applyBorder="1"/>
    <x:xf numFmtId="0" fontId="32" fillId="105" xfId="0" applyNumberFormat="1" applyFont="1" applyFill="1" applyBorder="0"/>
    <x:xf numFmtId="0" fontId="32" fillId="105" borderId="275" xfId="0" applyNumberFormat="1" applyFont="1" applyFill="1" applyBorder="1"/>
    <x:xf numFmtId="0" fontId="32" fillId="105" borderId="276" xfId="0" applyNumberFormat="1" applyFont="1" applyFill="1" applyBorder="1"/>
    <x:xf numFmtId="0" fontId="32" fillId="105" borderId="277" xfId="0" applyNumberFormat="1" applyFont="1" applyFill="1" applyBorder="1"/>
    <x:xf numFmtId="0" fontId="32" fillId="105" borderId="278" xfId="0" applyNumberFormat="1" applyFont="1" applyFill="1" applyBorder="1"/>
    <x:xf numFmtId="0" fontId="32" fillId="105" borderId="271" xfId="0" applyNumberFormat="1" applyFont="1" applyFill="1" applyBorder="1" applyAlignment="1">
      <x:alignment wrapText="1"/>
    </x:xf>
    <x:xf numFmtId="0" fontId="32" fillId="105" borderId="272" xfId="0" applyNumberFormat="1" applyFont="1" applyFill="1" applyBorder="1" applyAlignment="1">
      <x:alignment wrapText="1"/>
    </x:xf>
    <x:xf numFmtId="0" fontId="32" fillId="105" borderId="273" xfId="0" applyNumberFormat="1" applyFont="1" applyFill="1" applyBorder="1" applyAlignment="1">
      <x:alignment wrapText="1"/>
    </x:xf>
    <x:xf numFmtId="0" fontId="32" fillId="105" borderId="274" xfId="0" applyNumberFormat="1" applyFont="1" applyFill="1" applyBorder="1" applyAlignment="1">
      <x:alignment wrapText="1"/>
    </x:xf>
    <x:xf numFmtId="0" fontId="32" fillId="105" xfId="0" applyNumberFormat="1" applyFont="1" applyFill="1" applyBorder="0" applyAlignment="1">
      <x:alignment wrapText="1"/>
    </x:xf>
    <x:xf numFmtId="0" fontId="32" fillId="105" borderId="275" xfId="0" applyNumberFormat="1" applyFont="1" applyFill="1" applyBorder="1" applyAlignment="1">
      <x:alignment wrapText="1"/>
    </x:xf>
    <x:xf numFmtId="0" fontId="32" fillId="105" borderId="276" xfId="0" applyNumberFormat="1" applyFont="1" applyFill="1" applyBorder="1" applyAlignment="1">
      <x:alignment wrapText="1"/>
    </x:xf>
    <x:xf numFmtId="0" fontId="32" fillId="105" borderId="277" xfId="0" applyNumberFormat="1" applyFont="1" applyFill="1" applyBorder="1" applyAlignment="1">
      <x:alignment wrapText="1"/>
    </x:xf>
    <x:xf numFmtId="0" fontId="32" fillId="105" borderId="278" xfId="0" applyNumberFormat="1" applyFont="1" applyFill="1" applyBorder="1" applyAlignment="1">
      <x:alignment wrapText="1"/>
    </x:xf>
    <x:xf numFmtId="0" fontId="32" fillId="105" borderId="271" xfId="0" applyNumberFormat="1" applyFont="1" applyFill="1" applyBorder="1" applyAlignment="1">
      <x:alignment horizontal="center" wrapText="1"/>
    </x:xf>
    <x:xf numFmtId="0" fontId="32" fillId="105" borderId="272" xfId="0" applyNumberFormat="1" applyFont="1" applyFill="1" applyBorder="1" applyAlignment="1">
      <x:alignment horizontal="center" wrapText="1"/>
    </x:xf>
    <x:xf numFmtId="0" fontId="32" fillId="105" borderId="273" xfId="0" applyNumberFormat="1" applyFont="1" applyFill="1" applyBorder="1" applyAlignment="1">
      <x:alignment horizontal="center" wrapText="1"/>
    </x:xf>
    <x:xf numFmtId="0" fontId="32" fillId="105" borderId="274" xfId="0" applyNumberFormat="1" applyFont="1" applyFill="1" applyBorder="1" applyAlignment="1">
      <x:alignment horizontal="center" wrapText="1"/>
    </x:xf>
    <x:xf numFmtId="0" fontId="32" fillId="105" xfId="0" applyNumberFormat="1" applyFont="1" applyFill="1" applyBorder="0" applyAlignment="1">
      <x:alignment horizontal="center" wrapText="1"/>
    </x:xf>
    <x:xf numFmtId="0" fontId="32" fillId="105" borderId="275" xfId="0" applyNumberFormat="1" applyFont="1" applyFill="1" applyBorder="1" applyAlignment="1">
      <x:alignment horizontal="center" wrapText="1"/>
    </x:xf>
    <x:xf numFmtId="0" fontId="32" fillId="105" borderId="276" xfId="0" applyNumberFormat="1" applyFont="1" applyFill="1" applyBorder="1" applyAlignment="1">
      <x:alignment horizontal="center" wrapText="1"/>
    </x:xf>
    <x:xf numFmtId="0" fontId="32" fillId="105" borderId="277" xfId="0" applyNumberFormat="1" applyFont="1" applyFill="1" applyBorder="1" applyAlignment="1">
      <x:alignment horizontal="center" wrapText="1"/>
    </x:xf>
    <x:xf numFmtId="0" fontId="32" fillId="105" borderId="278" xfId="0" applyNumberFormat="1" applyFont="1" applyFill="1" applyBorder="1" applyAlignment="1">
      <x:alignment horizontal="center" wrapText="1"/>
    </x:xf>
    <x:xf numFmtId="0" fontId="32" fillId="105" borderId="271" xfId="0" applyNumberFormat="1" applyFont="1" applyFill="1" applyBorder="1" applyAlignment="1">
      <x:alignment horizontal="center" vertical="center" wrapText="1"/>
    </x:xf>
    <x:xf numFmtId="0" fontId="32" fillId="105" borderId="272" xfId="0" applyNumberFormat="1" applyFont="1" applyFill="1" applyBorder="1" applyAlignment="1">
      <x:alignment horizontal="center" vertical="center" wrapText="1"/>
    </x:xf>
    <x:xf numFmtId="0" fontId="32" fillId="105" borderId="273" xfId="0" applyNumberFormat="1" applyFont="1" applyFill="1" applyBorder="1" applyAlignment="1">
      <x:alignment horizontal="center" vertical="center" wrapText="1"/>
    </x:xf>
    <x:xf numFmtId="0" fontId="32" fillId="105" borderId="274" xfId="0" applyNumberFormat="1" applyFont="1" applyFill="1" applyBorder="1" applyAlignment="1">
      <x:alignment horizontal="center" vertical="center" wrapText="1"/>
    </x:xf>
    <x:xf numFmtId="0" fontId="32" fillId="105" xfId="0" applyNumberFormat="1" applyFont="1" applyFill="1" applyBorder="0" applyAlignment="1">
      <x:alignment horizontal="center" vertical="center" wrapText="1"/>
    </x:xf>
    <x:xf numFmtId="0" fontId="32" fillId="105" borderId="275" xfId="0" applyNumberFormat="1" applyFont="1" applyFill="1" applyBorder="1" applyAlignment="1">
      <x:alignment horizontal="center" vertical="center" wrapText="1"/>
    </x:xf>
    <x:xf numFmtId="0" fontId="32" fillId="105" borderId="276" xfId="0" applyNumberFormat="1" applyFont="1" applyFill="1" applyBorder="1" applyAlignment="1">
      <x:alignment horizontal="center" vertical="center" wrapText="1"/>
    </x:xf>
    <x:xf numFmtId="0" fontId="32" fillId="105" borderId="277" xfId="0" applyNumberFormat="1" applyFont="1" applyFill="1" applyBorder="1" applyAlignment="1">
      <x:alignment horizontal="center" vertical="center" wrapText="1"/>
    </x:xf>
    <x:xf numFmtId="0" fontId="32" fillId="105" borderId="278" xfId="0" applyNumberFormat="1" applyFont="1" applyFill="1" applyBorder="1" applyAlignment="1">
      <x:alignment horizontal="center" vertical="center" wrapText="1"/>
    </x:xf>
    <x:xf numFmtId="0" fontId="0" fillId="106" borderId="0" xfId="0" applyNumberFormat="1" applyFont="1" applyFill="1" applyBorder="1"/>
    <x:xf numFmtId="0" fontId="32" fillId="106" borderId="0" xfId="0" applyNumberFormat="1" applyFont="1" applyFill="1" applyBorder="1"/>
    <x:xf numFmtId="0" fontId="32" fillId="106" borderId="271" xfId="0" applyNumberFormat="1" applyFont="1" applyFill="1" applyBorder="1"/>
    <x:xf numFmtId="0" fontId="32" fillId="106" borderId="272" xfId="0" applyNumberFormat="1" applyFont="1" applyFill="1" applyBorder="1"/>
    <x:xf numFmtId="0" fontId="32" fillId="106" borderId="273" xfId="0" applyNumberFormat="1" applyFont="1" applyFill="1" applyBorder="1"/>
    <x:xf numFmtId="0" fontId="32" fillId="106" borderId="274" xfId="0" applyNumberFormat="1" applyFont="1" applyFill="1" applyBorder="1"/>
    <x:xf numFmtId="0" fontId="32" fillId="106" xfId="0" applyNumberFormat="1" applyFont="1" applyFill="1" applyBorder="0"/>
    <x:xf numFmtId="0" fontId="32" fillId="106" borderId="275" xfId="0" applyNumberFormat="1" applyFont="1" applyFill="1" applyBorder="1"/>
    <x:xf numFmtId="0" fontId="32" fillId="106" borderId="276" xfId="0" applyNumberFormat="1" applyFont="1" applyFill="1" applyBorder="1"/>
    <x:xf numFmtId="0" fontId="32" fillId="106" borderId="277" xfId="0" applyNumberFormat="1" applyFont="1" applyFill="1" applyBorder="1"/>
    <x:xf numFmtId="0" fontId="32" fillId="106" borderId="278" xfId="0" applyNumberFormat="1" applyFont="1" applyFill="1" applyBorder="1"/>
    <x:xf numFmtId="0" fontId="32" fillId="106" borderId="271" xfId="0" applyNumberFormat="1" applyFont="1" applyFill="1" applyBorder="1" applyAlignment="1">
      <x:alignment wrapText="1"/>
    </x:xf>
    <x:xf numFmtId="0" fontId="32" fillId="106" borderId="272" xfId="0" applyNumberFormat="1" applyFont="1" applyFill="1" applyBorder="1" applyAlignment="1">
      <x:alignment wrapText="1"/>
    </x:xf>
    <x:xf numFmtId="0" fontId="32" fillId="106" borderId="273" xfId="0" applyNumberFormat="1" applyFont="1" applyFill="1" applyBorder="1" applyAlignment="1">
      <x:alignment wrapText="1"/>
    </x:xf>
    <x:xf numFmtId="0" fontId="32" fillId="106" borderId="274" xfId="0" applyNumberFormat="1" applyFont="1" applyFill="1" applyBorder="1" applyAlignment="1">
      <x:alignment wrapText="1"/>
    </x:xf>
    <x:xf numFmtId="0" fontId="32" fillId="106" xfId="0" applyNumberFormat="1" applyFont="1" applyFill="1" applyBorder="0" applyAlignment="1">
      <x:alignment wrapText="1"/>
    </x:xf>
    <x:xf numFmtId="0" fontId="32" fillId="106" borderId="275" xfId="0" applyNumberFormat="1" applyFont="1" applyFill="1" applyBorder="1" applyAlignment="1">
      <x:alignment wrapText="1"/>
    </x:xf>
    <x:xf numFmtId="0" fontId="32" fillId="106" borderId="276" xfId="0" applyNumberFormat="1" applyFont="1" applyFill="1" applyBorder="1" applyAlignment="1">
      <x:alignment wrapText="1"/>
    </x:xf>
    <x:xf numFmtId="0" fontId="32" fillId="106" borderId="277" xfId="0" applyNumberFormat="1" applyFont="1" applyFill="1" applyBorder="1" applyAlignment="1">
      <x:alignment wrapText="1"/>
    </x:xf>
    <x:xf numFmtId="0" fontId="32" fillId="106" borderId="278" xfId="0" applyNumberFormat="1" applyFont="1" applyFill="1" applyBorder="1" applyAlignment="1">
      <x:alignment wrapText="1"/>
    </x:xf>
    <x:xf numFmtId="0" fontId="32" fillId="106" borderId="271" xfId="0" applyNumberFormat="1" applyFont="1" applyFill="1" applyBorder="1" applyAlignment="1">
      <x:alignment horizontal="center" wrapText="1"/>
    </x:xf>
    <x:xf numFmtId="0" fontId="32" fillId="106" borderId="272" xfId="0" applyNumberFormat="1" applyFont="1" applyFill="1" applyBorder="1" applyAlignment="1">
      <x:alignment horizontal="center" wrapText="1"/>
    </x:xf>
    <x:xf numFmtId="0" fontId="32" fillId="106" borderId="273" xfId="0" applyNumberFormat="1" applyFont="1" applyFill="1" applyBorder="1" applyAlignment="1">
      <x:alignment horizontal="center" wrapText="1"/>
    </x:xf>
    <x:xf numFmtId="0" fontId="32" fillId="106" borderId="274" xfId="0" applyNumberFormat="1" applyFont="1" applyFill="1" applyBorder="1" applyAlignment="1">
      <x:alignment horizontal="center" wrapText="1"/>
    </x:xf>
    <x:xf numFmtId="0" fontId="32" fillId="106" xfId="0" applyNumberFormat="1" applyFont="1" applyFill="1" applyBorder="0" applyAlignment="1">
      <x:alignment horizontal="center" wrapText="1"/>
    </x:xf>
    <x:xf numFmtId="0" fontId="32" fillId="106" borderId="275" xfId="0" applyNumberFormat="1" applyFont="1" applyFill="1" applyBorder="1" applyAlignment="1">
      <x:alignment horizontal="center" wrapText="1"/>
    </x:xf>
    <x:xf numFmtId="0" fontId="32" fillId="106" borderId="276" xfId="0" applyNumberFormat="1" applyFont="1" applyFill="1" applyBorder="1" applyAlignment="1">
      <x:alignment horizontal="center" wrapText="1"/>
    </x:xf>
    <x:xf numFmtId="0" fontId="32" fillId="106" borderId="277" xfId="0" applyNumberFormat="1" applyFont="1" applyFill="1" applyBorder="1" applyAlignment="1">
      <x:alignment horizontal="center" wrapText="1"/>
    </x:xf>
    <x:xf numFmtId="0" fontId="32" fillId="106" borderId="278" xfId="0" applyNumberFormat="1" applyFont="1" applyFill="1" applyBorder="1" applyAlignment="1">
      <x:alignment horizontal="center" wrapText="1"/>
    </x:xf>
    <x:xf numFmtId="0" fontId="32" fillId="106" borderId="271" xfId="0" applyNumberFormat="1" applyFont="1" applyFill="1" applyBorder="1" applyAlignment="1">
      <x:alignment horizontal="center" vertical="center" wrapText="1"/>
    </x:xf>
    <x:xf numFmtId="0" fontId="32" fillId="106" borderId="272" xfId="0" applyNumberFormat="1" applyFont="1" applyFill="1" applyBorder="1" applyAlignment="1">
      <x:alignment horizontal="center" vertical="center" wrapText="1"/>
    </x:xf>
    <x:xf numFmtId="0" fontId="32" fillId="106" borderId="273" xfId="0" applyNumberFormat="1" applyFont="1" applyFill="1" applyBorder="1" applyAlignment="1">
      <x:alignment horizontal="center" vertical="center" wrapText="1"/>
    </x:xf>
    <x:xf numFmtId="0" fontId="32" fillId="106" borderId="274" xfId="0" applyNumberFormat="1" applyFont="1" applyFill="1" applyBorder="1" applyAlignment="1">
      <x:alignment horizontal="center" vertical="center" wrapText="1"/>
    </x:xf>
    <x:xf numFmtId="0" fontId="32" fillId="106" xfId="0" applyNumberFormat="1" applyFont="1" applyFill="1" applyBorder="0" applyAlignment="1">
      <x:alignment horizontal="center" vertical="center" wrapText="1"/>
    </x:xf>
    <x:xf numFmtId="0" fontId="32" fillId="106" borderId="275" xfId="0" applyNumberFormat="1" applyFont="1" applyFill="1" applyBorder="1" applyAlignment="1">
      <x:alignment horizontal="center" vertical="center" wrapText="1"/>
    </x:xf>
    <x:xf numFmtId="0" fontId="32" fillId="106" borderId="276" xfId="0" applyNumberFormat="1" applyFont="1" applyFill="1" applyBorder="1" applyAlignment="1">
      <x:alignment horizontal="center" vertical="center" wrapText="1"/>
    </x:xf>
    <x:xf numFmtId="0" fontId="32" fillId="106" borderId="277" xfId="0" applyNumberFormat="1" applyFont="1" applyFill="1" applyBorder="1" applyAlignment="1">
      <x:alignment horizontal="center" vertical="center" wrapText="1"/>
    </x:xf>
    <x:xf numFmtId="0" fontId="32" fillId="106" borderId="278" xfId="0" applyNumberFormat="1" applyFont="1" applyFill="1" applyBorder="1" applyAlignment="1">
      <x:alignment horizontal="center" vertical="center" wrapText="1"/>
    </x:xf>
    <x:xf numFmtId="0" fontId="32" fillId="104" borderId="271" xfId="0" applyNumberFormat="1" applyFont="1" applyFill="1" applyBorder="1"/>
    <x:xf numFmtId="0" fontId="32" fillId="104" borderId="272" xfId="0" applyNumberFormat="1" applyFont="1" applyFill="1" applyBorder="1"/>
    <x:xf numFmtId="0" fontId="32" fillId="104" borderId="273" xfId="0" applyNumberFormat="1" applyFont="1" applyFill="1" applyBorder="1"/>
    <x:xf numFmtId="0" fontId="32" fillId="104" borderId="274" xfId="0" applyNumberFormat="1" applyFont="1" applyFill="1" applyBorder="1"/>
    <x:xf numFmtId="0" fontId="32" fillId="104" xfId="0" applyNumberFormat="1" applyFont="1" applyFill="1" applyBorder="0"/>
    <x:xf numFmtId="0" fontId="32" fillId="104" borderId="275" xfId="0" applyNumberFormat="1" applyFont="1" applyFill="1" applyBorder="1"/>
    <x:xf numFmtId="0" fontId="32" fillId="104" borderId="276" xfId="0" applyNumberFormat="1" applyFont="1" applyFill="1" applyBorder="1"/>
    <x:xf numFmtId="0" fontId="32" fillId="104" borderId="277" xfId="0" applyNumberFormat="1" applyFont="1" applyFill="1" applyBorder="1"/>
    <x:xf numFmtId="0" fontId="32" fillId="104" borderId="278" xfId="0" applyNumberFormat="1" applyFont="1" applyFill="1" applyBorder="1"/>
    <x:xf numFmtId="0" fontId="32" fillId="104" borderId="271" xfId="0" applyNumberFormat="1" applyFont="1" applyFill="1" applyBorder="1" applyAlignment="1">
      <x:alignment wrapText="1"/>
    </x:xf>
    <x:xf numFmtId="0" fontId="32" fillId="104" borderId="272" xfId="0" applyNumberFormat="1" applyFont="1" applyFill="1" applyBorder="1" applyAlignment="1">
      <x:alignment wrapText="1"/>
    </x:xf>
    <x:xf numFmtId="0" fontId="32" fillId="104" borderId="273" xfId="0" applyNumberFormat="1" applyFont="1" applyFill="1" applyBorder="1" applyAlignment="1">
      <x:alignment wrapText="1"/>
    </x:xf>
    <x:xf numFmtId="0" fontId="32" fillId="104" borderId="274" xfId="0" applyNumberFormat="1" applyFont="1" applyFill="1" applyBorder="1" applyAlignment="1">
      <x:alignment wrapText="1"/>
    </x:xf>
    <x:xf numFmtId="0" fontId="32" fillId="104" xfId="0" applyNumberFormat="1" applyFont="1" applyFill="1" applyBorder="0" applyAlignment="1">
      <x:alignment wrapText="1"/>
    </x:xf>
    <x:xf numFmtId="0" fontId="32" fillId="104" borderId="275" xfId="0" applyNumberFormat="1" applyFont="1" applyFill="1" applyBorder="1" applyAlignment="1">
      <x:alignment wrapText="1"/>
    </x:xf>
    <x:xf numFmtId="0" fontId="32" fillId="104" borderId="276" xfId="0" applyNumberFormat="1" applyFont="1" applyFill="1" applyBorder="1" applyAlignment="1">
      <x:alignment wrapText="1"/>
    </x:xf>
    <x:xf numFmtId="0" fontId="32" fillId="104" borderId="277" xfId="0" applyNumberFormat="1" applyFont="1" applyFill="1" applyBorder="1" applyAlignment="1">
      <x:alignment wrapText="1"/>
    </x:xf>
    <x:xf numFmtId="0" fontId="32" fillId="104" borderId="278" xfId="0" applyNumberFormat="1" applyFont="1" applyFill="1" applyBorder="1" applyAlignment="1">
      <x:alignment wrapText="1"/>
    </x:xf>
    <x:xf numFmtId="0" fontId="32" fillId="104" borderId="271" xfId="0" applyNumberFormat="1" applyFont="1" applyFill="1" applyBorder="1" applyAlignment="1">
      <x:alignment horizontal="center" wrapText="1"/>
    </x:xf>
    <x:xf numFmtId="0" fontId="32" fillId="104" borderId="272" xfId="0" applyNumberFormat="1" applyFont="1" applyFill="1" applyBorder="1" applyAlignment="1">
      <x:alignment horizontal="center" wrapText="1"/>
    </x:xf>
    <x:xf numFmtId="0" fontId="32" fillId="104" borderId="273" xfId="0" applyNumberFormat="1" applyFont="1" applyFill="1" applyBorder="1" applyAlignment="1">
      <x:alignment horizontal="center" wrapText="1"/>
    </x:xf>
    <x:xf numFmtId="0" fontId="32" fillId="104" borderId="274" xfId="0" applyNumberFormat="1" applyFont="1" applyFill="1" applyBorder="1" applyAlignment="1">
      <x:alignment horizontal="center" wrapText="1"/>
    </x:xf>
    <x:xf numFmtId="0" fontId="32" fillId="104" xfId="0" applyNumberFormat="1" applyFont="1" applyFill="1" applyBorder="0" applyAlignment="1">
      <x:alignment horizontal="center" wrapText="1"/>
    </x:xf>
    <x:xf numFmtId="0" fontId="32" fillId="104" borderId="275" xfId="0" applyNumberFormat="1" applyFont="1" applyFill="1" applyBorder="1" applyAlignment="1">
      <x:alignment horizontal="center" wrapText="1"/>
    </x:xf>
    <x:xf numFmtId="0" fontId="32" fillId="104" borderId="276" xfId="0" applyNumberFormat="1" applyFont="1" applyFill="1" applyBorder="1" applyAlignment="1">
      <x:alignment horizontal="center" wrapText="1"/>
    </x:xf>
    <x:xf numFmtId="0" fontId="32" fillId="104" borderId="277" xfId="0" applyNumberFormat="1" applyFont="1" applyFill="1" applyBorder="1" applyAlignment="1">
      <x:alignment horizontal="center" wrapText="1"/>
    </x:xf>
    <x:xf numFmtId="0" fontId="32" fillId="104" borderId="278" xfId="0" applyNumberFormat="1" applyFont="1" applyFill="1" applyBorder="1" applyAlignment="1">
      <x:alignment horizontal="center" wrapText="1"/>
    </x:xf>
    <x:xf numFmtId="0" fontId="32" fillId="104" borderId="271" xfId="0" applyNumberFormat="1" applyFont="1" applyFill="1" applyBorder="1" applyAlignment="1">
      <x:alignment horizontal="center" vertical="center" wrapText="1"/>
    </x:xf>
    <x:xf numFmtId="0" fontId="32" fillId="104" borderId="272" xfId="0" applyNumberFormat="1" applyFont="1" applyFill="1" applyBorder="1" applyAlignment="1">
      <x:alignment horizontal="center" vertical="center" wrapText="1"/>
    </x:xf>
    <x:xf numFmtId="0" fontId="32" fillId="104" borderId="273" xfId="0" applyNumberFormat="1" applyFont="1" applyFill="1" applyBorder="1" applyAlignment="1">
      <x:alignment horizontal="center" vertical="center" wrapText="1"/>
    </x:xf>
    <x:xf numFmtId="0" fontId="32" fillId="104" borderId="274" xfId="0" applyNumberFormat="1" applyFont="1" applyFill="1" applyBorder="1" applyAlignment="1">
      <x:alignment horizontal="center" vertical="center" wrapText="1"/>
    </x:xf>
    <x:xf numFmtId="0" fontId="32" fillId="104" xfId="0" applyNumberFormat="1" applyFont="1" applyFill="1" applyBorder="0" applyAlignment="1">
      <x:alignment horizontal="center" vertical="center" wrapText="1"/>
    </x:xf>
    <x:xf numFmtId="0" fontId="32" fillId="104" borderId="275" xfId="0" applyNumberFormat="1" applyFont="1" applyFill="1" applyBorder="1" applyAlignment="1">
      <x:alignment horizontal="center" vertical="center" wrapText="1"/>
    </x:xf>
    <x:xf numFmtId="0" fontId="32" fillId="104" borderId="276" xfId="0" applyNumberFormat="1" applyFont="1" applyFill="1" applyBorder="1" applyAlignment="1">
      <x:alignment horizontal="center" vertical="center" wrapText="1"/>
    </x:xf>
    <x:xf numFmtId="0" fontId="32" fillId="104" borderId="277" xfId="0" applyNumberFormat="1" applyFont="1" applyFill="1" applyBorder="1" applyAlignment="1">
      <x:alignment horizontal="center" vertical="center" wrapText="1"/>
    </x:xf>
    <x:xf numFmtId="0" fontId="32" fillId="104" borderId="278" xfId="0" applyNumberFormat="1" applyFont="1" applyFill="1" applyBorder="1" applyAlignment="1">
      <x:alignment horizontal="center" vertical="center" wrapText="1"/>
    </x:xf>
    <x:xf numFmtId="0" fontId="32" fillId="101" borderId="0" xfId="0" applyNumberFormat="1" applyFont="1" applyFill="1" applyBorder="1"/>
    <x:xf numFmtId="0" fontId="32" fillId="101" borderId="279" xfId="0" applyNumberFormat="1" applyFont="1" applyFill="1" applyBorder="1"/>
    <x:xf numFmtId="0" fontId="32" fillId="101" borderId="280" xfId="0" applyNumberFormat="1" applyFont="1" applyFill="1" applyBorder="1"/>
    <x:xf numFmtId="0" fontId="32" fillId="101" borderId="281" xfId="0" applyNumberFormat="1" applyFont="1" applyFill="1" applyBorder="1"/>
    <x:xf numFmtId="0" fontId="32" fillId="101" borderId="282" xfId="0" applyNumberFormat="1" applyFont="1" applyFill="1" applyBorder="1"/>
    <x:xf numFmtId="0" fontId="32" fillId="101" xfId="0" applyNumberFormat="1" applyFont="1" applyFill="1" applyBorder="0"/>
    <x:xf numFmtId="0" fontId="32" fillId="101" borderId="283" xfId="0" applyNumberFormat="1" applyFont="1" applyFill="1" applyBorder="1"/>
    <x:xf numFmtId="0" fontId="32" fillId="101" borderId="284" xfId="0" applyNumberFormat="1" applyFont="1" applyFill="1" applyBorder="1"/>
    <x:xf numFmtId="0" fontId="32" fillId="101" borderId="270" xfId="0" applyNumberFormat="1" applyFont="1" applyFill="1" applyBorder="1"/>
    <x:xf numFmtId="0" fontId="32" fillId="101" borderId="285" xfId="0" applyNumberFormat="1" applyFont="1" applyFill="1" applyBorder="1"/>
    <x:xf numFmtId="0" fontId="32" fillId="101" borderId="279" xfId="0" applyNumberFormat="1" applyFont="1" applyFill="1" applyBorder="1" applyAlignment="1">
      <x:alignment wrapText="1"/>
    </x:xf>
    <x:xf numFmtId="0" fontId="32" fillId="101" borderId="280" xfId="0" applyNumberFormat="1" applyFont="1" applyFill="1" applyBorder="1" applyAlignment="1">
      <x:alignment wrapText="1"/>
    </x:xf>
    <x:xf numFmtId="0" fontId="32" fillId="101" borderId="281" xfId="0" applyNumberFormat="1" applyFont="1" applyFill="1" applyBorder="1" applyAlignment="1">
      <x:alignment wrapText="1"/>
    </x:xf>
    <x:xf numFmtId="0" fontId="32" fillId="101" borderId="282" xfId="0" applyNumberFormat="1" applyFont="1" applyFill="1" applyBorder="1" applyAlignment="1">
      <x:alignment wrapText="1"/>
    </x:xf>
    <x:xf numFmtId="0" fontId="32" fillId="101" xfId="0" applyNumberFormat="1" applyFont="1" applyFill="1" applyBorder="0" applyAlignment="1">
      <x:alignment wrapText="1"/>
    </x:xf>
    <x:xf numFmtId="0" fontId="32" fillId="101" borderId="283" xfId="0" applyNumberFormat="1" applyFont="1" applyFill="1" applyBorder="1" applyAlignment="1">
      <x:alignment wrapText="1"/>
    </x:xf>
    <x:xf numFmtId="0" fontId="32" fillId="101" borderId="284" xfId="0" applyNumberFormat="1" applyFont="1" applyFill="1" applyBorder="1" applyAlignment="1">
      <x:alignment wrapText="1"/>
    </x:xf>
    <x:xf numFmtId="0" fontId="32" fillId="101" borderId="270" xfId="0" applyNumberFormat="1" applyFont="1" applyFill="1" applyBorder="1" applyAlignment="1">
      <x:alignment wrapText="1"/>
    </x:xf>
    <x:xf numFmtId="0" fontId="32" fillId="101" borderId="285" xfId="0" applyNumberFormat="1" applyFont="1" applyFill="1" applyBorder="1" applyAlignment="1">
      <x:alignment wrapText="1"/>
    </x:xf>
    <x:xf numFmtId="0" fontId="32" fillId="101" borderId="279" xfId="0" applyNumberFormat="1" applyFont="1" applyFill="1" applyBorder="1" applyAlignment="1">
      <x:alignment horizontal="center" wrapText="1"/>
    </x:xf>
    <x:xf numFmtId="0" fontId="32" fillId="101" borderId="280" xfId="0" applyNumberFormat="1" applyFont="1" applyFill="1" applyBorder="1" applyAlignment="1">
      <x:alignment horizontal="center" wrapText="1"/>
    </x:xf>
    <x:xf numFmtId="0" fontId="32" fillId="101" borderId="281" xfId="0" applyNumberFormat="1" applyFont="1" applyFill="1" applyBorder="1" applyAlignment="1">
      <x:alignment horizontal="center" wrapText="1"/>
    </x:xf>
    <x:xf numFmtId="0" fontId="32" fillId="101" borderId="282" xfId="0" applyNumberFormat="1" applyFont="1" applyFill="1" applyBorder="1" applyAlignment="1">
      <x:alignment horizontal="center" wrapText="1"/>
    </x:xf>
    <x:xf numFmtId="0" fontId="32" fillId="101" xfId="0" applyNumberFormat="1" applyFont="1" applyFill="1" applyBorder="0" applyAlignment="1">
      <x:alignment horizontal="center" wrapText="1"/>
    </x:xf>
    <x:xf numFmtId="0" fontId="32" fillId="101" borderId="283" xfId="0" applyNumberFormat="1" applyFont="1" applyFill="1" applyBorder="1" applyAlignment="1">
      <x:alignment horizontal="center" wrapText="1"/>
    </x:xf>
    <x:xf numFmtId="0" fontId="32" fillId="101" borderId="284" xfId="0" applyNumberFormat="1" applyFont="1" applyFill="1" applyBorder="1" applyAlignment="1">
      <x:alignment horizontal="center" wrapText="1"/>
    </x:xf>
    <x:xf numFmtId="0" fontId="32" fillId="101" borderId="270" xfId="0" applyNumberFormat="1" applyFont="1" applyFill="1" applyBorder="1" applyAlignment="1">
      <x:alignment horizontal="center" wrapText="1"/>
    </x:xf>
    <x:xf numFmtId="0" fontId="32" fillId="101" borderId="285" xfId="0" applyNumberFormat="1" applyFont="1" applyFill="1" applyBorder="1" applyAlignment="1">
      <x:alignment horizontal="center" wrapText="1"/>
    </x:xf>
    <x:xf numFmtId="0" fontId="32" fillId="101" borderId="279" xfId="0" applyNumberFormat="1" applyFont="1" applyFill="1" applyBorder="1" applyAlignment="1">
      <x:alignment horizontal="center" vertical="center" wrapText="1"/>
    </x:xf>
    <x:xf numFmtId="0" fontId="32" fillId="101" borderId="280" xfId="0" applyNumberFormat="1" applyFont="1" applyFill="1" applyBorder="1" applyAlignment="1">
      <x:alignment horizontal="center" vertical="center" wrapText="1"/>
    </x:xf>
    <x:xf numFmtId="0" fontId="32" fillId="101" borderId="281" xfId="0" applyNumberFormat="1" applyFont="1" applyFill="1" applyBorder="1" applyAlignment="1">
      <x:alignment horizontal="center" vertical="center" wrapText="1"/>
    </x:xf>
    <x:xf numFmtId="0" fontId="32" fillId="101" borderId="282" xfId="0" applyNumberFormat="1" applyFont="1" applyFill="1" applyBorder="1" applyAlignment="1">
      <x:alignment horizontal="center" vertical="center" wrapText="1"/>
    </x:xf>
    <x:xf numFmtId="0" fontId="32" fillId="101" xfId="0" applyNumberFormat="1" applyFont="1" applyFill="1" applyBorder="0" applyAlignment="1">
      <x:alignment horizontal="center" vertical="center" wrapText="1"/>
    </x:xf>
    <x:xf numFmtId="0" fontId="32" fillId="101" borderId="283" xfId="0" applyNumberFormat="1" applyFont="1" applyFill="1" applyBorder="1" applyAlignment="1">
      <x:alignment horizontal="center" vertical="center" wrapText="1"/>
    </x:xf>
    <x:xf numFmtId="0" fontId="32" fillId="101" borderId="284" xfId="0" applyNumberFormat="1" applyFont="1" applyFill="1" applyBorder="1" applyAlignment="1">
      <x:alignment horizontal="center" vertical="center" wrapText="1"/>
    </x:xf>
    <x:xf numFmtId="0" fontId="32" fillId="101" borderId="270" xfId="0" applyNumberFormat="1" applyFont="1" applyFill="1" applyBorder="1" applyAlignment="1">
      <x:alignment horizontal="center" vertical="center" wrapText="1"/>
    </x:xf>
    <x:xf numFmtId="0" fontId="32" fillId="101" borderId="285" xfId="0" applyNumberFormat="1" applyFont="1" applyFill="1" applyBorder="1" applyAlignment="1">
      <x:alignment horizontal="center" vertical="center" wrapText="1"/>
    </x:xf>
    <x:xf numFmtId="0" fontId="32" fillId="104" borderId="0" xfId="0" applyNumberFormat="1" applyFont="1" applyFill="1" applyBorder="1" applyAlignment="1">
      <x:alignment vertical="center" wrapText="1"/>
    </x:xf>
    <x:xf numFmtId="0" fontId="52" fillId="101" borderId="0" xfId="0" applyNumberFormat="1" applyFont="1" applyFill="1" applyBorder="1"/>
    <x:xf numFmtId="0" fontId="52" fillId="103" borderId="0" xfId="0" applyNumberFormat="1" applyFont="1" applyFill="1" applyBorder="1"/>
    <x:xf numFmtId="0" fontId="52" fillId="105" borderId="271" xfId="0" applyNumberFormat="1" applyFont="1" applyFill="1" applyBorder="1" applyAlignment="1">
      <x:alignment horizontal="center" vertical="center" wrapText="1"/>
    </x:xf>
    <x:xf numFmtId="0" fontId="52" fillId="105" borderId="272" xfId="0" applyNumberFormat="1" applyFont="1" applyFill="1" applyBorder="1" applyAlignment="1">
      <x:alignment horizontal="center" vertical="center" wrapText="1"/>
    </x:xf>
    <x:xf numFmtId="0" fontId="52" fillId="105" borderId="273" xfId="0" applyNumberFormat="1" applyFont="1" applyFill="1" applyBorder="1" applyAlignment="1">
      <x:alignment horizontal="center" vertical="center" wrapText="1"/>
    </x:xf>
    <x:xf numFmtId="0" fontId="52" fillId="106" borderId="271" xfId="0" applyNumberFormat="1" applyFont="1" applyFill="1" applyBorder="1" applyAlignment="1">
      <x:alignment horizontal="center" vertical="center" wrapText="1"/>
    </x:xf>
    <x:xf numFmtId="0" fontId="52" fillId="106" borderId="272" xfId="0" applyNumberFormat="1" applyFont="1" applyFill="1" applyBorder="1" applyAlignment="1">
      <x:alignment horizontal="center" vertical="center" wrapText="1"/>
    </x:xf>
    <x:xf numFmtId="0" fontId="52" fillId="106" borderId="273" xfId="0" applyNumberFormat="1" applyFont="1" applyFill="1" applyBorder="1" applyAlignment="1">
      <x:alignment horizontal="center" vertical="center" wrapText="1"/>
    </x:xf>
    <x:xf numFmtId="0" fontId="52" fillId="105" borderId="274" xfId="0" applyNumberFormat="1" applyFont="1" applyFill="1" applyBorder="1" applyAlignment="1">
      <x:alignment horizontal="center" vertical="center" wrapText="1"/>
    </x:xf>
    <x:xf numFmtId="0" fontId="52" fillId="105" xfId="0" applyNumberFormat="1" applyFont="1" applyFill="1" applyBorder="0" applyAlignment="1">
      <x:alignment horizontal="center" vertical="center" wrapText="1"/>
    </x:xf>
    <x:xf numFmtId="0" fontId="52" fillId="105" borderId="275" xfId="0" applyNumberFormat="1" applyFont="1" applyFill="1" applyBorder="1" applyAlignment="1">
      <x:alignment horizontal="center" vertical="center" wrapText="1"/>
    </x:xf>
    <x:xf numFmtId="0" fontId="52" fillId="106" borderId="274" xfId="0" applyNumberFormat="1" applyFont="1" applyFill="1" applyBorder="1" applyAlignment="1">
      <x:alignment horizontal="center" vertical="center" wrapText="1"/>
    </x:xf>
    <x:xf numFmtId="0" fontId="52" fillId="106" xfId="0" applyNumberFormat="1" applyFont="1" applyFill="1" applyBorder="0" applyAlignment="1">
      <x:alignment horizontal="center" vertical="center" wrapText="1"/>
    </x:xf>
    <x:xf numFmtId="0" fontId="52" fillId="106" borderId="275" xfId="0" applyNumberFormat="1" applyFont="1" applyFill="1" applyBorder="1" applyAlignment="1">
      <x:alignment horizontal="center" vertical="center" wrapText="1"/>
    </x:xf>
    <x:xf numFmtId="0" fontId="52" fillId="0" borderId="0" xfId="0" applyNumberFormat="1" applyFont="1" applyFill="1" applyBorder="1" applyAlignment="1">
      <x:alignment horizontal="center" vertical="center"/>
    </x:xf>
    <x:xf numFmtId="0" fontId="52" fillId="105" borderId="276" xfId="0" applyNumberFormat="1" applyFont="1" applyFill="1" applyBorder="1" applyAlignment="1">
      <x:alignment horizontal="center" vertical="center" wrapText="1"/>
    </x:xf>
    <x:xf numFmtId="0" fontId="52" fillId="105" borderId="277" xfId="0" applyNumberFormat="1" applyFont="1" applyFill="1" applyBorder="1" applyAlignment="1">
      <x:alignment horizontal="center" vertical="center" wrapText="1"/>
    </x:xf>
    <x:xf numFmtId="0" fontId="52" fillId="105" borderId="278" xfId="0" applyNumberFormat="1" applyFont="1" applyFill="1" applyBorder="1" applyAlignment="1">
      <x:alignment horizontal="center" vertical="center" wrapText="1"/>
    </x:xf>
    <x:xf numFmtId="0" fontId="52" fillId="106" borderId="276" xfId="0" applyNumberFormat="1" applyFont="1" applyFill="1" applyBorder="1" applyAlignment="1">
      <x:alignment horizontal="center" vertical="center" wrapText="1"/>
    </x:xf>
    <x:xf numFmtId="0" fontId="52" fillId="106" borderId="277" xfId="0" applyNumberFormat="1" applyFont="1" applyFill="1" applyBorder="1" applyAlignment="1">
      <x:alignment horizontal="center" vertical="center" wrapText="1"/>
    </x:xf>
    <x:xf numFmtId="0" fontId="52" fillId="106" borderId="278" xfId="0" applyNumberFormat="1" applyFont="1" applyFill="1" applyBorder="1" applyAlignment="1">
      <x:alignment horizontal="center" vertical="center" wrapText="1"/>
    </x:xf>
    <x:xf numFmtId="0" fontId="52" fillId="104" borderId="271" xfId="0" applyNumberFormat="1" applyFont="1" applyFill="1" applyBorder="1" applyAlignment="1">
      <x:alignment horizontal="center" vertical="center" wrapText="1"/>
    </x:xf>
    <x:xf numFmtId="0" fontId="52" fillId="104" borderId="272" xfId="0" applyNumberFormat="1" applyFont="1" applyFill="1" applyBorder="1" applyAlignment="1">
      <x:alignment horizontal="center" vertical="center" wrapText="1"/>
    </x:xf>
    <x:xf numFmtId="0" fontId="52" fillId="104" borderId="273" xfId="0" applyNumberFormat="1" applyFont="1" applyFill="1" applyBorder="1" applyAlignment="1">
      <x:alignment horizontal="center" vertical="center" wrapText="1"/>
    </x:xf>
    <x:xf numFmtId="0" fontId="52" fillId="104" borderId="274" xfId="0" applyNumberFormat="1" applyFont="1" applyFill="1" applyBorder="1" applyAlignment="1">
      <x:alignment horizontal="center" vertical="center" wrapText="1"/>
    </x:xf>
    <x:xf numFmtId="0" fontId="52" fillId="104" xfId="0" applyNumberFormat="1" applyFont="1" applyFill="1" applyBorder="0" applyAlignment="1">
      <x:alignment horizontal="center" vertical="center" wrapText="1"/>
    </x:xf>
    <x:xf numFmtId="0" fontId="52" fillId="104" borderId="275" xfId="0" applyNumberFormat="1" applyFont="1" applyFill="1" applyBorder="1" applyAlignment="1">
      <x:alignment horizontal="center" vertical="center" wrapText="1"/>
    </x:xf>
    <x:xf numFmtId="0" fontId="52" fillId="104" borderId="276" xfId="0" applyNumberFormat="1" applyFont="1" applyFill="1" applyBorder="1" applyAlignment="1">
      <x:alignment horizontal="center" vertical="center" wrapText="1"/>
    </x:xf>
    <x:xf numFmtId="0" fontId="52" fillId="104" borderId="277" xfId="0" applyNumberFormat="1" applyFont="1" applyFill="1" applyBorder="1" applyAlignment="1">
      <x:alignment horizontal="center" vertical="center" wrapText="1"/>
    </x:xf>
    <x:xf numFmtId="0" fontId="52" fillId="104" borderId="278" xfId="0" applyNumberFormat="1" applyFont="1" applyFill="1" applyBorder="1" applyAlignment="1">
      <x:alignment horizontal="center" vertical="center" wrapText="1"/>
    </x:xf>
    <x:xf numFmtId="0" fontId="52" fillId="0" borderId="0" xfId="0" applyNumberFormat="1" applyFont="1" applyFill="1" applyBorder="1" applyAlignment="1">
      <x:alignment horizontal="center"/>
    </x:xf>
    <x:xf numFmtId="0" fontId="52" fillId="101" borderId="279" xfId="0" applyNumberFormat="1" applyFont="1" applyFill="1" applyBorder="1" applyAlignment="1">
      <x:alignment horizontal="center" vertical="center" wrapText="1"/>
    </x:xf>
    <x:xf numFmtId="0" fontId="52" fillId="101" borderId="280" xfId="0" applyNumberFormat="1" applyFont="1" applyFill="1" applyBorder="1" applyAlignment="1">
      <x:alignment horizontal="center" vertical="center" wrapText="1"/>
    </x:xf>
    <x:xf numFmtId="0" fontId="52" fillId="101" borderId="281" xfId="0" applyNumberFormat="1" applyFont="1" applyFill="1" applyBorder="1" applyAlignment="1">
      <x:alignment horizontal="center" vertical="center" wrapText="1"/>
    </x:xf>
    <x:xf numFmtId="0" fontId="52" fillId="101" borderId="282" xfId="0" applyNumberFormat="1" applyFont="1" applyFill="1" applyBorder="1" applyAlignment="1">
      <x:alignment horizontal="center" vertical="center" wrapText="1"/>
    </x:xf>
    <x:xf numFmtId="0" fontId="52" fillId="101" xfId="0" applyNumberFormat="1" applyFont="1" applyFill="1" applyBorder="0" applyAlignment="1">
      <x:alignment horizontal="center" vertical="center" wrapText="1"/>
    </x:xf>
    <x:xf numFmtId="0" fontId="52" fillId="101" borderId="283" xfId="0" applyNumberFormat="1" applyFont="1" applyFill="1" applyBorder="1" applyAlignment="1">
      <x:alignment horizontal="center" vertical="center" wrapText="1"/>
    </x:xf>
    <x:xf numFmtId="0" fontId="52" fillId="101" borderId="284" xfId="0" applyNumberFormat="1" applyFont="1" applyFill="1" applyBorder="1" applyAlignment="1">
      <x:alignment horizontal="center" vertical="center" wrapText="1"/>
    </x:xf>
    <x:xf numFmtId="0" fontId="52" fillId="101" borderId="270" xfId="0" applyNumberFormat="1" applyFont="1" applyFill="1" applyBorder="1" applyAlignment="1">
      <x:alignment horizontal="center" vertical="center" wrapText="1"/>
    </x:xf>
    <x:xf numFmtId="0" fontId="52" fillId="101" borderId="285" xfId="0" applyNumberFormat="1" applyFont="1" applyFill="1" applyBorder="1" applyAlignment="1">
      <x:alignment horizontal="center" vertical="center" wrapText="1"/>
    </x:xf>
    <x:xf numFmtId="0" fontId="52" fillId="104" borderId="0" xfId="0" applyNumberFormat="1" applyFont="1" applyFill="1" applyBorder="1" applyAlignment="1">
      <x:alignment vertical="center" wrapText="1"/>
    </x:xf>
    <x:xf numFmtId="0" fontId="28" fillId="103" borderId="0" xfId="0" applyNumberFormat="1" applyFont="1" applyFill="1" applyBorder="1"/>
    <x:xf numFmtId="0" fontId="52" fillId="14" borderId="0" xfId="0" applyNumberFormat="1" applyFont="1" applyFill="1" applyBorder="1"/>
    <x:xf numFmtId="0" fontId="45" fillId="36" borderId="0" xfId="0" applyNumberFormat="1" applyFont="1" applyFill="1" applyBorder="1" applyAlignment="1">
      <x:alignment wrapText="1"/>
    </x:xf>
    <x:xf numFmtId="0" fontId="52" fillId="5" borderId="0" xfId="0" applyNumberFormat="1" applyFont="1" applyFill="1" applyBorder="1" applyAlignment="1">
      <x:alignment wrapText="1"/>
    </x:xf>
    <x:xf numFmtId="0" fontId="45" fillId="53" borderId="0" xfId="0" applyNumberFormat="1" applyFont="1" applyFill="1" applyBorder="1" applyAlignment="1">
      <x:alignment wrapText="1"/>
    </x:xf>
    <x:xf numFmtId="0" fontId="45" fillId="23" borderId="0" xfId="0" applyNumberFormat="1" applyFont="1" applyFill="1" applyBorder="1" applyAlignment="1">
      <x:alignment wrapText="1"/>
    </x:xf>
    <x:xf numFmtId="0" fontId="45" fillId="40" borderId="0" xfId="0" applyNumberFormat="1" applyFont="1" applyFill="1" applyBorder="1" applyAlignment="1">
      <x:alignment wrapText="1"/>
    </x:xf>
    <x:xf numFmtId="0" fontId="52" fillId="36" borderId="0" xfId="0" applyNumberFormat="1" applyFont="1" applyFill="1" applyBorder="1"/>
    <x:xf numFmtId="0" fontId="52" fillId="5" borderId="0" xfId="0" applyNumberFormat="1" applyFont="1" applyFill="1" applyBorder="1"/>
    <x:xf numFmtId="0" fontId="52" fillId="53" borderId="0" xfId="0" applyNumberFormat="1" applyFont="1" applyFill="1" applyBorder="1" applyAlignment="1">
      <x:alignment horizontal="center" vertical="center" wrapText="1"/>
    </x:xf>
    <x:xf numFmtId="0" fontId="52" fillId="35" borderId="0" xfId="0" applyNumberFormat="1" applyFont="1" applyFill="1" applyBorder="1" applyAlignment="1">
      <x:alignment horizontal="center" vertical="center" wrapText="1"/>
    </x:xf>
    <x:xf numFmtId="0" fontId="52" fillId="53" xfId="0" applyNumberFormat="1" applyFont="1" applyFill="1" applyBorder="0" applyAlignment="1">
      <x:alignment horizontal="center" vertical="center" wrapText="1"/>
    </x:xf>
    <x:xf numFmtId="0" fontId="52" fillId="35" xfId="0" applyNumberFormat="1" applyFont="1" applyFill="1" applyBorder="0" applyAlignment="1">
      <x:alignment horizontal="center" vertical="center" wrapText="1"/>
    </x:xf>
    <x:xf numFmtId="0" fontId="52" fillId="23" borderId="0" xfId="0" applyNumberFormat="1" applyFont="1" applyFill="1" applyBorder="1" applyAlignment="1">
      <x:alignment horizontal="center" vertical="center" wrapText="1"/>
    </x:xf>
    <x:xf numFmtId="0" fontId="52" fillId="23" xfId="0" applyNumberFormat="1" applyFont="1" applyFill="1" applyBorder="0" applyAlignment="1">
      <x:alignment horizontal="center" vertical="center" wrapText="1"/>
    </x:xf>
    <x:xf numFmtId="0" fontId="52" fillId="36" borderId="0" xfId="0" applyNumberFormat="1" applyFont="1" applyFill="1" applyBorder="1" applyAlignment="1">
      <x:alignment horizontal="center" vertical="center" wrapText="1"/>
    </x:xf>
    <x:xf numFmtId="0" fontId="52" fillId="36" xfId="0" applyNumberFormat="1" applyFont="1" applyFill="1" applyBorder="0" applyAlignment="1">
      <x:alignment horizontal="center" vertical="center" wrapText="1"/>
    </x:xf>
    <x:xf numFmtId="0" fontId="52" fillId="23" borderId="0" xfId="0" applyNumberFormat="1" applyFont="1" applyFill="1" applyBorder="1" applyAlignment="1">
      <x:alignment vertical="center" wrapText="1"/>
    </x:xf>
    <x:xf numFmtId="0" fontId="0" fillId="108" borderId="0" xfId="0" applyNumberFormat="1" applyFont="1" applyFill="1" applyBorder="1"/>
    <x:xf numFmtId="0" fontId="31" fillId="108" borderId="0" xfId="0" applyNumberFormat="1" applyFont="1" applyFill="1" applyBorder="1"/>
    <x:xf numFmtId="0" fontId="31" fillId="108" borderId="286" xfId="0" applyNumberFormat="1" applyFont="1" applyFill="1" applyBorder="1"/>
    <x:xf numFmtId="0" fontId="0" fillId="109" borderId="0" xfId="0" applyNumberFormat="1" applyFont="1" applyFill="1" applyBorder="1"/>
    <x:xf numFmtId="0" fontId="20" fillId="109" borderId="0" xfId="0" applyNumberFormat="1" applyFont="1" applyFill="1" applyBorder="1"/>
    <x:xf numFmtId="0" fontId="20" fillId="109" borderId="0" xfId="0" applyNumberFormat="1" applyFont="1" applyFill="1" applyBorder="1" applyAlignment="1">
      <x:alignment wrapText="1"/>
    </x:xf>
    <x:xf numFmtId="0" fontId="0" fillId="110" borderId="0" xfId="0" applyNumberFormat="1" applyFont="1" applyFill="1" applyBorder="1"/>
    <x:xf numFmtId="0" fontId="37" fillId="110" borderId="0" xfId="0" applyNumberFormat="1" applyFont="1" applyFill="1" applyBorder="1"/>
    <x:xf numFmtId="0" fontId="37" fillId="110" borderId="0" xfId="0" applyNumberFormat="1" applyFont="1" applyFill="1" applyBorder="1" applyAlignment="1">
      <x:alignment wrapText="1"/>
    </x:xf>
    <x:xf numFmtId="0" fontId="0" fillId="111" borderId="0" xfId="0" applyNumberFormat="1" applyFont="1" applyFill="1" applyBorder="1" applyAlignment="1">
      <x:alignment wrapText="1"/>
    </x:xf>
    <x:xf numFmtId="0" fontId="21" fillId="110" borderId="0" xfId="0" applyNumberFormat="1" applyFont="1" applyFill="1" applyBorder="1"/>
    <x:xf numFmtId="0" fontId="0" fillId="112" borderId="0" xfId="0" applyNumberFormat="1" applyFont="1" applyFill="1" applyBorder="1"/>
    <x:xf numFmtId="0" fontId="35" fillId="112" borderId="0" xfId="0" applyNumberFormat="1" applyFont="1" applyFill="1" applyBorder="1"/>
    <x:xf numFmtId="0" fontId="35" fillId="112" borderId="0" xfId="0" applyNumberFormat="1" applyFont="1" applyFill="1" applyBorder="1" applyAlignment="1">
      <x:alignment wrapText="1"/>
    </x:xf>
    <x:xf numFmtId="0" fontId="35" fillId="112" borderId="0" xfId="0" applyNumberFormat="1" applyFont="1" applyFill="1" applyBorder="1" applyAlignment="1">
      <x:alignment vertical="top" wrapText="1"/>
    </x:xf>
    <x:xf numFmtId="0" fontId="30" fillId="109" borderId="0" xfId="0" applyNumberFormat="1" applyFont="1" applyFill="1" applyBorder="1"/>
    <x:xf numFmtId="0" fontId="30" fillId="109" borderId="0" xfId="0" applyNumberFormat="1" applyFont="1" applyFill="1" applyBorder="1" applyAlignment="1">
      <x:alignment wrapText="1"/>
    </x:xf>
    <x:xf numFmtId="0" fontId="0" fillId="113" borderId="0" xfId="0" applyNumberFormat="1" applyFont="1" applyFill="1" applyBorder="1"/>
    <x:xf numFmtId="0" fontId="30" fillId="113" borderId="0" xfId="0" applyNumberFormat="1" applyFont="1" applyFill="1" applyBorder="1"/>
    <x:xf numFmtId="0" fontId="30" fillId="113" borderId="0" xfId="0" applyNumberFormat="1" applyFont="1" applyFill="1" applyBorder="1" applyAlignment="1">
      <x:alignment wrapText="1"/>
    </x:xf>
    <x:xf numFmtId="0" fontId="0" fillId="114" borderId="0" xfId="0" applyNumberFormat="1" applyFont="1" applyFill="1" applyBorder="1"/>
    <x:xf numFmtId="0" fontId="31" fillId="114" borderId="0" xfId="0" applyNumberFormat="1" applyFont="1" applyFill="1" applyBorder="1"/>
    <x:xf numFmtId="0" fontId="31" fillId="114" borderId="287" xfId="0" applyNumberFormat="1" applyFont="1" applyFill="1" applyBorder="1"/>
    <x:xf numFmtId="0" fontId="20" fillId="113" borderId="0" xfId="0" applyNumberFormat="1" applyFont="1" applyFill="1" applyBorder="1"/>
    <x:xf numFmtId="0" fontId="20" fillId="113" borderId="0" xfId="0" applyNumberFormat="1" applyFont="1" applyFill="1" applyBorder="1" applyAlignment="1">
      <x:alignment wrapText="1"/>
    </x:xf>
    <x:xf numFmtId="0" fontId="0" fillId="115" borderId="0" xfId="0" applyNumberFormat="1" applyFont="1" applyFill="1" applyBorder="1"/>
    <x:xf numFmtId="0" fontId="37" fillId="115" borderId="0" xfId="0" applyNumberFormat="1" applyFont="1" applyFill="1" applyBorder="1"/>
    <x:xf numFmtId="0" fontId="37" fillId="115" borderId="0" xfId="0" applyNumberFormat="1" applyFont="1" applyFill="1" applyBorder="1" applyAlignment="1">
      <x:alignment wrapText="1"/>
    </x:xf>
    <x:xf numFmtId="0" fontId="0" fillId="116" borderId="0" xfId="0" applyNumberFormat="1" applyFont="1" applyFill="1" applyBorder="1" applyAlignment="1">
      <x:alignment wrapText="1"/>
    </x:xf>
    <x:xf numFmtId="0" fontId="0" fillId="117" borderId="0" xfId="0" applyNumberFormat="1" applyFont="1" applyFill="1" applyBorder="1" applyAlignment="1">
      <x:alignment wrapText="1"/>
    </x:xf>
    <x:xf numFmtId="0" fontId="21" fillId="115" borderId="0" xfId="0" applyNumberFormat="1" applyFont="1" applyFill="1" applyBorder="1"/>
    <x:xf numFmtId="0" fontId="0" fillId="117" borderId="0" xfId="0" applyNumberFormat="1" applyFont="1" applyFill="1" applyBorder="1"/>
    <x:xf numFmtId="0" fontId="32" fillId="117" borderId="0" xfId="0" applyNumberFormat="1" applyFont="1" applyFill="1" applyBorder="1"/>
    <x:xf numFmtId="0" fontId="32" fillId="117" borderId="0" xfId="0" applyNumberFormat="1" applyFont="1" applyFill="1" applyBorder="1" applyAlignment="1">
      <x:alignment wrapText="1"/>
    </x:xf>
    <x:xf numFmtId="0" fontId="32" fillId="117" borderId="0" xfId="0" applyNumberFormat="1" applyFont="1" applyFill="1" applyBorder="1" applyAlignment="1">
      <x:alignment vertical="center" wrapText="1"/>
    </x:xf>
    <x:xf numFmtId="0" fontId="34" fillId="113" borderId="0" xfId="0" applyNumberFormat="1" applyFont="1" applyFill="1" applyBorder="1"/>
    <x:xf numFmtId="0" fontId="34" fillId="113" borderId="0" xfId="0" applyNumberFormat="1" applyFont="1" applyFill="1" applyBorder="1" applyAlignment="1">
      <x:alignment wrapText="1"/>
    </x:xf>
    <x:xf numFmtId="0" fontId="0" fillId="113" borderId="0" xfId="0" applyNumberFormat="1" applyFont="1" applyFill="1" applyBorder="1" applyAlignment="1">
      <x:alignment wrapText="1"/>
    </x:xf>
    <x:xf numFmtId="0" fontId="0" fillId="118" borderId="0" xfId="0" applyNumberFormat="1" applyFont="1" applyFill="1" applyBorder="1" applyAlignment="1">
      <x:alignment wrapText="1"/>
    </x:xf>
    <x:xf numFmtId="0" fontId="0" fillId="119" borderId="0" xfId="0" applyNumberFormat="1" applyFont="1" applyFill="1" applyBorder="1"/>
    <x:xf numFmtId="0" fontId="34" fillId="119" borderId="0" xfId="0" applyNumberFormat="1" applyFont="1" applyFill="1" applyBorder="1"/>
    <x:xf numFmtId="0" fontId="34" fillId="119" borderId="0" xfId="0" applyNumberFormat="1" applyFont="1" applyFill="1" applyBorder="1" applyAlignment="1">
      <x:alignment wrapText="1"/>
    </x:xf>
    <x:xf numFmtId="0" fontId="33" fillId="113" borderId="0" xfId="0" applyNumberFormat="1" applyFont="1" applyFill="1" applyBorder="1"/>
    <x:xf numFmtId="0" fontId="35" fillId="117" borderId="0" xfId="0" applyNumberFormat="1" applyFont="1" applyFill="1" applyBorder="1"/>
    <x:xf numFmtId="0" fontId="35" fillId="117" borderId="0" xfId="0" applyNumberFormat="1" applyFont="1" applyFill="1" applyBorder="1" applyAlignment="1">
      <x:alignment wrapText="1"/>
    </x:xf>
    <x:xf numFmtId="0" fontId="35" fillId="117" borderId="0" xfId="0" applyNumberFormat="1" applyFont="1" applyFill="1" applyBorder="1" applyAlignment="1">
      <x:alignment vertical="center" wrapText="1"/>
    </x:xf>
    <x:xf numFmtId="0" fontId="52" fillId="114" borderId="287" xfId="0" applyNumberFormat="1" applyFont="1" applyFill="1" applyBorder="1"/>
    <x:xf numFmtId="0" fontId="45" fillId="113" borderId="0" xfId="0" applyNumberFormat="1" applyFont="1" applyFill="1" applyBorder="1" applyAlignment="1">
      <x:alignment wrapText="1"/>
    </x:xf>
    <x:xf numFmtId="0" fontId="52" fillId="115" borderId="0" xfId="0" applyNumberFormat="1" applyFont="1" applyFill="1" applyBorder="1"/>
    <x:xf numFmtId="0" fontId="52" fillId="117" borderId="0" xfId="0" applyNumberFormat="1" applyFont="1" applyFill="1" applyBorder="1" applyAlignment="1">
      <x:alignment vertical="center" wrapText="1"/>
    </x:xf>
    <x:xf numFmtId="0" fontId="52" fillId="113" borderId="0" xfId="0" applyNumberFormat="1" applyFont="1" applyFill="1" applyBorder="1" applyAlignment="1">
      <x:alignment wrapText="1"/>
    </x:xf>
    <x:xf numFmtId="0" fontId="45" fillId="116" borderId="0" xfId="0" applyNumberFormat="1" applyFont="1" applyFill="1" applyBorder="1" applyAlignment="1">
      <x:alignment wrapText="1"/>
    </x:xf>
    <x:xf numFmtId="0" fontId="45" fillId="118" borderId="0" xfId="0" applyNumberFormat="1" applyFont="1" applyFill="1" applyBorder="1" applyAlignment="1">
      <x:alignment wrapText="1"/>
    </x:xf>
    <x:xf numFmtId="0" fontId="52" fillId="115" borderId="0" xfId="0" applyNumberFormat="1" applyFont="1" applyFill="1" applyBorder="1" applyAlignment="1">
      <x:alignment wrapText="1"/>
    </x:xf>
    <x:xf numFmtId="0" fontId="52" fillId="119" borderId="0" xfId="0" applyNumberFormat="1" applyFont="1" applyFill="1" applyBorder="1" applyAlignment="1">
      <x:alignment wrapText="1"/>
    </x:xf>
    <x:xf numFmtId="0" fontId="52" fillId="113" borderId="0" xfId="0" applyNumberFormat="1" applyFont="1" applyFill="1" applyBorder="1"/>
    <x:xf numFmtId="0" fontId="45" fillId="117" borderId="0" xfId="0" applyNumberFormat="1" applyFont="1" applyFill="1" applyBorder="1" applyAlignment="1">
      <x:alignment vertical="center" wrapText="1"/>
    </x:xf>
    <x:xf numFmtId="0" fontId="0" fillId="119" borderId="0" xfId="0" applyNumberFormat="1" applyFont="1" applyFill="1" applyBorder="1" applyAlignment="1">
      <x:alignment wrapText="1"/>
    </x:xf>
    <x:xf numFmtId="0" fontId="45" fillId="119" borderId="0" xfId="0" applyNumberFormat="1" applyFont="1" applyFill="1" applyBorder="1" applyAlignment="1">
      <x:alignment wrapText="1"/>
    </x:xf>
    <x:xf numFmtId="0" fontId="34" fillId="40" borderId="0" xfId="0" applyNumberFormat="1" applyFont="1" applyFill="1" applyBorder="1"/>
    <x:xf numFmtId="0" fontId="34" fillId="40" borderId="0" xfId="0" applyNumberFormat="1" applyFont="1" applyFill="1" applyBorder="1" applyAlignment="1">
      <x:alignment wrapText="1"/>
    </x:xf>
    <x:xf numFmtId="0" fontId="52" fillId="36" borderId="0" xfId="0" applyNumberFormat="1" applyFont="1" applyFill="1" applyBorder="1" applyAlignment="1">
      <x:alignment wrapText="1"/>
    </x:xf>
    <x:xf numFmtId="0" fontId="52" fillId="40" borderId="0" xfId="0" applyNumberFormat="1" applyFont="1" applyFill="1" applyBorder="1" applyAlignment="1">
      <x:alignment wrapText="1"/>
    </x:xf>
    <x:xf numFmtId="0" fontId="45" fillId="23" borderId="0" xfId="0" applyNumberFormat="1" applyFont="1" applyFill="1" applyBorder="1" applyAlignment="1">
      <x:alignment vertical="center" wrapText="1"/>
    </x:xf>
    <x:xf numFmtId="0" fontId="0" fillId="120" borderId="0" xfId="0" applyNumberFormat="1" applyFont="1" applyFill="1" applyBorder="1"/>
    <x:xf numFmtId="0" fontId="30" fillId="120" borderId="0" xfId="0" applyNumberFormat="1" applyFont="1" applyFill="1" applyBorder="1"/>
    <x:xf numFmtId="0" fontId="30" fillId="120" borderId="0" xfId="0" applyNumberFormat="1" applyFont="1" applyFill="1" applyBorder="1" applyAlignment="1">
      <x:alignment wrapText="1"/>
    </x:xf>
    <x:xf numFmtId="0" fontId="0" fillId="121" borderId="0" xfId="0" applyNumberFormat="1" applyFont="1" applyFill="1" applyBorder="1"/>
    <x:xf numFmtId="0" fontId="31" fillId="121" borderId="0" xfId="0" applyNumberFormat="1" applyFont="1" applyFill="1" applyBorder="1"/>
    <x:xf numFmtId="0" fontId="31" fillId="121" borderId="288" xfId="0" applyNumberFormat="1" applyFont="1" applyFill="1" applyBorder="1"/>
    <x:xf numFmtId="0" fontId="20" fillId="120" borderId="0" xfId="0" applyNumberFormat="1" applyFont="1" applyFill="1" applyBorder="1"/>
    <x:xf numFmtId="0" fontId="20" fillId="120" borderId="0" xfId="0" applyNumberFormat="1" applyFont="1" applyFill="1" applyBorder="1" applyAlignment="1">
      <x:alignment wrapText="1"/>
    </x:xf>
    <x:xf numFmtId="0" fontId="0" fillId="122" borderId="0" xfId="0" applyNumberFormat="1" applyFont="1" applyFill="1" applyBorder="1"/>
    <x:xf numFmtId="0" fontId="37" fillId="122" borderId="0" xfId="0" applyNumberFormat="1" applyFont="1" applyFill="1" applyBorder="1"/>
    <x:xf numFmtId="0" fontId="37" fillId="122" borderId="0" xfId="0" applyNumberFormat="1" applyFont="1" applyFill="1" applyBorder="1" applyAlignment="1">
      <x:alignment wrapText="1"/>
    </x:xf>
    <x:xf numFmtId="0" fontId="52" fillId="121" borderId="288" xfId="0" applyNumberFormat="1" applyFont="1" applyFill="1" applyBorder="1"/>
    <x:xf numFmtId="0" fontId="45" fillId="120" borderId="0" xfId="0" applyNumberFormat="1" applyFont="1" applyFill="1" applyBorder="1" applyAlignment="1">
      <x:alignment wrapText="1"/>
    </x:xf>
    <x:xf numFmtId="0" fontId="52" fillId="122" borderId="0" xfId="0" applyNumberFormat="1" applyFont="1" applyFill="1" applyBorder="1" applyAlignment="1">
      <x:alignment wrapText="1"/>
    </x:xf>
    <x:xf numFmtId="0" fontId="45" fillId="123" borderId="0" xfId="0" applyNumberFormat="1" applyFont="1" applyFill="1" applyBorder="1" applyAlignment="1">
      <x:alignment wrapText="1"/>
    </x:xf>
    <x:xf numFmtId="0" fontId="45" fillId="124" borderId="0" xfId="0" applyNumberFormat="1" applyFont="1" applyFill="1" applyBorder="1" applyAlignment="1">
      <x:alignment wrapText="1"/>
    </x:xf>
    <x:xf numFmtId="0" fontId="45" fillId="125" borderId="0" xfId="0" applyNumberFormat="1" applyFont="1" applyFill="1" applyBorder="1" applyAlignment="1">
      <x:alignment wrapText="1"/>
    </x:xf>
    <x:xf numFmtId="0" fontId="45" fillId="126" borderId="0" xfId="0" applyNumberFormat="1" applyFont="1" applyFill="1" applyBorder="1" applyAlignment="1">
      <x:alignment wrapText="1"/>
    </x:xf>
    <x:xf numFmtId="0" fontId="0" fillId="124" borderId="0" xfId="0" applyNumberFormat="1" applyFont="1" applyFill="1" applyBorder="1" applyAlignment="1">
      <x:alignment wrapText="1"/>
    </x:xf>
    <x:xf numFmtId="0" fontId="0" fillId="126" borderId="0" xfId="0" applyNumberFormat="1" applyFont="1" applyFill="1" applyBorder="1" applyAlignment="1">
      <x:alignment wrapText="1"/>
    </x:xf>
    <x:xf numFmtId="0" fontId="0" fillId="125" borderId="0" xfId="0" applyNumberFormat="1" applyFont="1" applyFill="1" applyBorder="1" applyAlignment="1">
      <x:alignment wrapText="1"/>
    </x:xf>
    <x:xf numFmtId="0" fontId="0" fillId="123" borderId="0" xfId="0" applyNumberFormat="1" applyFont="1" applyFill="1" applyBorder="1" applyAlignment="1">
      <x:alignment wrapText="1"/>
    </x:xf>
    <x:xf numFmtId="0" fontId="21" fillId="122" borderId="0" xfId="0" applyNumberFormat="1" applyFont="1" applyFill="1" applyBorder="1"/>
    <x:xf numFmtId="0" fontId="40" fillId="121" borderId="288" xfId="0" applyNumberFormat="1" applyFont="1" applyFill="1" applyBorder="1"/>
    <x:xf numFmtId="0" fontId="41" fillId="120" borderId="0" xfId="0" applyNumberFormat="1" applyFont="1" applyFill="1" applyBorder="1" applyAlignment="1">
      <x:alignment wrapText="1"/>
    </x:xf>
    <x:xf numFmtId="0" fontId="40" fillId="122" borderId="0" xfId="0" applyNumberFormat="1" applyFont="1" applyFill="1" applyBorder="1" applyAlignment="1">
      <x:alignment wrapText="1"/>
    </x:xf>
    <x:xf numFmtId="0" fontId="41" fillId="126" borderId="0" xfId="0" applyNumberFormat="1" applyFont="1" applyFill="1" applyBorder="1" applyAlignment="1">
      <x:alignment wrapText="1"/>
    </x:xf>
    <x:xf numFmtId="0" fontId="41" fillId="125" borderId="0" xfId="0" applyNumberFormat="1" applyFont="1" applyFill="1" applyBorder="1" applyAlignment="1">
      <x:alignment wrapText="1"/>
    </x:xf>
    <x:xf numFmtId="0" fontId="41" fillId="123" borderId="0" xfId="0" applyNumberFormat="1" applyFont="1" applyFill="1" applyBorder="1" applyAlignment="1">
      <x:alignment wrapText="1"/>
    </x:xf>
    <x:xf numFmtId="0" fontId="41" fillId="124" borderId="0" xfId="0" applyNumberFormat="1" applyFont="1" applyFill="1" applyBorder="1" applyAlignment="1">
      <x:alignment wrapText="1"/>
    </x:xf>
    <x:xf numFmtId="0" fontId="40" fillId="122" borderId="0" xfId="0" applyNumberFormat="1" applyFont="1" applyFill="1" applyBorder="1"/>
    <x:xf numFmtId="0" fontId="34" fillId="120" borderId="0" xfId="0" applyNumberFormat="1" applyFont="1" applyFill="1" applyBorder="1"/>
    <x:xf numFmtId="0" fontId="34" fillId="120" borderId="0" xfId="0" applyNumberFormat="1" applyFont="1" applyFill="1" applyBorder="1" applyAlignment="1">
      <x:alignment wrapText="1"/>
    </x:xf>
    <x:xf numFmtId="0" fontId="0" fillId="123" borderId="0" xfId="0" applyNumberFormat="1" applyFont="1" applyFill="1" applyBorder="1"/>
    <x:xf numFmtId="0" fontId="32" fillId="123" borderId="0" xfId="0" applyNumberFormat="1" applyFont="1" applyFill="1" applyBorder="1"/>
    <x:xf numFmtId="0" fontId="32" fillId="123" borderId="0" xfId="0" applyNumberFormat="1" applyFont="1" applyFill="1" applyBorder="1" applyAlignment="1">
      <x:alignment wrapText="1"/>
    </x:xf>
    <x:xf numFmtId="0" fontId="32" fillId="123" borderId="0" xfId="0" applyNumberFormat="1" applyFont="1" applyFill="1" applyBorder="1" applyAlignment="1">
      <x:alignment vertical="center" wrapText="1"/>
    </x:xf>
    <x:xf numFmtId="0" fontId="40" fillId="120" borderId="0" xfId="0" applyNumberFormat="1" applyFont="1" applyFill="1" applyBorder="1" applyAlignment="1">
      <x:alignment wrapText="1"/>
    </x:xf>
    <x:xf numFmtId="0" fontId="40" fillId="123" borderId="0" xfId="0" applyNumberFormat="1" applyFont="1" applyFill="1" applyBorder="1" applyAlignment="1">
      <x:alignment vertical="center" wrapText="1"/>
    </x:xf>
    <x:xf numFmtId="0" fontId="49" fillId="121" borderId="0" xfId="0" applyNumberFormat="1" applyFont="1" applyFill="1" applyBorder="1"/>
    <x:xf numFmtId="0" fontId="49" fillId="121" borderId="288" xfId="0" applyNumberFormat="1" applyFont="1" applyFill="1" applyBorder="1"/>
    <x:xf numFmtId="0" fontId="50" fillId="120" borderId="0" xfId="0" applyNumberFormat="1" applyFont="1" applyFill="1" applyBorder="1"/>
    <x:xf numFmtId="0" fontId="0" fillId="124" borderId="0" xfId="0" applyNumberFormat="1" applyFont="1" applyFill="1" applyBorder="1"/>
    <x:xf numFmtId="0" fontId="32" fillId="124" borderId="0" xfId="0" applyNumberFormat="1" applyFont="1" applyFill="1" applyBorder="1"/>
    <x:xf numFmtId="0" fontId="32" fillId="124" borderId="289" xfId="0" applyNumberFormat="1" applyFont="1" applyFill="1" applyBorder="1"/>
    <x:xf numFmtId="0" fontId="32" fillId="124" borderId="290" xfId="0" applyNumberFormat="1" applyFont="1" applyFill="1" applyBorder="1"/>
    <x:xf numFmtId="0" fontId="32" fillId="124" borderId="291" xfId="0" applyNumberFormat="1" applyFont="1" applyFill="1" applyBorder="1"/>
    <x:xf numFmtId="0" fontId="32" fillId="124" borderId="292" xfId="0" applyNumberFormat="1" applyFont="1" applyFill="1" applyBorder="1"/>
    <x:xf numFmtId="0" fontId="32" fillId="124" xfId="0" applyNumberFormat="1" applyFont="1" applyFill="1" applyBorder="0"/>
    <x:xf numFmtId="0" fontId="32" fillId="124" borderId="293" xfId="0" applyNumberFormat="1" applyFont="1" applyFill="1" applyBorder="1"/>
    <x:xf numFmtId="0" fontId="32" fillId="124" borderId="294" xfId="0" applyNumberFormat="1" applyFont="1" applyFill="1" applyBorder="1"/>
    <x:xf numFmtId="0" fontId="32" fillId="124" borderId="295" xfId="0" applyNumberFormat="1" applyFont="1" applyFill="1" applyBorder="1"/>
    <x:xf numFmtId="0" fontId="32" fillId="124" borderId="296" xfId="0" applyNumberFormat="1" applyFont="1" applyFill="1" applyBorder="1"/>
    <x:xf numFmtId="0" fontId="32" fillId="124" borderId="289" xfId="0" applyNumberFormat="1" applyFont="1" applyFill="1" applyBorder="1" applyAlignment="1">
      <x:alignment wrapText="1"/>
    </x:xf>
    <x:xf numFmtId="0" fontId="32" fillId="124" borderId="290" xfId="0" applyNumberFormat="1" applyFont="1" applyFill="1" applyBorder="1" applyAlignment="1">
      <x:alignment wrapText="1"/>
    </x:xf>
    <x:xf numFmtId="0" fontId="32" fillId="124" borderId="291" xfId="0" applyNumberFormat="1" applyFont="1" applyFill="1" applyBorder="1" applyAlignment="1">
      <x:alignment wrapText="1"/>
    </x:xf>
    <x:xf numFmtId="0" fontId="32" fillId="124" borderId="292" xfId="0" applyNumberFormat="1" applyFont="1" applyFill="1" applyBorder="1" applyAlignment="1">
      <x:alignment wrapText="1"/>
    </x:xf>
    <x:xf numFmtId="0" fontId="32" fillId="124" xfId="0" applyNumberFormat="1" applyFont="1" applyFill="1" applyBorder="0" applyAlignment="1">
      <x:alignment wrapText="1"/>
    </x:xf>
    <x:xf numFmtId="0" fontId="32" fillId="124" borderId="293" xfId="0" applyNumberFormat="1" applyFont="1" applyFill="1" applyBorder="1" applyAlignment="1">
      <x:alignment wrapText="1"/>
    </x:xf>
    <x:xf numFmtId="0" fontId="32" fillId="124" borderId="294" xfId="0" applyNumberFormat="1" applyFont="1" applyFill="1" applyBorder="1" applyAlignment="1">
      <x:alignment wrapText="1"/>
    </x:xf>
    <x:xf numFmtId="0" fontId="32" fillId="124" borderId="295" xfId="0" applyNumberFormat="1" applyFont="1" applyFill="1" applyBorder="1" applyAlignment="1">
      <x:alignment wrapText="1"/>
    </x:xf>
    <x:xf numFmtId="0" fontId="32" fillId="124" borderId="296" xfId="0" applyNumberFormat="1" applyFont="1" applyFill="1" applyBorder="1" applyAlignment="1">
      <x:alignment wrapText="1"/>
    </x:xf>
    <x:xf numFmtId="0" fontId="32" fillId="124" borderId="289" xfId="0" applyNumberFormat="1" applyFont="1" applyFill="1" applyBorder="1" applyAlignment="1">
      <x:alignment horizontal="center" wrapText="1"/>
    </x:xf>
    <x:xf numFmtId="0" fontId="32" fillId="124" borderId="290" xfId="0" applyNumberFormat="1" applyFont="1" applyFill="1" applyBorder="1" applyAlignment="1">
      <x:alignment horizontal="center" wrapText="1"/>
    </x:xf>
    <x:xf numFmtId="0" fontId="32" fillId="124" borderId="291" xfId="0" applyNumberFormat="1" applyFont="1" applyFill="1" applyBorder="1" applyAlignment="1">
      <x:alignment horizontal="center" wrapText="1"/>
    </x:xf>
    <x:xf numFmtId="0" fontId="32" fillId="124" borderId="292" xfId="0" applyNumberFormat="1" applyFont="1" applyFill="1" applyBorder="1" applyAlignment="1">
      <x:alignment horizontal="center" wrapText="1"/>
    </x:xf>
    <x:xf numFmtId="0" fontId="32" fillId="124" xfId="0" applyNumberFormat="1" applyFont="1" applyFill="1" applyBorder="0" applyAlignment="1">
      <x:alignment horizontal="center" wrapText="1"/>
    </x:xf>
    <x:xf numFmtId="0" fontId="32" fillId="124" borderId="293" xfId="0" applyNumberFormat="1" applyFont="1" applyFill="1" applyBorder="1" applyAlignment="1">
      <x:alignment horizontal="center" wrapText="1"/>
    </x:xf>
    <x:xf numFmtId="0" fontId="32" fillId="124" borderId="294" xfId="0" applyNumberFormat="1" applyFont="1" applyFill="1" applyBorder="1" applyAlignment="1">
      <x:alignment horizontal="center" wrapText="1"/>
    </x:xf>
    <x:xf numFmtId="0" fontId="32" fillId="124" borderId="295" xfId="0" applyNumberFormat="1" applyFont="1" applyFill="1" applyBorder="1" applyAlignment="1">
      <x:alignment horizontal="center" wrapText="1"/>
    </x:xf>
    <x:xf numFmtId="0" fontId="32" fillId="124" borderId="296" xfId="0" applyNumberFormat="1" applyFont="1" applyFill="1" applyBorder="1" applyAlignment="1">
      <x:alignment horizontal="center" wrapText="1"/>
    </x:xf>
    <x:xf numFmtId="0" fontId="32" fillId="124" borderId="289" xfId="0" applyNumberFormat="1" applyFont="1" applyFill="1" applyBorder="1" applyAlignment="1">
      <x:alignment horizontal="center" vertical="center" wrapText="1"/>
    </x:xf>
    <x:xf numFmtId="0" fontId="32" fillId="124" borderId="290" xfId="0" applyNumberFormat="1" applyFont="1" applyFill="1" applyBorder="1" applyAlignment="1">
      <x:alignment horizontal="center" vertical="center" wrapText="1"/>
    </x:xf>
    <x:xf numFmtId="0" fontId="32" fillId="124" borderId="291" xfId="0" applyNumberFormat="1" applyFont="1" applyFill="1" applyBorder="1" applyAlignment="1">
      <x:alignment horizontal="center" vertical="center" wrapText="1"/>
    </x:xf>
    <x:xf numFmtId="0" fontId="32" fillId="124" borderId="292" xfId="0" applyNumberFormat="1" applyFont="1" applyFill="1" applyBorder="1" applyAlignment="1">
      <x:alignment horizontal="center" vertical="center" wrapText="1"/>
    </x:xf>
    <x:xf numFmtId="0" fontId="32" fillId="124" xfId="0" applyNumberFormat="1" applyFont="1" applyFill="1" applyBorder="0" applyAlignment="1">
      <x:alignment horizontal="center" vertical="center" wrapText="1"/>
    </x:xf>
    <x:xf numFmtId="0" fontId="32" fillId="124" borderId="293" xfId="0" applyNumberFormat="1" applyFont="1" applyFill="1" applyBorder="1" applyAlignment="1">
      <x:alignment horizontal="center" vertical="center" wrapText="1"/>
    </x:xf>
    <x:xf numFmtId="0" fontId="32" fillId="124" borderId="294" xfId="0" applyNumberFormat="1" applyFont="1" applyFill="1" applyBorder="1" applyAlignment="1">
      <x:alignment horizontal="center" vertical="center" wrapText="1"/>
    </x:xf>
    <x:xf numFmtId="0" fontId="32" fillId="124" borderId="295" xfId="0" applyNumberFormat="1" applyFont="1" applyFill="1" applyBorder="1" applyAlignment="1">
      <x:alignment horizontal="center" vertical="center" wrapText="1"/>
    </x:xf>
    <x:xf numFmtId="0" fontId="32" fillId="124" borderId="296" xfId="0" applyNumberFormat="1" applyFont="1" applyFill="1" applyBorder="1" applyAlignment="1">
      <x:alignment horizontal="center" vertical="center" wrapText="1"/>
    </x:xf>
    <x:xf numFmtId="0" fontId="0" fillId="125" borderId="0" xfId="0" applyNumberFormat="1" applyFont="1" applyFill="1" applyBorder="1"/>
    <x:xf numFmtId="0" fontId="32" fillId="125" borderId="0" xfId="0" applyNumberFormat="1" applyFont="1" applyFill="1" applyBorder="1"/>
    <x:xf numFmtId="0" fontId="32" fillId="125" borderId="289" xfId="0" applyNumberFormat="1" applyFont="1" applyFill="1" applyBorder="1"/>
    <x:xf numFmtId="0" fontId="32" fillId="125" borderId="290" xfId="0" applyNumberFormat="1" applyFont="1" applyFill="1" applyBorder="1"/>
    <x:xf numFmtId="0" fontId="32" fillId="125" borderId="291" xfId="0" applyNumberFormat="1" applyFont="1" applyFill="1" applyBorder="1"/>
    <x:xf numFmtId="0" fontId="32" fillId="125" borderId="292" xfId="0" applyNumberFormat="1" applyFont="1" applyFill="1" applyBorder="1"/>
    <x:xf numFmtId="0" fontId="32" fillId="125" xfId="0" applyNumberFormat="1" applyFont="1" applyFill="1" applyBorder="0"/>
    <x:xf numFmtId="0" fontId="32" fillId="125" borderId="293" xfId="0" applyNumberFormat="1" applyFont="1" applyFill="1" applyBorder="1"/>
    <x:xf numFmtId="0" fontId="32" fillId="125" borderId="294" xfId="0" applyNumberFormat="1" applyFont="1" applyFill="1" applyBorder="1"/>
    <x:xf numFmtId="0" fontId="32" fillId="125" borderId="295" xfId="0" applyNumberFormat="1" applyFont="1" applyFill="1" applyBorder="1"/>
    <x:xf numFmtId="0" fontId="32" fillId="125" borderId="296" xfId="0" applyNumberFormat="1" applyFont="1" applyFill="1" applyBorder="1"/>
    <x:xf numFmtId="0" fontId="32" fillId="125" borderId="289" xfId="0" applyNumberFormat="1" applyFont="1" applyFill="1" applyBorder="1" applyAlignment="1">
      <x:alignment wrapText="1"/>
    </x:xf>
    <x:xf numFmtId="0" fontId="32" fillId="125" borderId="290" xfId="0" applyNumberFormat="1" applyFont="1" applyFill="1" applyBorder="1" applyAlignment="1">
      <x:alignment wrapText="1"/>
    </x:xf>
    <x:xf numFmtId="0" fontId="32" fillId="125" borderId="291" xfId="0" applyNumberFormat="1" applyFont="1" applyFill="1" applyBorder="1" applyAlignment="1">
      <x:alignment wrapText="1"/>
    </x:xf>
    <x:xf numFmtId="0" fontId="32" fillId="125" borderId="292" xfId="0" applyNumberFormat="1" applyFont="1" applyFill="1" applyBorder="1" applyAlignment="1">
      <x:alignment wrapText="1"/>
    </x:xf>
    <x:xf numFmtId="0" fontId="32" fillId="125" xfId="0" applyNumberFormat="1" applyFont="1" applyFill="1" applyBorder="0" applyAlignment="1">
      <x:alignment wrapText="1"/>
    </x:xf>
    <x:xf numFmtId="0" fontId="32" fillId="125" borderId="293" xfId="0" applyNumberFormat="1" applyFont="1" applyFill="1" applyBorder="1" applyAlignment="1">
      <x:alignment wrapText="1"/>
    </x:xf>
    <x:xf numFmtId="0" fontId="32" fillId="125" borderId="294" xfId="0" applyNumberFormat="1" applyFont="1" applyFill="1" applyBorder="1" applyAlignment="1">
      <x:alignment wrapText="1"/>
    </x:xf>
    <x:xf numFmtId="0" fontId="32" fillId="125" borderId="295" xfId="0" applyNumberFormat="1" applyFont="1" applyFill="1" applyBorder="1" applyAlignment="1">
      <x:alignment wrapText="1"/>
    </x:xf>
    <x:xf numFmtId="0" fontId="32" fillId="125" borderId="296" xfId="0" applyNumberFormat="1" applyFont="1" applyFill="1" applyBorder="1" applyAlignment="1">
      <x:alignment wrapText="1"/>
    </x:xf>
    <x:xf numFmtId="0" fontId="32" fillId="125" borderId="289" xfId="0" applyNumberFormat="1" applyFont="1" applyFill="1" applyBorder="1" applyAlignment="1">
      <x:alignment horizontal="center" wrapText="1"/>
    </x:xf>
    <x:xf numFmtId="0" fontId="32" fillId="125" borderId="290" xfId="0" applyNumberFormat="1" applyFont="1" applyFill="1" applyBorder="1" applyAlignment="1">
      <x:alignment horizontal="center" wrapText="1"/>
    </x:xf>
    <x:xf numFmtId="0" fontId="32" fillId="125" borderId="291" xfId="0" applyNumberFormat="1" applyFont="1" applyFill="1" applyBorder="1" applyAlignment="1">
      <x:alignment horizontal="center" wrapText="1"/>
    </x:xf>
    <x:xf numFmtId="0" fontId="32" fillId="125" borderId="292" xfId="0" applyNumberFormat="1" applyFont="1" applyFill="1" applyBorder="1" applyAlignment="1">
      <x:alignment horizontal="center" wrapText="1"/>
    </x:xf>
    <x:xf numFmtId="0" fontId="32" fillId="125" xfId="0" applyNumberFormat="1" applyFont="1" applyFill="1" applyBorder="0" applyAlignment="1">
      <x:alignment horizontal="center" wrapText="1"/>
    </x:xf>
    <x:xf numFmtId="0" fontId="32" fillId="125" borderId="293" xfId="0" applyNumberFormat="1" applyFont="1" applyFill="1" applyBorder="1" applyAlignment="1">
      <x:alignment horizontal="center" wrapText="1"/>
    </x:xf>
    <x:xf numFmtId="0" fontId="32" fillId="125" borderId="294" xfId="0" applyNumberFormat="1" applyFont="1" applyFill="1" applyBorder="1" applyAlignment="1">
      <x:alignment horizontal="center" wrapText="1"/>
    </x:xf>
    <x:xf numFmtId="0" fontId="32" fillId="125" borderId="295" xfId="0" applyNumberFormat="1" applyFont="1" applyFill="1" applyBorder="1" applyAlignment="1">
      <x:alignment horizontal="center" wrapText="1"/>
    </x:xf>
    <x:xf numFmtId="0" fontId="32" fillId="125" borderId="296" xfId="0" applyNumberFormat="1" applyFont="1" applyFill="1" applyBorder="1" applyAlignment="1">
      <x:alignment horizontal="center" wrapText="1"/>
    </x:xf>
    <x:xf numFmtId="0" fontId="32" fillId="125" borderId="289" xfId="0" applyNumberFormat="1" applyFont="1" applyFill="1" applyBorder="1" applyAlignment="1">
      <x:alignment horizontal="center" vertical="center" wrapText="1"/>
    </x:xf>
    <x:xf numFmtId="0" fontId="32" fillId="125" borderId="290" xfId="0" applyNumberFormat="1" applyFont="1" applyFill="1" applyBorder="1" applyAlignment="1">
      <x:alignment horizontal="center" vertical="center" wrapText="1"/>
    </x:xf>
    <x:xf numFmtId="0" fontId="32" fillId="125" borderId="291" xfId="0" applyNumberFormat="1" applyFont="1" applyFill="1" applyBorder="1" applyAlignment="1">
      <x:alignment horizontal="center" vertical="center" wrapText="1"/>
    </x:xf>
    <x:xf numFmtId="0" fontId="32" fillId="125" borderId="292" xfId="0" applyNumberFormat="1" applyFont="1" applyFill="1" applyBorder="1" applyAlignment="1">
      <x:alignment horizontal="center" vertical="center" wrapText="1"/>
    </x:xf>
    <x:xf numFmtId="0" fontId="32" fillId="125" xfId="0" applyNumberFormat="1" applyFont="1" applyFill="1" applyBorder="0" applyAlignment="1">
      <x:alignment horizontal="center" vertical="center" wrapText="1"/>
    </x:xf>
    <x:xf numFmtId="0" fontId="32" fillId="125" borderId="293" xfId="0" applyNumberFormat="1" applyFont="1" applyFill="1" applyBorder="1" applyAlignment="1">
      <x:alignment horizontal="center" vertical="center" wrapText="1"/>
    </x:xf>
    <x:xf numFmtId="0" fontId="32" fillId="125" borderId="294" xfId="0" applyNumberFormat="1" applyFont="1" applyFill="1" applyBorder="1" applyAlignment="1">
      <x:alignment horizontal="center" vertical="center" wrapText="1"/>
    </x:xf>
    <x:xf numFmtId="0" fontId="32" fillId="125" borderId="295" xfId="0" applyNumberFormat="1" applyFont="1" applyFill="1" applyBorder="1" applyAlignment="1">
      <x:alignment horizontal="center" vertical="center" wrapText="1"/>
    </x:xf>
    <x:xf numFmtId="0" fontId="32" fillId="125" borderId="296" xfId="0" applyNumberFormat="1" applyFont="1" applyFill="1" applyBorder="1" applyAlignment="1">
      <x:alignment horizontal="center" vertical="center" wrapText="1"/>
    </x:xf>
    <x:xf numFmtId="0" fontId="0" fillId="126" borderId="0" xfId="0" applyNumberFormat="1" applyFont="1" applyFill="1" applyBorder="1"/>
    <x:xf numFmtId="0" fontId="32" fillId="126" borderId="0" xfId="0" applyNumberFormat="1" applyFont="1" applyFill="1" applyBorder="1"/>
    <x:xf numFmtId="0" fontId="32" fillId="126" borderId="289" xfId="0" applyNumberFormat="1" applyFont="1" applyFill="1" applyBorder="1"/>
    <x:xf numFmtId="0" fontId="32" fillId="126" borderId="290" xfId="0" applyNumberFormat="1" applyFont="1" applyFill="1" applyBorder="1"/>
    <x:xf numFmtId="0" fontId="32" fillId="126" borderId="291" xfId="0" applyNumberFormat="1" applyFont="1" applyFill="1" applyBorder="1"/>
    <x:xf numFmtId="0" fontId="32" fillId="126" borderId="292" xfId="0" applyNumberFormat="1" applyFont="1" applyFill="1" applyBorder="1"/>
    <x:xf numFmtId="0" fontId="32" fillId="126" xfId="0" applyNumberFormat="1" applyFont="1" applyFill="1" applyBorder="0"/>
    <x:xf numFmtId="0" fontId="32" fillId="126" borderId="293" xfId="0" applyNumberFormat="1" applyFont="1" applyFill="1" applyBorder="1"/>
    <x:xf numFmtId="0" fontId="32" fillId="126" borderId="294" xfId="0" applyNumberFormat="1" applyFont="1" applyFill="1" applyBorder="1"/>
    <x:xf numFmtId="0" fontId="32" fillId="126" borderId="295" xfId="0" applyNumberFormat="1" applyFont="1" applyFill="1" applyBorder="1"/>
    <x:xf numFmtId="0" fontId="32" fillId="126" borderId="296" xfId="0" applyNumberFormat="1" applyFont="1" applyFill="1" applyBorder="1"/>
    <x:xf numFmtId="0" fontId="32" fillId="126" borderId="289" xfId="0" applyNumberFormat="1" applyFont="1" applyFill="1" applyBorder="1" applyAlignment="1">
      <x:alignment wrapText="1"/>
    </x:xf>
    <x:xf numFmtId="0" fontId="32" fillId="126" borderId="290" xfId="0" applyNumberFormat="1" applyFont="1" applyFill="1" applyBorder="1" applyAlignment="1">
      <x:alignment wrapText="1"/>
    </x:xf>
    <x:xf numFmtId="0" fontId="32" fillId="126" borderId="291" xfId="0" applyNumberFormat="1" applyFont="1" applyFill="1" applyBorder="1" applyAlignment="1">
      <x:alignment wrapText="1"/>
    </x:xf>
    <x:xf numFmtId="0" fontId="32" fillId="126" borderId="292" xfId="0" applyNumberFormat="1" applyFont="1" applyFill="1" applyBorder="1" applyAlignment="1">
      <x:alignment wrapText="1"/>
    </x:xf>
    <x:xf numFmtId="0" fontId="32" fillId="126" xfId="0" applyNumberFormat="1" applyFont="1" applyFill="1" applyBorder="0" applyAlignment="1">
      <x:alignment wrapText="1"/>
    </x:xf>
    <x:xf numFmtId="0" fontId="32" fillId="126" borderId="293" xfId="0" applyNumberFormat="1" applyFont="1" applyFill="1" applyBorder="1" applyAlignment="1">
      <x:alignment wrapText="1"/>
    </x:xf>
    <x:xf numFmtId="0" fontId="32" fillId="126" borderId="294" xfId="0" applyNumberFormat="1" applyFont="1" applyFill="1" applyBorder="1" applyAlignment="1">
      <x:alignment wrapText="1"/>
    </x:xf>
    <x:xf numFmtId="0" fontId="32" fillId="126" borderId="295" xfId="0" applyNumberFormat="1" applyFont="1" applyFill="1" applyBorder="1" applyAlignment="1">
      <x:alignment wrapText="1"/>
    </x:xf>
    <x:xf numFmtId="0" fontId="32" fillId="126" borderId="296" xfId="0" applyNumberFormat="1" applyFont="1" applyFill="1" applyBorder="1" applyAlignment="1">
      <x:alignment wrapText="1"/>
    </x:xf>
    <x:xf numFmtId="0" fontId="32" fillId="126" borderId="289" xfId="0" applyNumberFormat="1" applyFont="1" applyFill="1" applyBorder="1" applyAlignment="1">
      <x:alignment horizontal="center" wrapText="1"/>
    </x:xf>
    <x:xf numFmtId="0" fontId="32" fillId="126" borderId="290" xfId="0" applyNumberFormat="1" applyFont="1" applyFill="1" applyBorder="1" applyAlignment="1">
      <x:alignment horizontal="center" wrapText="1"/>
    </x:xf>
    <x:xf numFmtId="0" fontId="32" fillId="126" borderId="291" xfId="0" applyNumberFormat="1" applyFont="1" applyFill="1" applyBorder="1" applyAlignment="1">
      <x:alignment horizontal="center" wrapText="1"/>
    </x:xf>
    <x:xf numFmtId="0" fontId="32" fillId="126" borderId="292" xfId="0" applyNumberFormat="1" applyFont="1" applyFill="1" applyBorder="1" applyAlignment="1">
      <x:alignment horizontal="center" wrapText="1"/>
    </x:xf>
    <x:xf numFmtId="0" fontId="32" fillId="126" xfId="0" applyNumberFormat="1" applyFont="1" applyFill="1" applyBorder="0" applyAlignment="1">
      <x:alignment horizontal="center" wrapText="1"/>
    </x:xf>
    <x:xf numFmtId="0" fontId="32" fillId="126" borderId="293" xfId="0" applyNumberFormat="1" applyFont="1" applyFill="1" applyBorder="1" applyAlignment="1">
      <x:alignment horizontal="center" wrapText="1"/>
    </x:xf>
    <x:xf numFmtId="0" fontId="32" fillId="126" borderId="294" xfId="0" applyNumberFormat="1" applyFont="1" applyFill="1" applyBorder="1" applyAlignment="1">
      <x:alignment horizontal="center" wrapText="1"/>
    </x:xf>
    <x:xf numFmtId="0" fontId="32" fillId="126" borderId="295" xfId="0" applyNumberFormat="1" applyFont="1" applyFill="1" applyBorder="1" applyAlignment="1">
      <x:alignment horizontal="center" wrapText="1"/>
    </x:xf>
    <x:xf numFmtId="0" fontId="32" fillId="126" borderId="296" xfId="0" applyNumberFormat="1" applyFont="1" applyFill="1" applyBorder="1" applyAlignment="1">
      <x:alignment horizontal="center" wrapText="1"/>
    </x:xf>
    <x:xf numFmtId="0" fontId="32" fillId="126" borderId="289" xfId="0" applyNumberFormat="1" applyFont="1" applyFill="1" applyBorder="1" applyAlignment="1">
      <x:alignment horizontal="center" vertical="center" wrapText="1"/>
    </x:xf>
    <x:xf numFmtId="0" fontId="32" fillId="126" borderId="290" xfId="0" applyNumberFormat="1" applyFont="1" applyFill="1" applyBorder="1" applyAlignment="1">
      <x:alignment horizontal="center" vertical="center" wrapText="1"/>
    </x:xf>
    <x:xf numFmtId="0" fontId="32" fillId="126" borderId="291" xfId="0" applyNumberFormat="1" applyFont="1" applyFill="1" applyBorder="1" applyAlignment="1">
      <x:alignment horizontal="center" vertical="center" wrapText="1"/>
    </x:xf>
    <x:xf numFmtId="0" fontId="32" fillId="126" borderId="292" xfId="0" applyNumberFormat="1" applyFont="1" applyFill="1" applyBorder="1" applyAlignment="1">
      <x:alignment horizontal="center" vertical="center" wrapText="1"/>
    </x:xf>
    <x:xf numFmtId="0" fontId="32" fillId="126" xfId="0" applyNumberFormat="1" applyFont="1" applyFill="1" applyBorder="0" applyAlignment="1">
      <x:alignment horizontal="center" vertical="center" wrapText="1"/>
    </x:xf>
    <x:xf numFmtId="0" fontId="32" fillId="126" borderId="293" xfId="0" applyNumberFormat="1" applyFont="1" applyFill="1" applyBorder="1" applyAlignment="1">
      <x:alignment horizontal="center" vertical="center" wrapText="1"/>
    </x:xf>
    <x:xf numFmtId="0" fontId="32" fillId="126" borderId="294" xfId="0" applyNumberFormat="1" applyFont="1" applyFill="1" applyBorder="1" applyAlignment="1">
      <x:alignment horizontal="center" vertical="center" wrapText="1"/>
    </x:xf>
    <x:xf numFmtId="0" fontId="32" fillId="126" borderId="295" xfId="0" applyNumberFormat="1" applyFont="1" applyFill="1" applyBorder="1" applyAlignment="1">
      <x:alignment horizontal="center" vertical="center" wrapText="1"/>
    </x:xf>
    <x:xf numFmtId="0" fontId="32" fillId="126" borderId="296" xfId="0" applyNumberFormat="1" applyFont="1" applyFill="1" applyBorder="1" applyAlignment="1">
      <x:alignment horizontal="center" vertical="center" wrapText="1"/>
    </x:xf>
    <x:xf numFmtId="0" fontId="32" fillId="123" borderId="289" xfId="0" applyNumberFormat="1" applyFont="1" applyFill="1" applyBorder="1"/>
    <x:xf numFmtId="0" fontId="32" fillId="123" borderId="290" xfId="0" applyNumberFormat="1" applyFont="1" applyFill="1" applyBorder="1"/>
    <x:xf numFmtId="0" fontId="32" fillId="123" borderId="291" xfId="0" applyNumberFormat="1" applyFont="1" applyFill="1" applyBorder="1"/>
    <x:xf numFmtId="0" fontId="32" fillId="123" borderId="292" xfId="0" applyNumberFormat="1" applyFont="1" applyFill="1" applyBorder="1"/>
    <x:xf numFmtId="0" fontId="32" fillId="123" xfId="0" applyNumberFormat="1" applyFont="1" applyFill="1" applyBorder="0"/>
    <x:xf numFmtId="0" fontId="32" fillId="123" borderId="293" xfId="0" applyNumberFormat="1" applyFont="1" applyFill="1" applyBorder="1"/>
    <x:xf numFmtId="0" fontId="32" fillId="123" borderId="294" xfId="0" applyNumberFormat="1" applyFont="1" applyFill="1" applyBorder="1"/>
    <x:xf numFmtId="0" fontId="32" fillId="123" borderId="295" xfId="0" applyNumberFormat="1" applyFont="1" applyFill="1" applyBorder="1"/>
    <x:xf numFmtId="0" fontId="32" fillId="123" borderId="296" xfId="0" applyNumberFormat="1" applyFont="1" applyFill="1" applyBorder="1"/>
    <x:xf numFmtId="0" fontId="32" fillId="123" borderId="289" xfId="0" applyNumberFormat="1" applyFont="1" applyFill="1" applyBorder="1" applyAlignment="1">
      <x:alignment wrapText="1"/>
    </x:xf>
    <x:xf numFmtId="0" fontId="32" fillId="123" borderId="290" xfId="0" applyNumberFormat="1" applyFont="1" applyFill="1" applyBorder="1" applyAlignment="1">
      <x:alignment wrapText="1"/>
    </x:xf>
    <x:xf numFmtId="0" fontId="32" fillId="123" borderId="291" xfId="0" applyNumberFormat="1" applyFont="1" applyFill="1" applyBorder="1" applyAlignment="1">
      <x:alignment wrapText="1"/>
    </x:xf>
    <x:xf numFmtId="0" fontId="32" fillId="123" borderId="292" xfId="0" applyNumberFormat="1" applyFont="1" applyFill="1" applyBorder="1" applyAlignment="1">
      <x:alignment wrapText="1"/>
    </x:xf>
    <x:xf numFmtId="0" fontId="32" fillId="123" xfId="0" applyNumberFormat="1" applyFont="1" applyFill="1" applyBorder="0" applyAlignment="1">
      <x:alignment wrapText="1"/>
    </x:xf>
    <x:xf numFmtId="0" fontId="32" fillId="123" borderId="293" xfId="0" applyNumberFormat="1" applyFont="1" applyFill="1" applyBorder="1" applyAlignment="1">
      <x:alignment wrapText="1"/>
    </x:xf>
    <x:xf numFmtId="0" fontId="32" fillId="123" borderId="294" xfId="0" applyNumberFormat="1" applyFont="1" applyFill="1" applyBorder="1" applyAlignment="1">
      <x:alignment wrapText="1"/>
    </x:xf>
    <x:xf numFmtId="0" fontId="32" fillId="123" borderId="295" xfId="0" applyNumberFormat="1" applyFont="1" applyFill="1" applyBorder="1" applyAlignment="1">
      <x:alignment wrapText="1"/>
    </x:xf>
    <x:xf numFmtId="0" fontId="32" fillId="123" borderId="296" xfId="0" applyNumberFormat="1" applyFont="1" applyFill="1" applyBorder="1" applyAlignment="1">
      <x:alignment wrapText="1"/>
    </x:xf>
    <x:xf numFmtId="0" fontId="32" fillId="123" borderId="289" xfId="0" applyNumberFormat="1" applyFont="1" applyFill="1" applyBorder="1" applyAlignment="1">
      <x:alignment horizontal="center" wrapText="1"/>
    </x:xf>
    <x:xf numFmtId="0" fontId="32" fillId="123" borderId="290" xfId="0" applyNumberFormat="1" applyFont="1" applyFill="1" applyBorder="1" applyAlignment="1">
      <x:alignment horizontal="center" wrapText="1"/>
    </x:xf>
    <x:xf numFmtId="0" fontId="32" fillId="123" borderId="291" xfId="0" applyNumberFormat="1" applyFont="1" applyFill="1" applyBorder="1" applyAlignment="1">
      <x:alignment horizontal="center" wrapText="1"/>
    </x:xf>
    <x:xf numFmtId="0" fontId="32" fillId="123" borderId="292" xfId="0" applyNumberFormat="1" applyFont="1" applyFill="1" applyBorder="1" applyAlignment="1">
      <x:alignment horizontal="center" wrapText="1"/>
    </x:xf>
    <x:xf numFmtId="0" fontId="32" fillId="123" xfId="0" applyNumberFormat="1" applyFont="1" applyFill="1" applyBorder="0" applyAlignment="1">
      <x:alignment horizontal="center" wrapText="1"/>
    </x:xf>
    <x:xf numFmtId="0" fontId="32" fillId="123" borderId="293" xfId="0" applyNumberFormat="1" applyFont="1" applyFill="1" applyBorder="1" applyAlignment="1">
      <x:alignment horizontal="center" wrapText="1"/>
    </x:xf>
    <x:xf numFmtId="0" fontId="32" fillId="123" borderId="294" xfId="0" applyNumberFormat="1" applyFont="1" applyFill="1" applyBorder="1" applyAlignment="1">
      <x:alignment horizontal="center" wrapText="1"/>
    </x:xf>
    <x:xf numFmtId="0" fontId="32" fillId="123" borderId="295" xfId="0" applyNumberFormat="1" applyFont="1" applyFill="1" applyBorder="1" applyAlignment="1">
      <x:alignment horizontal="center" wrapText="1"/>
    </x:xf>
    <x:xf numFmtId="0" fontId="32" fillId="123" borderId="296" xfId="0" applyNumberFormat="1" applyFont="1" applyFill="1" applyBorder="1" applyAlignment="1">
      <x:alignment horizontal="center" wrapText="1"/>
    </x:xf>
    <x:xf numFmtId="0" fontId="32" fillId="123" borderId="289" xfId="0" applyNumberFormat="1" applyFont="1" applyFill="1" applyBorder="1" applyAlignment="1">
      <x:alignment horizontal="center" vertical="center" wrapText="1"/>
    </x:xf>
    <x:xf numFmtId="0" fontId="32" fillId="123" borderId="290" xfId="0" applyNumberFormat="1" applyFont="1" applyFill="1" applyBorder="1" applyAlignment="1">
      <x:alignment horizontal="center" vertical="center" wrapText="1"/>
    </x:xf>
    <x:xf numFmtId="0" fontId="32" fillId="123" borderId="291" xfId="0" applyNumberFormat="1" applyFont="1" applyFill="1" applyBorder="1" applyAlignment="1">
      <x:alignment horizontal="center" vertical="center" wrapText="1"/>
    </x:xf>
    <x:xf numFmtId="0" fontId="32" fillId="123" borderId="292" xfId="0" applyNumberFormat="1" applyFont="1" applyFill="1" applyBorder="1" applyAlignment="1">
      <x:alignment horizontal="center" vertical="center" wrapText="1"/>
    </x:xf>
    <x:xf numFmtId="0" fontId="32" fillId="123" xfId="0" applyNumberFormat="1" applyFont="1" applyFill="1" applyBorder="0" applyAlignment="1">
      <x:alignment horizontal="center" vertical="center" wrapText="1"/>
    </x:xf>
    <x:xf numFmtId="0" fontId="32" fillId="123" borderId="293" xfId="0" applyNumberFormat="1" applyFont="1" applyFill="1" applyBorder="1" applyAlignment="1">
      <x:alignment horizontal="center" vertical="center" wrapText="1"/>
    </x:xf>
    <x:xf numFmtId="0" fontId="32" fillId="123" borderId="294" xfId="0" applyNumberFormat="1" applyFont="1" applyFill="1" applyBorder="1" applyAlignment="1">
      <x:alignment horizontal="center" vertical="center" wrapText="1"/>
    </x:xf>
    <x:xf numFmtId="0" fontId="32" fillId="123" borderId="295" xfId="0" applyNumberFormat="1" applyFont="1" applyFill="1" applyBorder="1" applyAlignment="1">
      <x:alignment horizontal="center" vertical="center" wrapText="1"/>
    </x:xf>
    <x:xf numFmtId="0" fontId="32" fillId="123" borderId="296" xfId="0" applyNumberFormat="1" applyFont="1" applyFill="1" applyBorder="1" applyAlignment="1">
      <x:alignment horizontal="center" vertical="center" wrapText="1"/>
    </x:xf>
    <x:xf numFmtId="0" fontId="46" fillId="124" borderId="0" xfId="0" applyNumberFormat="1" applyFont="1" applyFill="1" applyBorder="1"/>
    <x:xf numFmtId="0" fontId="46" fillId="124" borderId="0" xfId="0" applyNumberFormat="1" applyFont="1" applyFill="1" applyBorder="1" applyAlignment="1">
      <x:alignment wrapText="1"/>
    </x:xf>
    <x:xf numFmtId="0" fontId="46" fillId="124" borderId="0" xfId="0" applyNumberFormat="1" applyFont="1" applyFill="1" applyBorder="1" applyAlignment="1">
      <x:alignment vertical="center" wrapText="1"/>
    </x:xf>
    <x:xf numFmtId="0" fontId="52" fillId="120" borderId="0" xfId="0" applyNumberFormat="1" applyFont="1" applyFill="1" applyBorder="1"/>
    <x:xf numFmtId="0" fontId="52" fillId="122" borderId="0" xfId="0" applyNumberFormat="1" applyFont="1" applyFill="1" applyBorder="1"/>
    <x:xf numFmtId="0" fontId="52" fillId="124" borderId="289" xfId="0" applyNumberFormat="1" applyFont="1" applyFill="1" applyBorder="1" applyAlignment="1">
      <x:alignment horizontal="center" vertical="center" wrapText="1"/>
    </x:xf>
    <x:xf numFmtId="0" fontId="52" fillId="124" borderId="290" xfId="0" applyNumberFormat="1" applyFont="1" applyFill="1" applyBorder="1" applyAlignment="1">
      <x:alignment horizontal="center" vertical="center" wrapText="1"/>
    </x:xf>
    <x:xf numFmtId="0" fontId="52" fillId="124" borderId="291" xfId="0" applyNumberFormat="1" applyFont="1" applyFill="1" applyBorder="1" applyAlignment="1">
      <x:alignment horizontal="center" vertical="center" wrapText="1"/>
    </x:xf>
    <x:xf numFmtId="0" fontId="52" fillId="125" borderId="289" xfId="0" applyNumberFormat="1" applyFont="1" applyFill="1" applyBorder="1" applyAlignment="1">
      <x:alignment horizontal="center" vertical="center" wrapText="1"/>
    </x:xf>
    <x:xf numFmtId="0" fontId="52" fillId="125" borderId="290" xfId="0" applyNumberFormat="1" applyFont="1" applyFill="1" applyBorder="1" applyAlignment="1">
      <x:alignment horizontal="center" vertical="center" wrapText="1"/>
    </x:xf>
    <x:xf numFmtId="0" fontId="52" fillId="125" borderId="291" xfId="0" applyNumberFormat="1" applyFont="1" applyFill="1" applyBorder="1" applyAlignment="1">
      <x:alignment horizontal="center" vertical="center" wrapText="1"/>
    </x:xf>
    <x:xf numFmtId="0" fontId="52" fillId="124" borderId="292" xfId="0" applyNumberFormat="1" applyFont="1" applyFill="1" applyBorder="1" applyAlignment="1">
      <x:alignment horizontal="center" vertical="center" wrapText="1"/>
    </x:xf>
    <x:xf numFmtId="0" fontId="52" fillId="124" xfId="0" applyNumberFormat="1" applyFont="1" applyFill="1" applyBorder="0" applyAlignment="1">
      <x:alignment horizontal="center" vertical="center" wrapText="1"/>
    </x:xf>
    <x:xf numFmtId="0" fontId="52" fillId="124" borderId="293" xfId="0" applyNumberFormat="1" applyFont="1" applyFill="1" applyBorder="1" applyAlignment="1">
      <x:alignment horizontal="center" vertical="center" wrapText="1"/>
    </x:xf>
    <x:xf numFmtId="0" fontId="52" fillId="125" borderId="292" xfId="0" applyNumberFormat="1" applyFont="1" applyFill="1" applyBorder="1" applyAlignment="1">
      <x:alignment horizontal="center" vertical="center" wrapText="1"/>
    </x:xf>
    <x:xf numFmtId="0" fontId="52" fillId="125" xfId="0" applyNumberFormat="1" applyFont="1" applyFill="1" applyBorder="0" applyAlignment="1">
      <x:alignment horizontal="center" vertical="center" wrapText="1"/>
    </x:xf>
    <x:xf numFmtId="0" fontId="52" fillId="125" borderId="293" xfId="0" applyNumberFormat="1" applyFont="1" applyFill="1" applyBorder="1" applyAlignment="1">
      <x:alignment horizontal="center" vertical="center" wrapText="1"/>
    </x:xf>
    <x:xf numFmtId="0" fontId="52" fillId="124" borderId="294" xfId="0" applyNumberFormat="1" applyFont="1" applyFill="1" applyBorder="1" applyAlignment="1">
      <x:alignment horizontal="center" vertical="center" wrapText="1"/>
    </x:xf>
    <x:xf numFmtId="0" fontId="52" fillId="124" borderId="295" xfId="0" applyNumberFormat="1" applyFont="1" applyFill="1" applyBorder="1" applyAlignment="1">
      <x:alignment horizontal="center" vertical="center" wrapText="1"/>
    </x:xf>
    <x:xf numFmtId="0" fontId="52" fillId="124" borderId="296" xfId="0" applyNumberFormat="1" applyFont="1" applyFill="1" applyBorder="1" applyAlignment="1">
      <x:alignment horizontal="center" vertical="center" wrapText="1"/>
    </x:xf>
    <x:xf numFmtId="0" fontId="52" fillId="125" borderId="294" xfId="0" applyNumberFormat="1" applyFont="1" applyFill="1" applyBorder="1" applyAlignment="1">
      <x:alignment horizontal="center" vertical="center" wrapText="1"/>
    </x:xf>
    <x:xf numFmtId="0" fontId="52" fillId="125" borderId="295" xfId="0" applyNumberFormat="1" applyFont="1" applyFill="1" applyBorder="1" applyAlignment="1">
      <x:alignment horizontal="center" vertical="center" wrapText="1"/>
    </x:xf>
    <x:xf numFmtId="0" fontId="52" fillId="125" borderId="296" xfId="0" applyNumberFormat="1" applyFont="1" applyFill="1" applyBorder="1" applyAlignment="1">
      <x:alignment horizontal="center" vertical="center" wrapText="1"/>
    </x:xf>
    <x:xf numFmtId="0" fontId="52" fillId="126" borderId="289" xfId="0" applyNumberFormat="1" applyFont="1" applyFill="1" applyBorder="1" applyAlignment="1">
      <x:alignment horizontal="center" vertical="center" wrapText="1"/>
    </x:xf>
    <x:xf numFmtId="0" fontId="52" fillId="126" borderId="290" xfId="0" applyNumberFormat="1" applyFont="1" applyFill="1" applyBorder="1" applyAlignment="1">
      <x:alignment horizontal="center" vertical="center" wrapText="1"/>
    </x:xf>
    <x:xf numFmtId="0" fontId="52" fillId="126" borderId="291" xfId="0" applyNumberFormat="1" applyFont="1" applyFill="1" applyBorder="1" applyAlignment="1">
      <x:alignment horizontal="center" vertical="center" wrapText="1"/>
    </x:xf>
    <x:xf numFmtId="0" fontId="52" fillId="123" borderId="289" xfId="0" applyNumberFormat="1" applyFont="1" applyFill="1" applyBorder="1" applyAlignment="1">
      <x:alignment horizontal="center" vertical="center" wrapText="1"/>
    </x:xf>
    <x:xf numFmtId="0" fontId="52" fillId="123" borderId="290" xfId="0" applyNumberFormat="1" applyFont="1" applyFill="1" applyBorder="1" applyAlignment="1">
      <x:alignment horizontal="center" vertical="center" wrapText="1"/>
    </x:xf>
    <x:xf numFmtId="0" fontId="52" fillId="123" borderId="291" xfId="0" applyNumberFormat="1" applyFont="1" applyFill="1" applyBorder="1" applyAlignment="1">
      <x:alignment horizontal="center" vertical="center" wrapText="1"/>
    </x:xf>
    <x:xf numFmtId="0" fontId="52" fillId="126" borderId="292" xfId="0" applyNumberFormat="1" applyFont="1" applyFill="1" applyBorder="1" applyAlignment="1">
      <x:alignment horizontal="center" vertical="center" wrapText="1"/>
    </x:xf>
    <x:xf numFmtId="0" fontId="52" fillId="126" xfId="0" applyNumberFormat="1" applyFont="1" applyFill="1" applyBorder="0" applyAlignment="1">
      <x:alignment horizontal="center" vertical="center" wrapText="1"/>
    </x:xf>
    <x:xf numFmtId="0" fontId="52" fillId="126" borderId="293" xfId="0" applyNumberFormat="1" applyFont="1" applyFill="1" applyBorder="1" applyAlignment="1">
      <x:alignment horizontal="center" vertical="center" wrapText="1"/>
    </x:xf>
    <x:xf numFmtId="0" fontId="52" fillId="123" borderId="292" xfId="0" applyNumberFormat="1" applyFont="1" applyFill="1" applyBorder="1" applyAlignment="1">
      <x:alignment horizontal="center" vertical="center" wrapText="1"/>
    </x:xf>
    <x:xf numFmtId="0" fontId="52" fillId="123" xfId="0" applyNumberFormat="1" applyFont="1" applyFill="1" applyBorder="0" applyAlignment="1">
      <x:alignment horizontal="center" vertical="center" wrapText="1"/>
    </x:xf>
    <x:xf numFmtId="0" fontId="52" fillId="123" borderId="293" xfId="0" applyNumberFormat="1" applyFont="1" applyFill="1" applyBorder="1" applyAlignment="1">
      <x:alignment horizontal="center" vertical="center" wrapText="1"/>
    </x:xf>
    <x:xf numFmtId="0" fontId="52" fillId="126" borderId="294" xfId="0" applyNumberFormat="1" applyFont="1" applyFill="1" applyBorder="1" applyAlignment="1">
      <x:alignment horizontal="center" vertical="center" wrapText="1"/>
    </x:xf>
    <x:xf numFmtId="0" fontId="52" fillId="126" borderId="295" xfId="0" applyNumberFormat="1" applyFont="1" applyFill="1" applyBorder="1" applyAlignment="1">
      <x:alignment horizontal="center" vertical="center" wrapText="1"/>
    </x:xf>
    <x:xf numFmtId="0" fontId="52" fillId="126" borderId="296" xfId="0" applyNumberFormat="1" applyFont="1" applyFill="1" applyBorder="1" applyAlignment="1">
      <x:alignment horizontal="center" vertical="center" wrapText="1"/>
    </x:xf>
    <x:xf numFmtId="0" fontId="52" fillId="123" borderId="294" xfId="0" applyNumberFormat="1" applyFont="1" applyFill="1" applyBorder="1" applyAlignment="1">
      <x:alignment horizontal="center" vertical="center" wrapText="1"/>
    </x:xf>
    <x:xf numFmtId="0" fontId="52" fillId="123" borderId="295" xfId="0" applyNumberFormat="1" applyFont="1" applyFill="1" applyBorder="1" applyAlignment="1">
      <x:alignment horizontal="center" vertical="center" wrapText="1"/>
    </x:xf>
    <x:xf numFmtId="0" fontId="52" fillId="123" borderId="296" xfId="0" applyNumberFormat="1" applyFont="1" applyFill="1" applyBorder="1" applyAlignment="1">
      <x:alignment horizontal="center" vertical="center" wrapText="1"/>
    </x:xf>
    <x:xf numFmtId="0" fontId="52" fillId="124" borderId="0" xfId="0" applyNumberFormat="1" applyFont="1" applyFill="1" applyBorder="1" applyAlignment="1">
      <x:alignment vertical="center" wrapText="1"/>
    </x:xf>
    <x:xf numFmtId="0" fontId="28" fillId="122" borderId="0" xfId="0" applyNumberFormat="1" applyFont="1" applyFill="1" applyBorder="1"/>
    <x:xf numFmtId="0" fontId="52" fillId="40" borderId="0" xfId="0" applyNumberFormat="1" applyFont="1" applyFill="1" applyBorder="1" applyAlignment="1">
      <x:alignment horizontal="center" vertical="center" wrapText="1"/>
    </x:xf>
    <x:xf numFmtId="0" fontId="52" fillId="40" xfId="0" applyNumberFormat="1" applyFont="1" applyFill="1" applyBorder="0" applyAlignment="1">
      <x:alignment horizontal="center" vertical="center" wrapText="1"/>
    </x:xf>
    <x:xf numFmtId="0" fontId="52" fillId="53" borderId="0" xfId="0" applyNumberFormat="1" applyFont="1" applyFill="1" applyBorder="1" applyAlignment="1">
      <x:alignment vertical="center" wrapText="1"/>
    </x:xf>
    <x:xf numFmtId="0" fontId="0" fillId="127" borderId="0" xfId="0" applyNumberFormat="1" applyFont="1" applyFill="1" applyBorder="1"/>
    <x:xf numFmtId="0" fontId="30" fillId="127" borderId="0" xfId="0" applyNumberFormat="1" applyFont="1" applyFill="1" applyBorder="1"/>
    <x:xf numFmtId="0" fontId="30" fillId="127" borderId="0" xfId="0" applyNumberFormat="1" applyFont="1" applyFill="1" applyBorder="1" applyAlignment="1">
      <x:alignment wrapText="1"/>
    </x:xf>
    <x:xf numFmtId="0" fontId="0" fillId="128" borderId="0" xfId="0" applyNumberFormat="1" applyFont="1" applyFill="1" applyBorder="1"/>
    <x:xf numFmtId="0" fontId="31" fillId="128" borderId="0" xfId="0" applyNumberFormat="1" applyFont="1" applyFill="1" applyBorder="1"/>
    <x:xf numFmtId="0" fontId="31" fillId="128" borderId="297" xfId="0" applyNumberFormat="1" applyFont="1" applyFill="1" applyBorder="1"/>
    <x:xf numFmtId="0" fontId="20" fillId="127" borderId="0" xfId="0" applyNumberFormat="1" applyFont="1" applyFill="1" applyBorder="1"/>
    <x:xf numFmtId="0" fontId="20" fillId="127" borderId="0" xfId="0" applyNumberFormat="1" applyFont="1" applyFill="1" applyBorder="1" applyAlignment="1">
      <x:alignment wrapText="1"/>
    </x:xf>
    <x:xf numFmtId="0" fontId="0" fillId="129" borderId="0" xfId="0" applyNumberFormat="1" applyFont="1" applyFill="1" applyBorder="1"/>
    <x:xf numFmtId="0" fontId="37" fillId="129" borderId="0" xfId="0" applyNumberFormat="1" applyFont="1" applyFill="1" applyBorder="1"/>
    <x:xf numFmtId="0" fontId="37" fillId="129" borderId="0" xfId="0" applyNumberFormat="1" applyFont="1" applyFill="1" applyBorder="1" applyAlignment="1">
      <x:alignment wrapText="1"/>
    </x:xf>
    <x:xf numFmtId="0" fontId="52" fillId="128" borderId="297" xfId="0" applyNumberFormat="1" applyFont="1" applyFill="1" applyBorder="1"/>
    <x:xf numFmtId="0" fontId="45" fillId="127" borderId="0" xfId="0" applyNumberFormat="1" applyFont="1" applyFill="1" applyBorder="1" applyAlignment="1">
      <x:alignment wrapText="1"/>
    </x:xf>
    <x:xf numFmtId="0" fontId="52" fillId="129" borderId="0" xfId="0" applyNumberFormat="1" applyFont="1" applyFill="1" applyBorder="1" applyAlignment="1">
      <x:alignment wrapText="1"/>
    </x:xf>
    <x:xf numFmtId="0" fontId="45" fillId="130" borderId="0" xfId="0" applyNumberFormat="1" applyFont="1" applyFill="1" applyBorder="1" applyAlignment="1">
      <x:alignment wrapText="1"/>
    </x:xf>
    <x:xf numFmtId="0" fontId="45" fillId="131" borderId="0" xfId="0" applyNumberFormat="1" applyFont="1" applyFill="1" applyBorder="1" applyAlignment="1">
      <x:alignment wrapText="1"/>
    </x:xf>
    <x:xf numFmtId="0" fontId="45" fillId="132" borderId="0" xfId="0" applyNumberFormat="1" applyFont="1" applyFill="1" applyBorder="1" applyAlignment="1">
      <x:alignment wrapText="1"/>
    </x:xf>
    <x:xf numFmtId="0" fontId="40" fillId="128" borderId="297" xfId="0" applyNumberFormat="1" applyFont="1" applyFill="1" applyBorder="1"/>
    <x:xf numFmtId="0" fontId="41" fillId="127" borderId="0" xfId="0" applyNumberFormat="1" applyFont="1" applyFill="1" applyBorder="1" applyAlignment="1">
      <x:alignment wrapText="1"/>
    </x:xf>
    <x:xf numFmtId="0" fontId="40" fillId="129" borderId="0" xfId="0" applyNumberFormat="1" applyFont="1" applyFill="1" applyBorder="1" applyAlignment="1">
      <x:alignment wrapText="1"/>
    </x:xf>
    <x:xf numFmtId="0" fontId="41" fillId="0" borderId="0" xfId="0" applyNumberFormat="1" applyFont="1" applyFill="1" applyBorder="1" applyAlignment="1">
      <x:alignment horizontal="center" wrapText="1"/>
    </x:xf>
    <x:xf numFmtId="0" fontId="21" fillId="129" borderId="0" xfId="0" applyNumberFormat="1" applyFont="1" applyFill="1" applyBorder="1"/>
    <x:xf numFmtId="0" fontId="34" fillId="127" borderId="0" xfId="0" applyNumberFormat="1" applyFont="1" applyFill="1" applyBorder="1"/>
    <x:xf numFmtId="0" fontId="34" fillId="127" borderId="0" xfId="0" applyNumberFormat="1" applyFont="1" applyFill="1" applyBorder="1" applyAlignment="1">
      <x:alignment wrapText="1"/>
    </x:xf>
    <x:xf numFmtId="0" fontId="0" fillId="130" borderId="0" xfId="0" applyNumberFormat="1" applyFont="1" applyFill="1" applyBorder="1" applyAlignment="1">
      <x:alignment wrapText="1"/>
    </x:xf>
    <x:xf numFmtId="0" fontId="0" fillId="132" borderId="0" xfId="0" applyNumberFormat="1" applyFont="1" applyFill="1" applyBorder="1" applyAlignment="1">
      <x:alignment wrapText="1"/>
    </x:xf>
    <x:xf numFmtId="0" fontId="0" fillId="131" borderId="0" xfId="0" applyNumberFormat="1" applyFont="1" applyFill="1" applyBorder="1" applyAlignment="1">
      <x:alignment wrapText="1"/>
    </x:xf>
    <x:xf numFmtId="0" fontId="49" fillId="128" borderId="0" xfId="0" applyNumberFormat="1" applyFont="1" applyFill="1" applyBorder="1"/>
    <x:xf numFmtId="0" fontId="49" fillId="128" borderId="297" xfId="0" applyNumberFormat="1" applyFont="1" applyFill="1" applyBorder="1"/>
    <x:xf numFmtId="0" fontId="50" fillId="127" borderId="0" xfId="0" applyNumberFormat="1" applyFont="1" applyFill="1" applyBorder="1"/>
    <x:xf numFmtId="0" fontId="0" fillId="130" borderId="0" xfId="0" applyNumberFormat="1" applyFont="1" applyFill="1" applyBorder="1"/>
    <x:xf numFmtId="0" fontId="32" fillId="130" borderId="0" xfId="0" applyNumberFormat="1" applyFont="1" applyFill="1" applyBorder="1"/>
    <x:xf numFmtId="0" fontId="32" fillId="130" borderId="298" xfId="0" applyNumberFormat="1" applyFont="1" applyFill="1" applyBorder="1"/>
    <x:xf numFmtId="0" fontId="32" fillId="130" borderId="299" xfId="0" applyNumberFormat="1" applyFont="1" applyFill="1" applyBorder="1"/>
    <x:xf numFmtId="0" fontId="32" fillId="130" borderId="300" xfId="0" applyNumberFormat="1" applyFont="1" applyFill="1" applyBorder="1"/>
    <x:xf numFmtId="0" fontId="32" fillId="130" borderId="301" xfId="0" applyNumberFormat="1" applyFont="1" applyFill="1" applyBorder="1"/>
    <x:xf numFmtId="0" fontId="32" fillId="130" xfId="0" applyNumberFormat="1" applyFont="1" applyFill="1" applyBorder="0"/>
    <x:xf numFmtId="0" fontId="32" fillId="130" borderId="302" xfId="0" applyNumberFormat="1" applyFont="1" applyFill="1" applyBorder="1"/>
    <x:xf numFmtId="0" fontId="32" fillId="130" borderId="303" xfId="0" applyNumberFormat="1" applyFont="1" applyFill="1" applyBorder="1"/>
    <x:xf numFmtId="0" fontId="32" fillId="130" borderId="304" xfId="0" applyNumberFormat="1" applyFont="1" applyFill="1" applyBorder="1"/>
    <x:xf numFmtId="0" fontId="32" fillId="130" borderId="305" xfId="0" applyNumberFormat="1" applyFont="1" applyFill="1" applyBorder="1"/>
    <x:xf numFmtId="0" fontId="32" fillId="130" borderId="298" xfId="0" applyNumberFormat="1" applyFont="1" applyFill="1" applyBorder="1" applyAlignment="1">
      <x:alignment wrapText="1"/>
    </x:xf>
    <x:xf numFmtId="0" fontId="32" fillId="130" borderId="299" xfId="0" applyNumberFormat="1" applyFont="1" applyFill="1" applyBorder="1" applyAlignment="1">
      <x:alignment wrapText="1"/>
    </x:xf>
    <x:xf numFmtId="0" fontId="32" fillId="130" borderId="300" xfId="0" applyNumberFormat="1" applyFont="1" applyFill="1" applyBorder="1" applyAlignment="1">
      <x:alignment wrapText="1"/>
    </x:xf>
    <x:xf numFmtId="0" fontId="32" fillId="130" borderId="301" xfId="0" applyNumberFormat="1" applyFont="1" applyFill="1" applyBorder="1" applyAlignment="1">
      <x:alignment wrapText="1"/>
    </x:xf>
    <x:xf numFmtId="0" fontId="32" fillId="130" xfId="0" applyNumberFormat="1" applyFont="1" applyFill="1" applyBorder="0" applyAlignment="1">
      <x:alignment wrapText="1"/>
    </x:xf>
    <x:xf numFmtId="0" fontId="32" fillId="130" borderId="302" xfId="0" applyNumberFormat="1" applyFont="1" applyFill="1" applyBorder="1" applyAlignment="1">
      <x:alignment wrapText="1"/>
    </x:xf>
    <x:xf numFmtId="0" fontId="32" fillId="130" borderId="303" xfId="0" applyNumberFormat="1" applyFont="1" applyFill="1" applyBorder="1" applyAlignment="1">
      <x:alignment wrapText="1"/>
    </x:xf>
    <x:xf numFmtId="0" fontId="32" fillId="130" borderId="304" xfId="0" applyNumberFormat="1" applyFont="1" applyFill="1" applyBorder="1" applyAlignment="1">
      <x:alignment wrapText="1"/>
    </x:xf>
    <x:xf numFmtId="0" fontId="32" fillId="130" borderId="305" xfId="0" applyNumberFormat="1" applyFont="1" applyFill="1" applyBorder="1" applyAlignment="1">
      <x:alignment wrapText="1"/>
    </x:xf>
    <x:xf numFmtId="0" fontId="32" fillId="130" borderId="298" xfId="0" applyNumberFormat="1" applyFont="1" applyFill="1" applyBorder="1" applyAlignment="1">
      <x:alignment horizontal="center" wrapText="1"/>
    </x:xf>
    <x:xf numFmtId="0" fontId="32" fillId="130" borderId="299" xfId="0" applyNumberFormat="1" applyFont="1" applyFill="1" applyBorder="1" applyAlignment="1">
      <x:alignment horizontal="center" wrapText="1"/>
    </x:xf>
    <x:xf numFmtId="0" fontId="32" fillId="130" borderId="300" xfId="0" applyNumberFormat="1" applyFont="1" applyFill="1" applyBorder="1" applyAlignment="1">
      <x:alignment horizontal="center" wrapText="1"/>
    </x:xf>
    <x:xf numFmtId="0" fontId="32" fillId="130" borderId="301" xfId="0" applyNumberFormat="1" applyFont="1" applyFill="1" applyBorder="1" applyAlignment="1">
      <x:alignment horizontal="center" wrapText="1"/>
    </x:xf>
    <x:xf numFmtId="0" fontId="32" fillId="130" xfId="0" applyNumberFormat="1" applyFont="1" applyFill="1" applyBorder="0" applyAlignment="1">
      <x:alignment horizontal="center" wrapText="1"/>
    </x:xf>
    <x:xf numFmtId="0" fontId="32" fillId="130" borderId="302" xfId="0" applyNumberFormat="1" applyFont="1" applyFill="1" applyBorder="1" applyAlignment="1">
      <x:alignment horizontal="center" wrapText="1"/>
    </x:xf>
    <x:xf numFmtId="0" fontId="32" fillId="130" borderId="303" xfId="0" applyNumberFormat="1" applyFont="1" applyFill="1" applyBorder="1" applyAlignment="1">
      <x:alignment horizontal="center" wrapText="1"/>
    </x:xf>
    <x:xf numFmtId="0" fontId="32" fillId="130" borderId="304" xfId="0" applyNumberFormat="1" applyFont="1" applyFill="1" applyBorder="1" applyAlignment="1">
      <x:alignment horizontal="center" wrapText="1"/>
    </x:xf>
    <x:xf numFmtId="0" fontId="32" fillId="130" borderId="305" xfId="0" applyNumberFormat="1" applyFont="1" applyFill="1" applyBorder="1" applyAlignment="1">
      <x:alignment horizontal="center" wrapText="1"/>
    </x:xf>
    <x:xf numFmtId="0" fontId="32" fillId="130" borderId="298" xfId="0" applyNumberFormat="1" applyFont="1" applyFill="1" applyBorder="1" applyAlignment="1">
      <x:alignment horizontal="center" vertical="center" wrapText="1"/>
    </x:xf>
    <x:xf numFmtId="0" fontId="32" fillId="130" borderId="299" xfId="0" applyNumberFormat="1" applyFont="1" applyFill="1" applyBorder="1" applyAlignment="1">
      <x:alignment horizontal="center" vertical="center" wrapText="1"/>
    </x:xf>
    <x:xf numFmtId="0" fontId="32" fillId="130" borderId="300" xfId="0" applyNumberFormat="1" applyFont="1" applyFill="1" applyBorder="1" applyAlignment="1">
      <x:alignment horizontal="center" vertical="center" wrapText="1"/>
    </x:xf>
    <x:xf numFmtId="0" fontId="32" fillId="130" borderId="301" xfId="0" applyNumberFormat="1" applyFont="1" applyFill="1" applyBorder="1" applyAlignment="1">
      <x:alignment horizontal="center" vertical="center" wrapText="1"/>
    </x:xf>
    <x:xf numFmtId="0" fontId="32" fillId="130" xfId="0" applyNumberFormat="1" applyFont="1" applyFill="1" applyBorder="0" applyAlignment="1">
      <x:alignment horizontal="center" vertical="center" wrapText="1"/>
    </x:xf>
    <x:xf numFmtId="0" fontId="32" fillId="130" borderId="302" xfId="0" applyNumberFormat="1" applyFont="1" applyFill="1" applyBorder="1" applyAlignment="1">
      <x:alignment horizontal="center" vertical="center" wrapText="1"/>
    </x:xf>
    <x:xf numFmtId="0" fontId="32" fillId="130" borderId="303" xfId="0" applyNumberFormat="1" applyFont="1" applyFill="1" applyBorder="1" applyAlignment="1">
      <x:alignment horizontal="center" vertical="center" wrapText="1"/>
    </x:xf>
    <x:xf numFmtId="0" fontId="32" fillId="130" borderId="304" xfId="0" applyNumberFormat="1" applyFont="1" applyFill="1" applyBorder="1" applyAlignment="1">
      <x:alignment horizontal="center" vertical="center" wrapText="1"/>
    </x:xf>
    <x:xf numFmtId="0" fontId="32" fillId="130" borderId="305" xfId="0" applyNumberFormat="1" applyFont="1" applyFill="1" applyBorder="1" applyAlignment="1">
      <x:alignment horizontal="center" vertical="center" wrapText="1"/>
    </x:xf>
    <x:xf numFmtId="0" fontId="0" fillId="131" borderId="0" xfId="0" applyNumberFormat="1" applyFont="1" applyFill="1" applyBorder="1"/>
    <x:xf numFmtId="0" fontId="32" fillId="131" borderId="0" xfId="0" applyNumberFormat="1" applyFont="1" applyFill="1" applyBorder="1"/>
    <x:xf numFmtId="0" fontId="32" fillId="131" borderId="298" xfId="0" applyNumberFormat="1" applyFont="1" applyFill="1" applyBorder="1"/>
    <x:xf numFmtId="0" fontId="32" fillId="131" borderId="299" xfId="0" applyNumberFormat="1" applyFont="1" applyFill="1" applyBorder="1"/>
    <x:xf numFmtId="0" fontId="32" fillId="131" borderId="300" xfId="0" applyNumberFormat="1" applyFont="1" applyFill="1" applyBorder="1"/>
    <x:xf numFmtId="0" fontId="32" fillId="131" borderId="301" xfId="0" applyNumberFormat="1" applyFont="1" applyFill="1" applyBorder="1"/>
    <x:xf numFmtId="0" fontId="32" fillId="131" xfId="0" applyNumberFormat="1" applyFont="1" applyFill="1" applyBorder="0"/>
    <x:xf numFmtId="0" fontId="32" fillId="131" borderId="302" xfId="0" applyNumberFormat="1" applyFont="1" applyFill="1" applyBorder="1"/>
    <x:xf numFmtId="0" fontId="32" fillId="131" borderId="303" xfId="0" applyNumberFormat="1" applyFont="1" applyFill="1" applyBorder="1"/>
    <x:xf numFmtId="0" fontId="32" fillId="131" borderId="304" xfId="0" applyNumberFormat="1" applyFont="1" applyFill="1" applyBorder="1"/>
    <x:xf numFmtId="0" fontId="32" fillId="131" borderId="305" xfId="0" applyNumberFormat="1" applyFont="1" applyFill="1" applyBorder="1"/>
    <x:xf numFmtId="0" fontId="32" fillId="131" borderId="298" xfId="0" applyNumberFormat="1" applyFont="1" applyFill="1" applyBorder="1" applyAlignment="1">
      <x:alignment wrapText="1"/>
    </x:xf>
    <x:xf numFmtId="0" fontId="32" fillId="131" borderId="299" xfId="0" applyNumberFormat="1" applyFont="1" applyFill="1" applyBorder="1" applyAlignment="1">
      <x:alignment wrapText="1"/>
    </x:xf>
    <x:xf numFmtId="0" fontId="32" fillId="131" borderId="300" xfId="0" applyNumberFormat="1" applyFont="1" applyFill="1" applyBorder="1" applyAlignment="1">
      <x:alignment wrapText="1"/>
    </x:xf>
    <x:xf numFmtId="0" fontId="32" fillId="131" borderId="301" xfId="0" applyNumberFormat="1" applyFont="1" applyFill="1" applyBorder="1" applyAlignment="1">
      <x:alignment wrapText="1"/>
    </x:xf>
    <x:xf numFmtId="0" fontId="32" fillId="131" xfId="0" applyNumberFormat="1" applyFont="1" applyFill="1" applyBorder="0" applyAlignment="1">
      <x:alignment wrapText="1"/>
    </x:xf>
    <x:xf numFmtId="0" fontId="32" fillId="131" borderId="302" xfId="0" applyNumberFormat="1" applyFont="1" applyFill="1" applyBorder="1" applyAlignment="1">
      <x:alignment wrapText="1"/>
    </x:xf>
    <x:xf numFmtId="0" fontId="32" fillId="131" borderId="303" xfId="0" applyNumberFormat="1" applyFont="1" applyFill="1" applyBorder="1" applyAlignment="1">
      <x:alignment wrapText="1"/>
    </x:xf>
    <x:xf numFmtId="0" fontId="32" fillId="131" borderId="304" xfId="0" applyNumberFormat="1" applyFont="1" applyFill="1" applyBorder="1" applyAlignment="1">
      <x:alignment wrapText="1"/>
    </x:xf>
    <x:xf numFmtId="0" fontId="32" fillId="131" borderId="305" xfId="0" applyNumberFormat="1" applyFont="1" applyFill="1" applyBorder="1" applyAlignment="1">
      <x:alignment wrapText="1"/>
    </x:xf>
    <x:xf numFmtId="0" fontId="32" fillId="131" borderId="298" xfId="0" applyNumberFormat="1" applyFont="1" applyFill="1" applyBorder="1" applyAlignment="1">
      <x:alignment horizontal="center" wrapText="1"/>
    </x:xf>
    <x:xf numFmtId="0" fontId="32" fillId="131" borderId="299" xfId="0" applyNumberFormat="1" applyFont="1" applyFill="1" applyBorder="1" applyAlignment="1">
      <x:alignment horizontal="center" wrapText="1"/>
    </x:xf>
    <x:xf numFmtId="0" fontId="32" fillId="131" borderId="300" xfId="0" applyNumberFormat="1" applyFont="1" applyFill="1" applyBorder="1" applyAlignment="1">
      <x:alignment horizontal="center" wrapText="1"/>
    </x:xf>
    <x:xf numFmtId="0" fontId="32" fillId="131" borderId="301" xfId="0" applyNumberFormat="1" applyFont="1" applyFill="1" applyBorder="1" applyAlignment="1">
      <x:alignment horizontal="center" wrapText="1"/>
    </x:xf>
    <x:xf numFmtId="0" fontId="32" fillId="131" xfId="0" applyNumberFormat="1" applyFont="1" applyFill="1" applyBorder="0" applyAlignment="1">
      <x:alignment horizontal="center" wrapText="1"/>
    </x:xf>
    <x:xf numFmtId="0" fontId="32" fillId="131" borderId="302" xfId="0" applyNumberFormat="1" applyFont="1" applyFill="1" applyBorder="1" applyAlignment="1">
      <x:alignment horizontal="center" wrapText="1"/>
    </x:xf>
    <x:xf numFmtId="0" fontId="32" fillId="131" borderId="303" xfId="0" applyNumberFormat="1" applyFont="1" applyFill="1" applyBorder="1" applyAlignment="1">
      <x:alignment horizontal="center" wrapText="1"/>
    </x:xf>
    <x:xf numFmtId="0" fontId="32" fillId="131" borderId="304" xfId="0" applyNumberFormat="1" applyFont="1" applyFill="1" applyBorder="1" applyAlignment="1">
      <x:alignment horizontal="center" wrapText="1"/>
    </x:xf>
    <x:xf numFmtId="0" fontId="32" fillId="131" borderId="305" xfId="0" applyNumberFormat="1" applyFont="1" applyFill="1" applyBorder="1" applyAlignment="1">
      <x:alignment horizontal="center" wrapText="1"/>
    </x:xf>
    <x:xf numFmtId="0" fontId="32" fillId="131" borderId="298" xfId="0" applyNumberFormat="1" applyFont="1" applyFill="1" applyBorder="1" applyAlignment="1">
      <x:alignment horizontal="center" vertical="center" wrapText="1"/>
    </x:xf>
    <x:xf numFmtId="0" fontId="32" fillId="131" borderId="299" xfId="0" applyNumberFormat="1" applyFont="1" applyFill="1" applyBorder="1" applyAlignment="1">
      <x:alignment horizontal="center" vertical="center" wrapText="1"/>
    </x:xf>
    <x:xf numFmtId="0" fontId="32" fillId="131" borderId="300" xfId="0" applyNumberFormat="1" applyFont="1" applyFill="1" applyBorder="1" applyAlignment="1">
      <x:alignment horizontal="center" vertical="center" wrapText="1"/>
    </x:xf>
    <x:xf numFmtId="0" fontId="32" fillId="131" borderId="301" xfId="0" applyNumberFormat="1" applyFont="1" applyFill="1" applyBorder="1" applyAlignment="1">
      <x:alignment horizontal="center" vertical="center" wrapText="1"/>
    </x:xf>
    <x:xf numFmtId="0" fontId="32" fillId="131" xfId="0" applyNumberFormat="1" applyFont="1" applyFill="1" applyBorder="0" applyAlignment="1">
      <x:alignment horizontal="center" vertical="center" wrapText="1"/>
    </x:xf>
    <x:xf numFmtId="0" fontId="32" fillId="131" borderId="302" xfId="0" applyNumberFormat="1" applyFont="1" applyFill="1" applyBorder="1" applyAlignment="1">
      <x:alignment horizontal="center" vertical="center" wrapText="1"/>
    </x:xf>
    <x:xf numFmtId="0" fontId="32" fillId="131" borderId="303" xfId="0" applyNumberFormat="1" applyFont="1" applyFill="1" applyBorder="1" applyAlignment="1">
      <x:alignment horizontal="center" vertical="center" wrapText="1"/>
    </x:xf>
    <x:xf numFmtId="0" fontId="32" fillId="131" borderId="304" xfId="0" applyNumberFormat="1" applyFont="1" applyFill="1" applyBorder="1" applyAlignment="1">
      <x:alignment horizontal="center" vertical="center" wrapText="1"/>
    </x:xf>
    <x:xf numFmtId="0" fontId="32" fillId="131" borderId="305" xfId="0" applyNumberFormat="1" applyFont="1" applyFill="1" applyBorder="1" applyAlignment="1">
      <x:alignment horizontal="center" vertical="center" wrapText="1"/>
    </x:xf>
    <x:xf numFmtId="0" fontId="0" fillId="132" borderId="0" xfId="0" applyNumberFormat="1" applyFont="1" applyFill="1" applyBorder="1"/>
    <x:xf numFmtId="0" fontId="32" fillId="132" borderId="0" xfId="0" applyNumberFormat="1" applyFont="1" applyFill="1" applyBorder="1"/>
    <x:xf numFmtId="0" fontId="32" fillId="132" borderId="298" xfId="0" applyNumberFormat="1" applyFont="1" applyFill="1" applyBorder="1"/>
    <x:xf numFmtId="0" fontId="32" fillId="132" borderId="299" xfId="0" applyNumberFormat="1" applyFont="1" applyFill="1" applyBorder="1"/>
    <x:xf numFmtId="0" fontId="32" fillId="132" borderId="300" xfId="0" applyNumberFormat="1" applyFont="1" applyFill="1" applyBorder="1"/>
    <x:xf numFmtId="0" fontId="32" fillId="132" borderId="301" xfId="0" applyNumberFormat="1" applyFont="1" applyFill="1" applyBorder="1"/>
    <x:xf numFmtId="0" fontId="32" fillId="132" xfId="0" applyNumberFormat="1" applyFont="1" applyFill="1" applyBorder="0"/>
    <x:xf numFmtId="0" fontId="32" fillId="132" borderId="302" xfId="0" applyNumberFormat="1" applyFont="1" applyFill="1" applyBorder="1"/>
    <x:xf numFmtId="0" fontId="32" fillId="132" borderId="303" xfId="0" applyNumberFormat="1" applyFont="1" applyFill="1" applyBorder="1"/>
    <x:xf numFmtId="0" fontId="32" fillId="132" borderId="304" xfId="0" applyNumberFormat="1" applyFont="1" applyFill="1" applyBorder="1"/>
    <x:xf numFmtId="0" fontId="32" fillId="132" borderId="305" xfId="0" applyNumberFormat="1" applyFont="1" applyFill="1" applyBorder="1"/>
    <x:xf numFmtId="0" fontId="32" fillId="132" borderId="298" xfId="0" applyNumberFormat="1" applyFont="1" applyFill="1" applyBorder="1" applyAlignment="1">
      <x:alignment wrapText="1"/>
    </x:xf>
    <x:xf numFmtId="0" fontId="32" fillId="132" borderId="299" xfId="0" applyNumberFormat="1" applyFont="1" applyFill="1" applyBorder="1" applyAlignment="1">
      <x:alignment wrapText="1"/>
    </x:xf>
    <x:xf numFmtId="0" fontId="32" fillId="132" borderId="300" xfId="0" applyNumberFormat="1" applyFont="1" applyFill="1" applyBorder="1" applyAlignment="1">
      <x:alignment wrapText="1"/>
    </x:xf>
    <x:xf numFmtId="0" fontId="32" fillId="132" borderId="301" xfId="0" applyNumberFormat="1" applyFont="1" applyFill="1" applyBorder="1" applyAlignment="1">
      <x:alignment wrapText="1"/>
    </x:xf>
    <x:xf numFmtId="0" fontId="32" fillId="132" xfId="0" applyNumberFormat="1" applyFont="1" applyFill="1" applyBorder="0" applyAlignment="1">
      <x:alignment wrapText="1"/>
    </x:xf>
    <x:xf numFmtId="0" fontId="32" fillId="132" borderId="302" xfId="0" applyNumberFormat="1" applyFont="1" applyFill="1" applyBorder="1" applyAlignment="1">
      <x:alignment wrapText="1"/>
    </x:xf>
    <x:xf numFmtId="0" fontId="32" fillId="132" borderId="303" xfId="0" applyNumberFormat="1" applyFont="1" applyFill="1" applyBorder="1" applyAlignment="1">
      <x:alignment wrapText="1"/>
    </x:xf>
    <x:xf numFmtId="0" fontId="32" fillId="132" borderId="304" xfId="0" applyNumberFormat="1" applyFont="1" applyFill="1" applyBorder="1" applyAlignment="1">
      <x:alignment wrapText="1"/>
    </x:xf>
    <x:xf numFmtId="0" fontId="32" fillId="132" borderId="305" xfId="0" applyNumberFormat="1" applyFont="1" applyFill="1" applyBorder="1" applyAlignment="1">
      <x:alignment wrapText="1"/>
    </x:xf>
    <x:xf numFmtId="0" fontId="32" fillId="132" borderId="298" xfId="0" applyNumberFormat="1" applyFont="1" applyFill="1" applyBorder="1" applyAlignment="1">
      <x:alignment horizontal="center" wrapText="1"/>
    </x:xf>
    <x:xf numFmtId="0" fontId="32" fillId="132" borderId="299" xfId="0" applyNumberFormat="1" applyFont="1" applyFill="1" applyBorder="1" applyAlignment="1">
      <x:alignment horizontal="center" wrapText="1"/>
    </x:xf>
    <x:xf numFmtId="0" fontId="32" fillId="132" borderId="300" xfId="0" applyNumberFormat="1" applyFont="1" applyFill="1" applyBorder="1" applyAlignment="1">
      <x:alignment horizontal="center" wrapText="1"/>
    </x:xf>
    <x:xf numFmtId="0" fontId="32" fillId="132" borderId="301" xfId="0" applyNumberFormat="1" applyFont="1" applyFill="1" applyBorder="1" applyAlignment="1">
      <x:alignment horizontal="center" wrapText="1"/>
    </x:xf>
    <x:xf numFmtId="0" fontId="32" fillId="132" xfId="0" applyNumberFormat="1" applyFont="1" applyFill="1" applyBorder="0" applyAlignment="1">
      <x:alignment horizontal="center" wrapText="1"/>
    </x:xf>
    <x:xf numFmtId="0" fontId="32" fillId="132" borderId="302" xfId="0" applyNumberFormat="1" applyFont="1" applyFill="1" applyBorder="1" applyAlignment="1">
      <x:alignment horizontal="center" wrapText="1"/>
    </x:xf>
    <x:xf numFmtId="0" fontId="32" fillId="132" borderId="303" xfId="0" applyNumberFormat="1" applyFont="1" applyFill="1" applyBorder="1" applyAlignment="1">
      <x:alignment horizontal="center" wrapText="1"/>
    </x:xf>
    <x:xf numFmtId="0" fontId="32" fillId="132" borderId="304" xfId="0" applyNumberFormat="1" applyFont="1" applyFill="1" applyBorder="1" applyAlignment="1">
      <x:alignment horizontal="center" wrapText="1"/>
    </x:xf>
    <x:xf numFmtId="0" fontId="32" fillId="132" borderId="305" xfId="0" applyNumberFormat="1" applyFont="1" applyFill="1" applyBorder="1" applyAlignment="1">
      <x:alignment horizontal="center" wrapText="1"/>
    </x:xf>
    <x:xf numFmtId="0" fontId="32" fillId="132" borderId="298" xfId="0" applyNumberFormat="1" applyFont="1" applyFill="1" applyBorder="1" applyAlignment="1">
      <x:alignment horizontal="center" vertical="center" wrapText="1"/>
    </x:xf>
    <x:xf numFmtId="0" fontId="32" fillId="132" borderId="299" xfId="0" applyNumberFormat="1" applyFont="1" applyFill="1" applyBorder="1" applyAlignment="1">
      <x:alignment horizontal="center" vertical="center" wrapText="1"/>
    </x:xf>
    <x:xf numFmtId="0" fontId="32" fillId="132" borderId="300" xfId="0" applyNumberFormat="1" applyFont="1" applyFill="1" applyBorder="1" applyAlignment="1">
      <x:alignment horizontal="center" vertical="center" wrapText="1"/>
    </x:xf>
    <x:xf numFmtId="0" fontId="32" fillId="132" borderId="301" xfId="0" applyNumberFormat="1" applyFont="1" applyFill="1" applyBorder="1" applyAlignment="1">
      <x:alignment horizontal="center" vertical="center" wrapText="1"/>
    </x:xf>
    <x:xf numFmtId="0" fontId="32" fillId="132" xfId="0" applyNumberFormat="1" applyFont="1" applyFill="1" applyBorder="0" applyAlignment="1">
      <x:alignment horizontal="center" vertical="center" wrapText="1"/>
    </x:xf>
    <x:xf numFmtId="0" fontId="32" fillId="132" borderId="302" xfId="0" applyNumberFormat="1" applyFont="1" applyFill="1" applyBorder="1" applyAlignment="1">
      <x:alignment horizontal="center" vertical="center" wrapText="1"/>
    </x:xf>
    <x:xf numFmtId="0" fontId="32" fillId="132" borderId="303" xfId="0" applyNumberFormat="1" applyFont="1" applyFill="1" applyBorder="1" applyAlignment="1">
      <x:alignment horizontal="center" vertical="center" wrapText="1"/>
    </x:xf>
    <x:xf numFmtId="0" fontId="32" fillId="132" borderId="304" xfId="0" applyNumberFormat="1" applyFont="1" applyFill="1" applyBorder="1" applyAlignment="1">
      <x:alignment horizontal="center" vertical="center" wrapText="1"/>
    </x:xf>
    <x:xf numFmtId="0" fontId="32" fillId="132" borderId="305" xfId="0" applyNumberFormat="1" applyFont="1" applyFill="1" applyBorder="1" applyAlignment="1">
      <x:alignment horizontal="center" vertical="center" wrapText="1"/>
    </x:xf>
    <x:xf numFmtId="0" fontId="46" fillId="130" borderId="0" xfId="0" applyNumberFormat="1" applyFont="1" applyFill="1" applyBorder="1"/>
    <x:xf numFmtId="0" fontId="46" fillId="130" borderId="0" xfId="0" applyNumberFormat="1" applyFont="1" applyFill="1" applyBorder="1" applyAlignment="1">
      <x:alignment wrapText="1"/>
    </x:xf>
    <x:xf numFmtId="0" fontId="46" fillId="130" borderId="0" xfId="0" applyNumberFormat="1" applyFont="1" applyFill="1" applyBorder="1" applyAlignment="1">
      <x:alignment vertical="center" wrapText="1"/>
    </x:xf>
    <x:xf numFmtId="0" fontId="52" fillId="127" borderId="0" xfId="0" applyNumberFormat="1" applyFont="1" applyFill="1" applyBorder="1"/>
    <x:xf numFmtId="0" fontId="52" fillId="129" borderId="0" xfId="0" applyNumberFormat="1" applyFont="1" applyFill="1" applyBorder="1"/>
    <x:xf numFmtId="0" fontId="52" fillId="130" borderId="298" xfId="0" applyNumberFormat="1" applyFont="1" applyFill="1" applyBorder="1" applyAlignment="1">
      <x:alignment horizontal="center" vertical="center" wrapText="1"/>
    </x:xf>
    <x:xf numFmtId="0" fontId="52" fillId="130" borderId="299" xfId="0" applyNumberFormat="1" applyFont="1" applyFill="1" applyBorder="1" applyAlignment="1">
      <x:alignment horizontal="center" vertical="center" wrapText="1"/>
    </x:xf>
    <x:xf numFmtId="0" fontId="52" fillId="130" borderId="300" xfId="0" applyNumberFormat="1" applyFont="1" applyFill="1" applyBorder="1" applyAlignment="1">
      <x:alignment horizontal="center" vertical="center" wrapText="1"/>
    </x:xf>
    <x:xf numFmtId="0" fontId="52" fillId="130" borderId="301" xfId="0" applyNumberFormat="1" applyFont="1" applyFill="1" applyBorder="1" applyAlignment="1">
      <x:alignment horizontal="center" vertical="center" wrapText="1"/>
    </x:xf>
    <x:xf numFmtId="0" fontId="52" fillId="130" xfId="0" applyNumberFormat="1" applyFont="1" applyFill="1" applyBorder="0" applyAlignment="1">
      <x:alignment horizontal="center" vertical="center" wrapText="1"/>
    </x:xf>
    <x:xf numFmtId="0" fontId="52" fillId="130" borderId="302" xfId="0" applyNumberFormat="1" applyFont="1" applyFill="1" applyBorder="1" applyAlignment="1">
      <x:alignment horizontal="center" vertical="center" wrapText="1"/>
    </x:xf>
    <x:xf numFmtId="0" fontId="52" fillId="130" borderId="303" xfId="0" applyNumberFormat="1" applyFont="1" applyFill="1" applyBorder="1" applyAlignment="1">
      <x:alignment horizontal="center" vertical="center" wrapText="1"/>
    </x:xf>
    <x:xf numFmtId="0" fontId="52" fillId="130" borderId="304" xfId="0" applyNumberFormat="1" applyFont="1" applyFill="1" applyBorder="1" applyAlignment="1">
      <x:alignment horizontal="center" vertical="center" wrapText="1"/>
    </x:xf>
    <x:xf numFmtId="0" fontId="52" fillId="130" borderId="305" xfId="0" applyNumberFormat="1" applyFont="1" applyFill="1" applyBorder="1" applyAlignment="1">
      <x:alignment horizontal="center" vertical="center" wrapText="1"/>
    </x:xf>
    <x:xf numFmtId="0" fontId="52" fillId="131" borderId="298" xfId="0" applyNumberFormat="1" applyFont="1" applyFill="1" applyBorder="1" applyAlignment="1">
      <x:alignment horizontal="center" vertical="center" wrapText="1"/>
    </x:xf>
    <x:xf numFmtId="0" fontId="52" fillId="131" borderId="299" xfId="0" applyNumberFormat="1" applyFont="1" applyFill="1" applyBorder="1" applyAlignment="1">
      <x:alignment horizontal="center" vertical="center" wrapText="1"/>
    </x:xf>
    <x:xf numFmtId="0" fontId="52" fillId="131" borderId="300" xfId="0" applyNumberFormat="1" applyFont="1" applyFill="1" applyBorder="1" applyAlignment="1">
      <x:alignment horizontal="center" vertical="center" wrapText="1"/>
    </x:xf>
    <x:xf numFmtId="0" fontId="52" fillId="131" borderId="301" xfId="0" applyNumberFormat="1" applyFont="1" applyFill="1" applyBorder="1" applyAlignment="1">
      <x:alignment horizontal="center" vertical="center" wrapText="1"/>
    </x:xf>
    <x:xf numFmtId="0" fontId="52" fillId="131" xfId="0" applyNumberFormat="1" applyFont="1" applyFill="1" applyBorder="0" applyAlignment="1">
      <x:alignment horizontal="center" vertical="center" wrapText="1"/>
    </x:xf>
    <x:xf numFmtId="0" fontId="52" fillId="131" borderId="302" xfId="0" applyNumberFormat="1" applyFont="1" applyFill="1" applyBorder="1" applyAlignment="1">
      <x:alignment horizontal="center" vertical="center" wrapText="1"/>
    </x:xf>
    <x:xf numFmtId="0" fontId="52" fillId="131" borderId="303" xfId="0" applyNumberFormat="1" applyFont="1" applyFill="1" applyBorder="1" applyAlignment="1">
      <x:alignment horizontal="center" vertical="center" wrapText="1"/>
    </x:xf>
    <x:xf numFmtId="0" fontId="52" fillId="131" borderId="304" xfId="0" applyNumberFormat="1" applyFont="1" applyFill="1" applyBorder="1" applyAlignment="1">
      <x:alignment horizontal="center" vertical="center" wrapText="1"/>
    </x:xf>
    <x:xf numFmtId="0" fontId="52" fillId="131" borderId="305" xfId="0" applyNumberFormat="1" applyFont="1" applyFill="1" applyBorder="1" applyAlignment="1">
      <x:alignment horizontal="center" vertical="center" wrapText="1"/>
    </x:xf>
    <x:xf numFmtId="0" fontId="52" fillId="132" borderId="298" xfId="0" applyNumberFormat="1" applyFont="1" applyFill="1" applyBorder="1" applyAlignment="1">
      <x:alignment horizontal="center" vertical="center" wrapText="1"/>
    </x:xf>
    <x:xf numFmtId="0" fontId="52" fillId="132" borderId="299" xfId="0" applyNumberFormat="1" applyFont="1" applyFill="1" applyBorder="1" applyAlignment="1">
      <x:alignment horizontal="center" vertical="center" wrapText="1"/>
    </x:xf>
    <x:xf numFmtId="0" fontId="52" fillId="132" borderId="300" xfId="0" applyNumberFormat="1" applyFont="1" applyFill="1" applyBorder="1" applyAlignment="1">
      <x:alignment horizontal="center" vertical="center" wrapText="1"/>
    </x:xf>
    <x:xf numFmtId="0" fontId="52" fillId="132" borderId="301" xfId="0" applyNumberFormat="1" applyFont="1" applyFill="1" applyBorder="1" applyAlignment="1">
      <x:alignment horizontal="center" vertical="center" wrapText="1"/>
    </x:xf>
    <x:xf numFmtId="0" fontId="52" fillId="132" xfId="0" applyNumberFormat="1" applyFont="1" applyFill="1" applyBorder="0" applyAlignment="1">
      <x:alignment horizontal="center" vertical="center" wrapText="1"/>
    </x:xf>
    <x:xf numFmtId="0" fontId="52" fillId="132" borderId="302" xfId="0" applyNumberFormat="1" applyFont="1" applyFill="1" applyBorder="1" applyAlignment="1">
      <x:alignment horizontal="center" vertical="center" wrapText="1"/>
    </x:xf>
    <x:xf numFmtId="0" fontId="52" fillId="132" borderId="303" xfId="0" applyNumberFormat="1" applyFont="1" applyFill="1" applyBorder="1" applyAlignment="1">
      <x:alignment horizontal="center" vertical="center" wrapText="1"/>
    </x:xf>
    <x:xf numFmtId="0" fontId="52" fillId="132" borderId="304" xfId="0" applyNumberFormat="1" applyFont="1" applyFill="1" applyBorder="1" applyAlignment="1">
      <x:alignment horizontal="center" vertical="center" wrapText="1"/>
    </x:xf>
    <x:xf numFmtId="0" fontId="52" fillId="132" borderId="305" xfId="0" applyNumberFormat="1" applyFont="1" applyFill="1" applyBorder="1" applyAlignment="1">
      <x:alignment horizontal="center" vertical="center" wrapText="1"/>
    </x:xf>
    <x:xf numFmtId="0" fontId="52" fillId="130" borderId="0" xfId="0" applyNumberFormat="1" applyFont="1" applyFill="1" applyBorder="1" applyAlignment="1">
      <x:alignment vertical="center" wrapText="1"/>
    </x:xf>
    <x:xf numFmtId="0" fontId="28" fillId="129" borderId="0" xfId="0" applyNumberFormat="1" applyFont="1" applyFill="1" applyBorder="1"/>
    <x:xf numFmtId="0" fontId="0" fillId="133" borderId="0" xfId="0" applyNumberFormat="1" applyFont="1" applyFill="1" applyBorder="1"/>
    <x:xf numFmtId="0" fontId="30" fillId="133" borderId="0" xfId="0" applyNumberFormat="1" applyFont="1" applyFill="1" applyBorder="1"/>
    <x:xf numFmtId="0" fontId="30" fillId="133" borderId="0" xfId="0" applyNumberFormat="1" applyFont="1" applyFill="1" applyBorder="1" applyAlignment="1">
      <x:alignment wrapText="1"/>
    </x:xf>
    <x:xf numFmtId="0" fontId="0" fillId="134" borderId="0" xfId="0" applyNumberFormat="1" applyFont="1" applyFill="1" applyBorder="1"/>
    <x:xf numFmtId="0" fontId="31" fillId="134" borderId="0" xfId="0" applyNumberFormat="1" applyFont="1" applyFill="1" applyBorder="1"/>
    <x:xf numFmtId="0" fontId="31" fillId="134" borderId="306" xfId="0" applyNumberFormat="1" applyFont="1" applyFill="1" applyBorder="1"/>
    <x:xf numFmtId="0" fontId="20" fillId="133" borderId="0" xfId="0" applyNumberFormat="1" applyFont="1" applyFill="1" applyBorder="1"/>
    <x:xf numFmtId="0" fontId="20" fillId="133" borderId="0" xfId="0" applyNumberFormat="1" applyFont="1" applyFill="1" applyBorder="1" applyAlignment="1">
      <x:alignment wrapText="1"/>
    </x:xf>
    <x:xf numFmtId="0" fontId="0" fillId="135" borderId="0" xfId="0" applyNumberFormat="1" applyFont="1" applyFill="1" applyBorder="1"/>
    <x:xf numFmtId="0" fontId="37" fillId="135" borderId="0" xfId="0" applyNumberFormat="1" applyFont="1" applyFill="1" applyBorder="1"/>
    <x:xf numFmtId="0" fontId="37" fillId="135" borderId="0" xfId="0" applyNumberFormat="1" applyFont="1" applyFill="1" applyBorder="1" applyAlignment="1">
      <x:alignment wrapText="1"/>
    </x:xf>
    <x:xf numFmtId="0" fontId="52" fillId="134" borderId="306" xfId="0" applyNumberFormat="1" applyFont="1" applyFill="1" applyBorder="1"/>
    <x:xf numFmtId="0" fontId="45" fillId="133" borderId="0" xfId="0" applyNumberFormat="1" applyFont="1" applyFill="1" applyBorder="1" applyAlignment="1">
      <x:alignment wrapText="1"/>
    </x:xf>
    <x:xf numFmtId="0" fontId="52" fillId="135" borderId="0" xfId="0" applyNumberFormat="1" applyFont="1" applyFill="1" applyBorder="1" applyAlignment="1">
      <x:alignment wrapText="1"/>
    </x:xf>
    <x:xf numFmtId="0" fontId="45" fillId="136" borderId="0" xfId="0" applyNumberFormat="1" applyFont="1" applyFill="1" applyBorder="1" applyAlignment="1">
      <x:alignment wrapText="1"/>
    </x:xf>
    <x:xf numFmtId="0" fontId="45" fillId="137" borderId="0" xfId="0" applyNumberFormat="1" applyFont="1" applyFill="1" applyBorder="1" applyAlignment="1">
      <x:alignment wrapText="1"/>
    </x:xf>
    <x:xf numFmtId="0" fontId="45" fillId="138" borderId="0" xfId="0" applyNumberFormat="1" applyFont="1" applyFill="1" applyBorder="1" applyAlignment="1">
      <x:alignment wrapText="1"/>
    </x:xf>
    <x:xf numFmtId="0" fontId="21" fillId="135" borderId="0" xfId="0" applyNumberFormat="1" applyFont="1" applyFill="1" applyBorder="1"/>
    <x:xf numFmtId="0" fontId="34" fillId="133" borderId="0" xfId="0" applyNumberFormat="1" applyFont="1" applyFill="1" applyBorder="1"/>
    <x:xf numFmtId="0" fontId="34" fillId="133" borderId="0" xfId="0" applyNumberFormat="1" applyFont="1" applyFill="1" applyBorder="1" applyAlignment="1">
      <x:alignment wrapText="1"/>
    </x:xf>
    <x:xf numFmtId="0" fontId="0" fillId="136" borderId="0" xfId="0" applyNumberFormat="1" applyFont="1" applyFill="1" applyBorder="1"/>
    <x:xf numFmtId="0" fontId="46" fillId="136" borderId="0" xfId="0" applyNumberFormat="1" applyFont="1" applyFill="1" applyBorder="1"/>
    <x:xf numFmtId="0" fontId="46" fillId="136" borderId="0" xfId="0" applyNumberFormat="1" applyFont="1" applyFill="1" applyBorder="1" applyAlignment="1">
      <x:alignment wrapText="1"/>
    </x:xf>
    <x:xf numFmtId="0" fontId="46" fillId="136" borderId="0" xfId="0" applyNumberFormat="1" applyFont="1" applyFill="1" applyBorder="1" applyAlignment="1">
      <x:alignment vertical="center" wrapText="1"/>
    </x:xf>
    <x:xf numFmtId="0" fontId="40" fillId="134" borderId="306" xfId="0" applyNumberFormat="1" applyFont="1" applyFill="1" applyBorder="1"/>
    <x:xf numFmtId="0" fontId="41" fillId="133" borderId="0" xfId="0" applyNumberFormat="1" applyFont="1" applyFill="1" applyBorder="1" applyAlignment="1">
      <x:alignment wrapText="1"/>
    </x:xf>
    <x:xf numFmtId="0" fontId="40" fillId="135" borderId="0" xfId="0" applyNumberFormat="1" applyFont="1" applyFill="1" applyBorder="1" applyAlignment="1">
      <x:alignment wrapText="1"/>
    </x:xf>
    <x:xf numFmtId="0" fontId="40" fillId="135" borderId="0" xfId="0" applyNumberFormat="1" applyFont="1" applyFill="1" applyBorder="1"/>
    <x:xf numFmtId="0" fontId="40" fillId="133" borderId="0" xfId="0" applyNumberFormat="1" applyFont="1" applyFill="1" applyBorder="1" applyAlignment="1">
      <x:alignment wrapText="1"/>
    </x:xf>
    <x:xf numFmtId="0" fontId="40" fillId="136" borderId="0" xfId="0" applyNumberFormat="1" applyFont="1" applyFill="1" applyBorder="1" applyAlignment="1">
      <x:alignment vertical="center" wrapText="1"/>
    </x:xf>
    <x:xf numFmtId="0" fontId="0" fillId="136" borderId="0" xfId="0" applyNumberFormat="1" applyFont="1" applyFill="1" applyBorder="1" applyAlignment="1">
      <x:alignment wrapText="1"/>
    </x:xf>
    <x:xf numFmtId="0" fontId="53" fillId="136" borderId="0" xfId="0" applyNumberFormat="1" applyFont="1" applyFill="1" applyBorder="1"/>
    <x:xf numFmtId="0" fontId="53" fillId="136" borderId="0" xfId="0" applyNumberFormat="1" applyFont="1" applyFill="1" applyBorder="1" applyAlignment="1">
      <x:alignment wrapText="1"/>
    </x:xf>
    <x:xf numFmtId="0" fontId="53" fillId="136" borderId="0" xfId="0" applyNumberFormat="1" applyFont="1" applyFill="1" applyBorder="1" applyAlignment="1">
      <x:alignment vertical="center" wrapText="1"/>
    </x:xf>
    <x:xf numFmtId="0" fontId="0" fillId="139" borderId="0" xfId="0" applyNumberFormat="1" applyFont="1" applyFill="1" applyBorder="1" applyAlignment="1">
      <x:alignment wrapText="1"/>
    </x:xf>
    <x:xf numFmtId="0" fontId="0" fillId="137" borderId="0" xfId="0" applyNumberFormat="1" applyFont="1" applyFill="1" applyBorder="1" applyAlignment="1">
      <x:alignment wrapText="1"/>
    </x:xf>
    <x:xf numFmtId="0" fontId="41" fillId="136" borderId="0" xfId="0" applyNumberFormat="1" applyFont="1" applyFill="1" applyBorder="1" applyAlignment="1">
      <x:alignment wrapText="1"/>
    </x:xf>
    <x:xf numFmtId="0" fontId="41" fillId="139" borderId="0" xfId="0" applyNumberFormat="1" applyFont="1" applyFill="1" applyBorder="1" applyAlignment="1">
      <x:alignment wrapText="1"/>
    </x:xf>
    <x:xf numFmtId="0" fontId="41" fillId="137" borderId="0" xfId="0" applyNumberFormat="1" applyFont="1" applyFill="1" applyBorder="1" applyAlignment="1">
      <x:alignment wrapText="1"/>
    </x:xf>
    <x:xf numFmtId="0" fontId="54" fillId="134" borderId="0" xfId="0" applyNumberFormat="1" applyFont="1" applyFill="1" applyBorder="1"/>
    <x:xf numFmtId="0" fontId="54" fillId="134" borderId="306" xfId="0" applyNumberFormat="1" applyFont="1" applyFill="1" applyBorder="1"/>
    <x:xf numFmtId="0" fontId="50" fillId="133" borderId="0" xfId="0" applyNumberFormat="1" applyFont="1" applyFill="1" applyBorder="1"/>
    <x:xf numFmtId="0" fontId="50" fillId="133" borderId="0" xfId="0" applyNumberFormat="1" applyFont="1" applyFill="1" applyBorder="1" applyAlignment="1">
      <x:alignment wrapText="1"/>
    </x:xf>
    <x:xf numFmtId="0" fontId="32" fillId="136" borderId="0" xfId="0" applyNumberFormat="1" applyFont="1" applyFill="1" applyBorder="1"/>
    <x:xf numFmtId="0" fontId="32" fillId="136" borderId="307" xfId="0" applyNumberFormat="1" applyFont="1" applyFill="1" applyBorder="1"/>
    <x:xf numFmtId="0" fontId="32" fillId="136" borderId="308" xfId="0" applyNumberFormat="1" applyFont="1" applyFill="1" applyBorder="1"/>
    <x:xf numFmtId="0" fontId="32" fillId="136" borderId="309" xfId="0" applyNumberFormat="1" applyFont="1" applyFill="1" applyBorder="1"/>
    <x:xf numFmtId="0" fontId="32" fillId="136" borderId="310" xfId="0" applyNumberFormat="1" applyFont="1" applyFill="1" applyBorder="1"/>
    <x:xf numFmtId="0" fontId="32" fillId="136" xfId="0" applyNumberFormat="1" applyFont="1" applyFill="1" applyBorder="0"/>
    <x:xf numFmtId="0" fontId="32" fillId="136" borderId="311" xfId="0" applyNumberFormat="1" applyFont="1" applyFill="1" applyBorder="1"/>
    <x:xf numFmtId="0" fontId="32" fillId="136" borderId="312" xfId="0" applyNumberFormat="1" applyFont="1" applyFill="1" applyBorder="1"/>
    <x:xf numFmtId="0" fontId="32" fillId="136" borderId="313" xfId="0" applyNumberFormat="1" applyFont="1" applyFill="1" applyBorder="1"/>
    <x:xf numFmtId="0" fontId="32" fillId="136" borderId="314" xfId="0" applyNumberFormat="1" applyFont="1" applyFill="1" applyBorder="1"/>
    <x:xf numFmtId="0" fontId="32" fillId="136" borderId="307" xfId="0" applyNumberFormat="1" applyFont="1" applyFill="1" applyBorder="1" applyAlignment="1">
      <x:alignment wrapText="1"/>
    </x:xf>
    <x:xf numFmtId="0" fontId="32" fillId="136" borderId="308" xfId="0" applyNumberFormat="1" applyFont="1" applyFill="1" applyBorder="1" applyAlignment="1">
      <x:alignment wrapText="1"/>
    </x:xf>
    <x:xf numFmtId="0" fontId="32" fillId="136" borderId="309" xfId="0" applyNumberFormat="1" applyFont="1" applyFill="1" applyBorder="1" applyAlignment="1">
      <x:alignment wrapText="1"/>
    </x:xf>
    <x:xf numFmtId="0" fontId="32" fillId="136" borderId="310" xfId="0" applyNumberFormat="1" applyFont="1" applyFill="1" applyBorder="1" applyAlignment="1">
      <x:alignment wrapText="1"/>
    </x:xf>
    <x:xf numFmtId="0" fontId="32" fillId="136" xfId="0" applyNumberFormat="1" applyFont="1" applyFill="1" applyBorder="0" applyAlignment="1">
      <x:alignment wrapText="1"/>
    </x:xf>
    <x:xf numFmtId="0" fontId="32" fillId="136" borderId="311" xfId="0" applyNumberFormat="1" applyFont="1" applyFill="1" applyBorder="1" applyAlignment="1">
      <x:alignment wrapText="1"/>
    </x:xf>
    <x:xf numFmtId="0" fontId="32" fillId="136" borderId="312" xfId="0" applyNumberFormat="1" applyFont="1" applyFill="1" applyBorder="1" applyAlignment="1">
      <x:alignment wrapText="1"/>
    </x:xf>
    <x:xf numFmtId="0" fontId="32" fillId="136" borderId="313" xfId="0" applyNumberFormat="1" applyFont="1" applyFill="1" applyBorder="1" applyAlignment="1">
      <x:alignment wrapText="1"/>
    </x:xf>
    <x:xf numFmtId="0" fontId="32" fillId="136" borderId="314" xfId="0" applyNumberFormat="1" applyFont="1" applyFill="1" applyBorder="1" applyAlignment="1">
      <x:alignment wrapText="1"/>
    </x:xf>
    <x:xf numFmtId="0" fontId="32" fillId="136" borderId="307" xfId="0" applyNumberFormat="1" applyFont="1" applyFill="1" applyBorder="1" applyAlignment="1">
      <x:alignment horizontal="center" wrapText="1"/>
    </x:xf>
    <x:xf numFmtId="0" fontId="32" fillId="136" borderId="308" xfId="0" applyNumberFormat="1" applyFont="1" applyFill="1" applyBorder="1" applyAlignment="1">
      <x:alignment horizontal="center" wrapText="1"/>
    </x:xf>
    <x:xf numFmtId="0" fontId="32" fillId="136" borderId="309" xfId="0" applyNumberFormat="1" applyFont="1" applyFill="1" applyBorder="1" applyAlignment="1">
      <x:alignment horizontal="center" wrapText="1"/>
    </x:xf>
    <x:xf numFmtId="0" fontId="32" fillId="136" borderId="310" xfId="0" applyNumberFormat="1" applyFont="1" applyFill="1" applyBorder="1" applyAlignment="1">
      <x:alignment horizontal="center" wrapText="1"/>
    </x:xf>
    <x:xf numFmtId="0" fontId="32" fillId="136" xfId="0" applyNumberFormat="1" applyFont="1" applyFill="1" applyBorder="0" applyAlignment="1">
      <x:alignment horizontal="center" wrapText="1"/>
    </x:xf>
    <x:xf numFmtId="0" fontId="32" fillId="136" borderId="311" xfId="0" applyNumberFormat="1" applyFont="1" applyFill="1" applyBorder="1" applyAlignment="1">
      <x:alignment horizontal="center" wrapText="1"/>
    </x:xf>
    <x:xf numFmtId="0" fontId="32" fillId="136" borderId="312" xfId="0" applyNumberFormat="1" applyFont="1" applyFill="1" applyBorder="1" applyAlignment="1">
      <x:alignment horizontal="center" wrapText="1"/>
    </x:xf>
    <x:xf numFmtId="0" fontId="32" fillId="136" borderId="313" xfId="0" applyNumberFormat="1" applyFont="1" applyFill="1" applyBorder="1" applyAlignment="1">
      <x:alignment horizontal="center" wrapText="1"/>
    </x:xf>
    <x:xf numFmtId="0" fontId="32" fillId="136" borderId="314" xfId="0" applyNumberFormat="1" applyFont="1" applyFill="1" applyBorder="1" applyAlignment="1">
      <x:alignment horizontal="center" wrapText="1"/>
    </x:xf>
    <x:xf numFmtId="0" fontId="32" fillId="136" borderId="307" xfId="0" applyNumberFormat="1" applyFont="1" applyFill="1" applyBorder="1" applyAlignment="1">
      <x:alignment horizontal="center" vertical="center" wrapText="1"/>
    </x:xf>
    <x:xf numFmtId="0" fontId="32" fillId="136" borderId="308" xfId="0" applyNumberFormat="1" applyFont="1" applyFill="1" applyBorder="1" applyAlignment="1">
      <x:alignment horizontal="center" vertical="center" wrapText="1"/>
    </x:xf>
    <x:xf numFmtId="0" fontId="32" fillId="136" borderId="309" xfId="0" applyNumberFormat="1" applyFont="1" applyFill="1" applyBorder="1" applyAlignment="1">
      <x:alignment horizontal="center" vertical="center" wrapText="1"/>
    </x:xf>
    <x:xf numFmtId="0" fontId="32" fillId="136" borderId="310" xfId="0" applyNumberFormat="1" applyFont="1" applyFill="1" applyBorder="1" applyAlignment="1">
      <x:alignment horizontal="center" vertical="center" wrapText="1"/>
    </x:xf>
    <x:xf numFmtId="0" fontId="32" fillId="136" xfId="0" applyNumberFormat="1" applyFont="1" applyFill="1" applyBorder="0" applyAlignment="1">
      <x:alignment horizontal="center" vertical="center" wrapText="1"/>
    </x:xf>
    <x:xf numFmtId="0" fontId="32" fillId="136" borderId="311" xfId="0" applyNumberFormat="1" applyFont="1" applyFill="1" applyBorder="1" applyAlignment="1">
      <x:alignment horizontal="center" vertical="center" wrapText="1"/>
    </x:xf>
    <x:xf numFmtId="0" fontId="32" fillId="136" borderId="312" xfId="0" applyNumberFormat="1" applyFont="1" applyFill="1" applyBorder="1" applyAlignment="1">
      <x:alignment horizontal="center" vertical="center" wrapText="1"/>
    </x:xf>
    <x:xf numFmtId="0" fontId="32" fillId="136" borderId="313" xfId="0" applyNumberFormat="1" applyFont="1" applyFill="1" applyBorder="1" applyAlignment="1">
      <x:alignment horizontal="center" vertical="center" wrapText="1"/>
    </x:xf>
    <x:xf numFmtId="0" fontId="32" fillId="136" borderId="314" xfId="0" applyNumberFormat="1" applyFont="1" applyFill="1" applyBorder="1" applyAlignment="1">
      <x:alignment horizontal="center" vertical="center" wrapText="1"/>
    </x:xf>
    <x:xf numFmtId="0" fontId="0" fillId="138" borderId="0" xfId="0" applyNumberFormat="1" applyFont="1" applyFill="1" applyBorder="1"/>
    <x:xf numFmtId="0" fontId="32" fillId="138" borderId="0" xfId="0" applyNumberFormat="1" applyFont="1" applyFill="1" applyBorder="1"/>
    <x:xf numFmtId="0" fontId="32" fillId="138" borderId="307" xfId="0" applyNumberFormat="1" applyFont="1" applyFill="1" applyBorder="1"/>
    <x:xf numFmtId="0" fontId="32" fillId="138" borderId="308" xfId="0" applyNumberFormat="1" applyFont="1" applyFill="1" applyBorder="1"/>
    <x:xf numFmtId="0" fontId="32" fillId="138" borderId="309" xfId="0" applyNumberFormat="1" applyFont="1" applyFill="1" applyBorder="1"/>
    <x:xf numFmtId="0" fontId="32" fillId="138" borderId="310" xfId="0" applyNumberFormat="1" applyFont="1" applyFill="1" applyBorder="1"/>
    <x:xf numFmtId="0" fontId="32" fillId="138" xfId="0" applyNumberFormat="1" applyFont="1" applyFill="1" applyBorder="0"/>
    <x:xf numFmtId="0" fontId="32" fillId="138" borderId="311" xfId="0" applyNumberFormat="1" applyFont="1" applyFill="1" applyBorder="1"/>
    <x:xf numFmtId="0" fontId="32" fillId="138" borderId="312" xfId="0" applyNumberFormat="1" applyFont="1" applyFill="1" applyBorder="1"/>
    <x:xf numFmtId="0" fontId="32" fillId="138" borderId="313" xfId="0" applyNumberFormat="1" applyFont="1" applyFill="1" applyBorder="1"/>
    <x:xf numFmtId="0" fontId="32" fillId="138" borderId="314" xfId="0" applyNumberFormat="1" applyFont="1" applyFill="1" applyBorder="1"/>
    <x:xf numFmtId="0" fontId="32" fillId="138" borderId="307" xfId="0" applyNumberFormat="1" applyFont="1" applyFill="1" applyBorder="1" applyAlignment="1">
      <x:alignment wrapText="1"/>
    </x:xf>
    <x:xf numFmtId="0" fontId="32" fillId="138" borderId="308" xfId="0" applyNumberFormat="1" applyFont="1" applyFill="1" applyBorder="1" applyAlignment="1">
      <x:alignment wrapText="1"/>
    </x:xf>
    <x:xf numFmtId="0" fontId="32" fillId="138" borderId="309" xfId="0" applyNumberFormat="1" applyFont="1" applyFill="1" applyBorder="1" applyAlignment="1">
      <x:alignment wrapText="1"/>
    </x:xf>
    <x:xf numFmtId="0" fontId="32" fillId="138" borderId="310" xfId="0" applyNumberFormat="1" applyFont="1" applyFill="1" applyBorder="1" applyAlignment="1">
      <x:alignment wrapText="1"/>
    </x:xf>
    <x:xf numFmtId="0" fontId="32" fillId="138" xfId="0" applyNumberFormat="1" applyFont="1" applyFill="1" applyBorder="0" applyAlignment="1">
      <x:alignment wrapText="1"/>
    </x:xf>
    <x:xf numFmtId="0" fontId="32" fillId="138" borderId="311" xfId="0" applyNumberFormat="1" applyFont="1" applyFill="1" applyBorder="1" applyAlignment="1">
      <x:alignment wrapText="1"/>
    </x:xf>
    <x:xf numFmtId="0" fontId="32" fillId="138" borderId="312" xfId="0" applyNumberFormat="1" applyFont="1" applyFill="1" applyBorder="1" applyAlignment="1">
      <x:alignment wrapText="1"/>
    </x:xf>
    <x:xf numFmtId="0" fontId="32" fillId="138" borderId="313" xfId="0" applyNumberFormat="1" applyFont="1" applyFill="1" applyBorder="1" applyAlignment="1">
      <x:alignment wrapText="1"/>
    </x:xf>
    <x:xf numFmtId="0" fontId="32" fillId="138" borderId="314" xfId="0" applyNumberFormat="1" applyFont="1" applyFill="1" applyBorder="1" applyAlignment="1">
      <x:alignment wrapText="1"/>
    </x:xf>
    <x:xf numFmtId="0" fontId="32" fillId="138" borderId="307" xfId="0" applyNumberFormat="1" applyFont="1" applyFill="1" applyBorder="1" applyAlignment="1">
      <x:alignment horizontal="center" wrapText="1"/>
    </x:xf>
    <x:xf numFmtId="0" fontId="32" fillId="138" borderId="308" xfId="0" applyNumberFormat="1" applyFont="1" applyFill="1" applyBorder="1" applyAlignment="1">
      <x:alignment horizontal="center" wrapText="1"/>
    </x:xf>
    <x:xf numFmtId="0" fontId="32" fillId="138" borderId="309" xfId="0" applyNumberFormat="1" applyFont="1" applyFill="1" applyBorder="1" applyAlignment="1">
      <x:alignment horizontal="center" wrapText="1"/>
    </x:xf>
    <x:xf numFmtId="0" fontId="32" fillId="138" borderId="310" xfId="0" applyNumberFormat="1" applyFont="1" applyFill="1" applyBorder="1" applyAlignment="1">
      <x:alignment horizontal="center" wrapText="1"/>
    </x:xf>
    <x:xf numFmtId="0" fontId="32" fillId="138" xfId="0" applyNumberFormat="1" applyFont="1" applyFill="1" applyBorder="0" applyAlignment="1">
      <x:alignment horizontal="center" wrapText="1"/>
    </x:xf>
    <x:xf numFmtId="0" fontId="32" fillId="138" borderId="311" xfId="0" applyNumberFormat="1" applyFont="1" applyFill="1" applyBorder="1" applyAlignment="1">
      <x:alignment horizontal="center" wrapText="1"/>
    </x:xf>
    <x:xf numFmtId="0" fontId="32" fillId="138" borderId="312" xfId="0" applyNumberFormat="1" applyFont="1" applyFill="1" applyBorder="1" applyAlignment="1">
      <x:alignment horizontal="center" wrapText="1"/>
    </x:xf>
    <x:xf numFmtId="0" fontId="32" fillId="138" borderId="313" xfId="0" applyNumberFormat="1" applyFont="1" applyFill="1" applyBorder="1" applyAlignment="1">
      <x:alignment horizontal="center" wrapText="1"/>
    </x:xf>
    <x:xf numFmtId="0" fontId="32" fillId="138" borderId="314" xfId="0" applyNumberFormat="1" applyFont="1" applyFill="1" applyBorder="1" applyAlignment="1">
      <x:alignment horizontal="center" wrapText="1"/>
    </x:xf>
    <x:xf numFmtId="0" fontId="32" fillId="138" borderId="307" xfId="0" applyNumberFormat="1" applyFont="1" applyFill="1" applyBorder="1" applyAlignment="1">
      <x:alignment horizontal="center" vertical="center" wrapText="1"/>
    </x:xf>
    <x:xf numFmtId="0" fontId="32" fillId="138" borderId="308" xfId="0" applyNumberFormat="1" applyFont="1" applyFill="1" applyBorder="1" applyAlignment="1">
      <x:alignment horizontal="center" vertical="center" wrapText="1"/>
    </x:xf>
    <x:xf numFmtId="0" fontId="32" fillId="138" borderId="309" xfId="0" applyNumberFormat="1" applyFont="1" applyFill="1" applyBorder="1" applyAlignment="1">
      <x:alignment horizontal="center" vertical="center" wrapText="1"/>
    </x:xf>
    <x:xf numFmtId="0" fontId="32" fillId="138" borderId="310" xfId="0" applyNumberFormat="1" applyFont="1" applyFill="1" applyBorder="1" applyAlignment="1">
      <x:alignment horizontal="center" vertical="center" wrapText="1"/>
    </x:xf>
    <x:xf numFmtId="0" fontId="32" fillId="138" xfId="0" applyNumberFormat="1" applyFont="1" applyFill="1" applyBorder="0" applyAlignment="1">
      <x:alignment horizontal="center" vertical="center" wrapText="1"/>
    </x:xf>
    <x:xf numFmtId="0" fontId="32" fillId="138" borderId="311" xfId="0" applyNumberFormat="1" applyFont="1" applyFill="1" applyBorder="1" applyAlignment="1">
      <x:alignment horizontal="center" vertical="center" wrapText="1"/>
    </x:xf>
    <x:xf numFmtId="0" fontId="32" fillId="138" borderId="312" xfId="0" applyNumberFormat="1" applyFont="1" applyFill="1" applyBorder="1" applyAlignment="1">
      <x:alignment horizontal="center" vertical="center" wrapText="1"/>
    </x:xf>
    <x:xf numFmtId="0" fontId="32" fillId="138" borderId="313" xfId="0" applyNumberFormat="1" applyFont="1" applyFill="1" applyBorder="1" applyAlignment="1">
      <x:alignment horizontal="center" vertical="center" wrapText="1"/>
    </x:xf>
    <x:xf numFmtId="0" fontId="32" fillId="138" borderId="314" xfId="0" applyNumberFormat="1" applyFont="1" applyFill="1" applyBorder="1" applyAlignment="1">
      <x:alignment horizontal="center" vertical="center" wrapText="1"/>
    </x:xf>
    <x:xf numFmtId="0" fontId="0" fillId="137" borderId="0" xfId="0" applyNumberFormat="1" applyFont="1" applyFill="1" applyBorder="1"/>
    <x:xf numFmtId="0" fontId="32" fillId="137" borderId="0" xfId="0" applyNumberFormat="1" applyFont="1" applyFill="1" applyBorder="1"/>
    <x:xf numFmtId="0" fontId="32" fillId="137" borderId="307" xfId="0" applyNumberFormat="1" applyFont="1" applyFill="1" applyBorder="1"/>
    <x:xf numFmtId="0" fontId="32" fillId="137" borderId="308" xfId="0" applyNumberFormat="1" applyFont="1" applyFill="1" applyBorder="1"/>
    <x:xf numFmtId="0" fontId="32" fillId="137" borderId="309" xfId="0" applyNumberFormat="1" applyFont="1" applyFill="1" applyBorder="1"/>
    <x:xf numFmtId="0" fontId="32" fillId="137" borderId="310" xfId="0" applyNumberFormat="1" applyFont="1" applyFill="1" applyBorder="1"/>
    <x:xf numFmtId="0" fontId="32" fillId="137" xfId="0" applyNumberFormat="1" applyFont="1" applyFill="1" applyBorder="0"/>
    <x:xf numFmtId="0" fontId="32" fillId="137" borderId="311" xfId="0" applyNumberFormat="1" applyFont="1" applyFill="1" applyBorder="1"/>
    <x:xf numFmtId="0" fontId="32" fillId="137" borderId="312" xfId="0" applyNumberFormat="1" applyFont="1" applyFill="1" applyBorder="1"/>
    <x:xf numFmtId="0" fontId="32" fillId="137" borderId="313" xfId="0" applyNumberFormat="1" applyFont="1" applyFill="1" applyBorder="1"/>
    <x:xf numFmtId="0" fontId="32" fillId="137" borderId="314" xfId="0" applyNumberFormat="1" applyFont="1" applyFill="1" applyBorder="1"/>
    <x:xf numFmtId="0" fontId="32" fillId="137" borderId="307" xfId="0" applyNumberFormat="1" applyFont="1" applyFill="1" applyBorder="1" applyAlignment="1">
      <x:alignment wrapText="1"/>
    </x:xf>
    <x:xf numFmtId="0" fontId="32" fillId="137" borderId="308" xfId="0" applyNumberFormat="1" applyFont="1" applyFill="1" applyBorder="1" applyAlignment="1">
      <x:alignment wrapText="1"/>
    </x:xf>
    <x:xf numFmtId="0" fontId="32" fillId="137" borderId="309" xfId="0" applyNumberFormat="1" applyFont="1" applyFill="1" applyBorder="1" applyAlignment="1">
      <x:alignment wrapText="1"/>
    </x:xf>
    <x:xf numFmtId="0" fontId="32" fillId="137" borderId="310" xfId="0" applyNumberFormat="1" applyFont="1" applyFill="1" applyBorder="1" applyAlignment="1">
      <x:alignment wrapText="1"/>
    </x:xf>
    <x:xf numFmtId="0" fontId="32" fillId="137" xfId="0" applyNumberFormat="1" applyFont="1" applyFill="1" applyBorder="0" applyAlignment="1">
      <x:alignment wrapText="1"/>
    </x:xf>
    <x:xf numFmtId="0" fontId="32" fillId="137" borderId="311" xfId="0" applyNumberFormat="1" applyFont="1" applyFill="1" applyBorder="1" applyAlignment="1">
      <x:alignment wrapText="1"/>
    </x:xf>
    <x:xf numFmtId="0" fontId="32" fillId="137" borderId="312" xfId="0" applyNumberFormat="1" applyFont="1" applyFill="1" applyBorder="1" applyAlignment="1">
      <x:alignment wrapText="1"/>
    </x:xf>
    <x:xf numFmtId="0" fontId="32" fillId="137" borderId="313" xfId="0" applyNumberFormat="1" applyFont="1" applyFill="1" applyBorder="1" applyAlignment="1">
      <x:alignment wrapText="1"/>
    </x:xf>
    <x:xf numFmtId="0" fontId="32" fillId="137" borderId="314" xfId="0" applyNumberFormat="1" applyFont="1" applyFill="1" applyBorder="1" applyAlignment="1">
      <x:alignment wrapText="1"/>
    </x:xf>
    <x:xf numFmtId="0" fontId="32" fillId="137" borderId="307" xfId="0" applyNumberFormat="1" applyFont="1" applyFill="1" applyBorder="1" applyAlignment="1">
      <x:alignment horizontal="center" wrapText="1"/>
    </x:xf>
    <x:xf numFmtId="0" fontId="32" fillId="137" borderId="308" xfId="0" applyNumberFormat="1" applyFont="1" applyFill="1" applyBorder="1" applyAlignment="1">
      <x:alignment horizontal="center" wrapText="1"/>
    </x:xf>
    <x:xf numFmtId="0" fontId="32" fillId="137" borderId="309" xfId="0" applyNumberFormat="1" applyFont="1" applyFill="1" applyBorder="1" applyAlignment="1">
      <x:alignment horizontal="center" wrapText="1"/>
    </x:xf>
    <x:xf numFmtId="0" fontId="32" fillId="137" borderId="310" xfId="0" applyNumberFormat="1" applyFont="1" applyFill="1" applyBorder="1" applyAlignment="1">
      <x:alignment horizontal="center" wrapText="1"/>
    </x:xf>
    <x:xf numFmtId="0" fontId="32" fillId="137" xfId="0" applyNumberFormat="1" applyFont="1" applyFill="1" applyBorder="0" applyAlignment="1">
      <x:alignment horizontal="center" wrapText="1"/>
    </x:xf>
    <x:xf numFmtId="0" fontId="32" fillId="137" borderId="311" xfId="0" applyNumberFormat="1" applyFont="1" applyFill="1" applyBorder="1" applyAlignment="1">
      <x:alignment horizontal="center" wrapText="1"/>
    </x:xf>
    <x:xf numFmtId="0" fontId="32" fillId="137" borderId="312" xfId="0" applyNumberFormat="1" applyFont="1" applyFill="1" applyBorder="1" applyAlignment="1">
      <x:alignment horizontal="center" wrapText="1"/>
    </x:xf>
    <x:xf numFmtId="0" fontId="32" fillId="137" borderId="313" xfId="0" applyNumberFormat="1" applyFont="1" applyFill="1" applyBorder="1" applyAlignment="1">
      <x:alignment horizontal="center" wrapText="1"/>
    </x:xf>
    <x:xf numFmtId="0" fontId="32" fillId="137" borderId="314" xfId="0" applyNumberFormat="1" applyFont="1" applyFill="1" applyBorder="1" applyAlignment="1">
      <x:alignment horizontal="center" wrapText="1"/>
    </x:xf>
    <x:xf numFmtId="0" fontId="32" fillId="137" borderId="307" xfId="0" applyNumberFormat="1" applyFont="1" applyFill="1" applyBorder="1" applyAlignment="1">
      <x:alignment horizontal="center" vertical="center" wrapText="1"/>
    </x:xf>
    <x:xf numFmtId="0" fontId="32" fillId="137" borderId="308" xfId="0" applyNumberFormat="1" applyFont="1" applyFill="1" applyBorder="1" applyAlignment="1">
      <x:alignment horizontal="center" vertical="center" wrapText="1"/>
    </x:xf>
    <x:xf numFmtId="0" fontId="32" fillId="137" borderId="309" xfId="0" applyNumberFormat="1" applyFont="1" applyFill="1" applyBorder="1" applyAlignment="1">
      <x:alignment horizontal="center" vertical="center" wrapText="1"/>
    </x:xf>
    <x:xf numFmtId="0" fontId="32" fillId="137" borderId="310" xfId="0" applyNumberFormat="1" applyFont="1" applyFill="1" applyBorder="1" applyAlignment="1">
      <x:alignment horizontal="center" vertical="center" wrapText="1"/>
    </x:xf>
    <x:xf numFmtId="0" fontId="32" fillId="137" xfId="0" applyNumberFormat="1" applyFont="1" applyFill="1" applyBorder="0" applyAlignment="1">
      <x:alignment horizontal="center" vertical="center" wrapText="1"/>
    </x:xf>
    <x:xf numFmtId="0" fontId="32" fillId="137" borderId="311" xfId="0" applyNumberFormat="1" applyFont="1" applyFill="1" applyBorder="1" applyAlignment="1">
      <x:alignment horizontal="center" vertical="center" wrapText="1"/>
    </x:xf>
    <x:xf numFmtId="0" fontId="32" fillId="137" borderId="312" xfId="0" applyNumberFormat="1" applyFont="1" applyFill="1" applyBorder="1" applyAlignment="1">
      <x:alignment horizontal="center" vertical="center" wrapText="1"/>
    </x:xf>
    <x:xf numFmtId="0" fontId="32" fillId="137" borderId="313" xfId="0" applyNumberFormat="1" applyFont="1" applyFill="1" applyBorder="1" applyAlignment="1">
      <x:alignment horizontal="center" vertical="center" wrapText="1"/>
    </x:xf>
    <x:xf numFmtId="0" fontId="32" fillId="137" borderId="314" xfId="0" applyNumberFormat="1" applyFont="1" applyFill="1" applyBorder="1" applyAlignment="1">
      <x:alignment horizontal="center" vertical="center" wrapText="1"/>
    </x:xf>
    <x:xf numFmtId="0" fontId="0" fillId="139" borderId="0" xfId="0" applyNumberFormat="1" applyFont="1" applyFill="1" applyBorder="1"/>
    <x:xf numFmtId="0" fontId="32" fillId="139" borderId="0" xfId="0" applyNumberFormat="1" applyFont="1" applyFill="1" applyBorder="1"/>
    <x:xf numFmtId="0" fontId="32" fillId="139" borderId="307" xfId="0" applyNumberFormat="1" applyFont="1" applyFill="1" applyBorder="1"/>
    <x:xf numFmtId="0" fontId="32" fillId="139" borderId="308" xfId="0" applyNumberFormat="1" applyFont="1" applyFill="1" applyBorder="1"/>
    <x:xf numFmtId="0" fontId="32" fillId="139" borderId="309" xfId="0" applyNumberFormat="1" applyFont="1" applyFill="1" applyBorder="1"/>
    <x:xf numFmtId="0" fontId="32" fillId="139" borderId="310" xfId="0" applyNumberFormat="1" applyFont="1" applyFill="1" applyBorder="1"/>
    <x:xf numFmtId="0" fontId="32" fillId="139" xfId="0" applyNumberFormat="1" applyFont="1" applyFill="1" applyBorder="0"/>
    <x:xf numFmtId="0" fontId="32" fillId="139" borderId="311" xfId="0" applyNumberFormat="1" applyFont="1" applyFill="1" applyBorder="1"/>
    <x:xf numFmtId="0" fontId="32" fillId="139" borderId="312" xfId="0" applyNumberFormat="1" applyFont="1" applyFill="1" applyBorder="1"/>
    <x:xf numFmtId="0" fontId="32" fillId="139" borderId="313" xfId="0" applyNumberFormat="1" applyFont="1" applyFill="1" applyBorder="1"/>
    <x:xf numFmtId="0" fontId="32" fillId="139" borderId="314" xfId="0" applyNumberFormat="1" applyFont="1" applyFill="1" applyBorder="1"/>
    <x:xf numFmtId="0" fontId="32" fillId="139" borderId="307" xfId="0" applyNumberFormat="1" applyFont="1" applyFill="1" applyBorder="1" applyAlignment="1">
      <x:alignment wrapText="1"/>
    </x:xf>
    <x:xf numFmtId="0" fontId="32" fillId="139" borderId="308" xfId="0" applyNumberFormat="1" applyFont="1" applyFill="1" applyBorder="1" applyAlignment="1">
      <x:alignment wrapText="1"/>
    </x:xf>
    <x:xf numFmtId="0" fontId="32" fillId="139" borderId="309" xfId="0" applyNumberFormat="1" applyFont="1" applyFill="1" applyBorder="1" applyAlignment="1">
      <x:alignment wrapText="1"/>
    </x:xf>
    <x:xf numFmtId="0" fontId="32" fillId="139" borderId="310" xfId="0" applyNumberFormat="1" applyFont="1" applyFill="1" applyBorder="1" applyAlignment="1">
      <x:alignment wrapText="1"/>
    </x:xf>
    <x:xf numFmtId="0" fontId="32" fillId="139" xfId="0" applyNumberFormat="1" applyFont="1" applyFill="1" applyBorder="0" applyAlignment="1">
      <x:alignment wrapText="1"/>
    </x:xf>
    <x:xf numFmtId="0" fontId="32" fillId="139" borderId="311" xfId="0" applyNumberFormat="1" applyFont="1" applyFill="1" applyBorder="1" applyAlignment="1">
      <x:alignment wrapText="1"/>
    </x:xf>
    <x:xf numFmtId="0" fontId="32" fillId="139" borderId="312" xfId="0" applyNumberFormat="1" applyFont="1" applyFill="1" applyBorder="1" applyAlignment="1">
      <x:alignment wrapText="1"/>
    </x:xf>
    <x:xf numFmtId="0" fontId="32" fillId="139" borderId="313" xfId="0" applyNumberFormat="1" applyFont="1" applyFill="1" applyBorder="1" applyAlignment="1">
      <x:alignment wrapText="1"/>
    </x:xf>
    <x:xf numFmtId="0" fontId="32" fillId="139" borderId="314" xfId="0" applyNumberFormat="1" applyFont="1" applyFill="1" applyBorder="1" applyAlignment="1">
      <x:alignment wrapText="1"/>
    </x:xf>
    <x:xf numFmtId="0" fontId="32" fillId="139" borderId="307" xfId="0" applyNumberFormat="1" applyFont="1" applyFill="1" applyBorder="1" applyAlignment="1">
      <x:alignment horizontal="center" wrapText="1"/>
    </x:xf>
    <x:xf numFmtId="0" fontId="32" fillId="139" borderId="308" xfId="0" applyNumberFormat="1" applyFont="1" applyFill="1" applyBorder="1" applyAlignment="1">
      <x:alignment horizontal="center" wrapText="1"/>
    </x:xf>
    <x:xf numFmtId="0" fontId="32" fillId="139" borderId="309" xfId="0" applyNumberFormat="1" applyFont="1" applyFill="1" applyBorder="1" applyAlignment="1">
      <x:alignment horizontal="center" wrapText="1"/>
    </x:xf>
    <x:xf numFmtId="0" fontId="32" fillId="139" borderId="310" xfId="0" applyNumberFormat="1" applyFont="1" applyFill="1" applyBorder="1" applyAlignment="1">
      <x:alignment horizontal="center" wrapText="1"/>
    </x:xf>
    <x:xf numFmtId="0" fontId="32" fillId="139" xfId="0" applyNumberFormat="1" applyFont="1" applyFill="1" applyBorder="0" applyAlignment="1">
      <x:alignment horizontal="center" wrapText="1"/>
    </x:xf>
    <x:xf numFmtId="0" fontId="32" fillId="139" borderId="311" xfId="0" applyNumberFormat="1" applyFont="1" applyFill="1" applyBorder="1" applyAlignment="1">
      <x:alignment horizontal="center" wrapText="1"/>
    </x:xf>
    <x:xf numFmtId="0" fontId="32" fillId="139" borderId="312" xfId="0" applyNumberFormat="1" applyFont="1" applyFill="1" applyBorder="1" applyAlignment="1">
      <x:alignment horizontal="center" wrapText="1"/>
    </x:xf>
    <x:xf numFmtId="0" fontId="32" fillId="139" borderId="313" xfId="0" applyNumberFormat="1" applyFont="1" applyFill="1" applyBorder="1" applyAlignment="1">
      <x:alignment horizontal="center" wrapText="1"/>
    </x:xf>
    <x:xf numFmtId="0" fontId="32" fillId="139" borderId="314" xfId="0" applyNumberFormat="1" applyFont="1" applyFill="1" applyBorder="1" applyAlignment="1">
      <x:alignment horizontal="center" wrapText="1"/>
    </x:xf>
    <x:xf numFmtId="0" fontId="32" fillId="139" borderId="307" xfId="0" applyNumberFormat="1" applyFont="1" applyFill="1" applyBorder="1" applyAlignment="1">
      <x:alignment horizontal="center" vertical="center" wrapText="1"/>
    </x:xf>
    <x:xf numFmtId="0" fontId="32" fillId="139" borderId="308" xfId="0" applyNumberFormat="1" applyFont="1" applyFill="1" applyBorder="1" applyAlignment="1">
      <x:alignment horizontal="center" vertical="center" wrapText="1"/>
    </x:xf>
    <x:xf numFmtId="0" fontId="32" fillId="139" borderId="309" xfId="0" applyNumberFormat="1" applyFont="1" applyFill="1" applyBorder="1" applyAlignment="1">
      <x:alignment horizontal="center" vertical="center" wrapText="1"/>
    </x:xf>
    <x:xf numFmtId="0" fontId="32" fillId="139" borderId="310" xfId="0" applyNumberFormat="1" applyFont="1" applyFill="1" applyBorder="1" applyAlignment="1">
      <x:alignment horizontal="center" vertical="center" wrapText="1"/>
    </x:xf>
    <x:xf numFmtId="0" fontId="32" fillId="139" xfId="0" applyNumberFormat="1" applyFont="1" applyFill="1" applyBorder="0" applyAlignment="1">
      <x:alignment horizontal="center" vertical="center" wrapText="1"/>
    </x:xf>
    <x:xf numFmtId="0" fontId="32" fillId="139" borderId="311" xfId="0" applyNumberFormat="1" applyFont="1" applyFill="1" applyBorder="1" applyAlignment="1">
      <x:alignment horizontal="center" vertical="center" wrapText="1"/>
    </x:xf>
    <x:xf numFmtId="0" fontId="32" fillId="139" borderId="312" xfId="0" applyNumberFormat="1" applyFont="1" applyFill="1" applyBorder="1" applyAlignment="1">
      <x:alignment horizontal="center" vertical="center" wrapText="1"/>
    </x:xf>
    <x:xf numFmtId="0" fontId="32" fillId="139" borderId="313" xfId="0" applyNumberFormat="1" applyFont="1" applyFill="1" applyBorder="1" applyAlignment="1">
      <x:alignment horizontal="center" vertical="center" wrapText="1"/>
    </x:xf>
    <x:xf numFmtId="0" fontId="32" fillId="139" borderId="314" xfId="0" applyNumberFormat="1" applyFont="1" applyFill="1" applyBorder="1" applyAlignment="1">
      <x:alignment horizontal="center" vertical="center" wrapText="1"/>
    </x:xf>
    <x:xf numFmtId="0" fontId="32" fillId="139" borderId="0" xfId="0" applyNumberFormat="1" applyFont="1" applyFill="1" applyBorder="1" applyAlignment="1">
      <x:alignment wrapText="1"/>
    </x:xf>
    <x:xf numFmtId="0" fontId="32" fillId="139" borderId="0" xfId="0" applyNumberFormat="1" applyFont="1" applyFill="1" applyBorder="1" applyAlignment="1">
      <x:alignment horizontal="center" wrapText="1"/>
    </x:xf>
    <x:xf numFmtId="0" fontId="32" fillId="139" borderId="0" xfId="0" applyNumberFormat="1" applyFont="1" applyFill="1" applyBorder="1" applyAlignment="1">
      <x:alignment horizontal="center" vertical="center" wrapText="1"/>
    </x:xf>
    <x:xf numFmtId="0" fontId="38" fillId="136" borderId="0" xfId="0" applyNumberFormat="1" applyFont="1" applyFill="1" applyBorder="1"/>
    <x:xf numFmtId="0" fontId="32" fillId="133" borderId="0" xfId="0" applyNumberFormat="1" applyFont="1" applyFill="1" applyBorder="1"/>
    <x:xf numFmtId="0" fontId="32" fillId="133" borderId="315" xfId="0" applyNumberFormat="1" applyFont="1" applyFill="1" applyBorder="1"/>
    <x:xf numFmtId="0" fontId="32" fillId="133" borderId="316" xfId="0" applyNumberFormat="1" applyFont="1" applyFill="1" applyBorder="1"/>
    <x:xf numFmtId="0" fontId="32" fillId="133" borderId="317" xfId="0" applyNumberFormat="1" applyFont="1" applyFill="1" applyBorder="1"/>
    <x:xf numFmtId="0" fontId="32" fillId="133" borderId="318" xfId="0" applyNumberFormat="1" applyFont="1" applyFill="1" applyBorder="1"/>
    <x:xf numFmtId="0" fontId="32" fillId="133" xfId="0" applyNumberFormat="1" applyFont="1" applyFill="1" applyBorder="0"/>
    <x:xf numFmtId="0" fontId="32" fillId="133" borderId="319" xfId="0" applyNumberFormat="1" applyFont="1" applyFill="1" applyBorder="1"/>
    <x:xf numFmtId="0" fontId="32" fillId="133" borderId="320" xfId="0" applyNumberFormat="1" applyFont="1" applyFill="1" applyBorder="1"/>
    <x:xf numFmtId="0" fontId="32" fillId="133" borderId="306" xfId="0" applyNumberFormat="1" applyFont="1" applyFill="1" applyBorder="1"/>
    <x:xf numFmtId="0" fontId="32" fillId="133" borderId="321" xfId="0" applyNumberFormat="1" applyFont="1" applyFill="1" applyBorder="1"/>
    <x:xf numFmtId="0" fontId="32" fillId="133" borderId="315" xfId="0" applyNumberFormat="1" applyFont="1" applyFill="1" applyBorder="1" applyAlignment="1">
      <x:alignment wrapText="1"/>
    </x:xf>
    <x:xf numFmtId="0" fontId="32" fillId="133" borderId="316" xfId="0" applyNumberFormat="1" applyFont="1" applyFill="1" applyBorder="1" applyAlignment="1">
      <x:alignment wrapText="1"/>
    </x:xf>
    <x:xf numFmtId="0" fontId="32" fillId="133" borderId="317" xfId="0" applyNumberFormat="1" applyFont="1" applyFill="1" applyBorder="1" applyAlignment="1">
      <x:alignment wrapText="1"/>
    </x:xf>
    <x:xf numFmtId="0" fontId="32" fillId="133" borderId="318" xfId="0" applyNumberFormat="1" applyFont="1" applyFill="1" applyBorder="1" applyAlignment="1">
      <x:alignment wrapText="1"/>
    </x:xf>
    <x:xf numFmtId="0" fontId="32" fillId="133" xfId="0" applyNumberFormat="1" applyFont="1" applyFill="1" applyBorder="0" applyAlignment="1">
      <x:alignment wrapText="1"/>
    </x:xf>
    <x:xf numFmtId="0" fontId="32" fillId="133" borderId="319" xfId="0" applyNumberFormat="1" applyFont="1" applyFill="1" applyBorder="1" applyAlignment="1">
      <x:alignment wrapText="1"/>
    </x:xf>
    <x:xf numFmtId="0" fontId="32" fillId="133" borderId="320" xfId="0" applyNumberFormat="1" applyFont="1" applyFill="1" applyBorder="1" applyAlignment="1">
      <x:alignment wrapText="1"/>
    </x:xf>
    <x:xf numFmtId="0" fontId="32" fillId="133" borderId="306" xfId="0" applyNumberFormat="1" applyFont="1" applyFill="1" applyBorder="1" applyAlignment="1">
      <x:alignment wrapText="1"/>
    </x:xf>
    <x:xf numFmtId="0" fontId="32" fillId="133" borderId="321" xfId="0" applyNumberFormat="1" applyFont="1" applyFill="1" applyBorder="1" applyAlignment="1">
      <x:alignment wrapText="1"/>
    </x:xf>
    <x:xf numFmtId="0" fontId="32" fillId="133" borderId="315" xfId="0" applyNumberFormat="1" applyFont="1" applyFill="1" applyBorder="1" applyAlignment="1">
      <x:alignment horizontal="center" wrapText="1"/>
    </x:xf>
    <x:xf numFmtId="0" fontId="32" fillId="133" borderId="316" xfId="0" applyNumberFormat="1" applyFont="1" applyFill="1" applyBorder="1" applyAlignment="1">
      <x:alignment horizontal="center" wrapText="1"/>
    </x:xf>
    <x:xf numFmtId="0" fontId="32" fillId="133" borderId="317" xfId="0" applyNumberFormat="1" applyFont="1" applyFill="1" applyBorder="1" applyAlignment="1">
      <x:alignment horizontal="center" wrapText="1"/>
    </x:xf>
    <x:xf numFmtId="0" fontId="32" fillId="133" borderId="318" xfId="0" applyNumberFormat="1" applyFont="1" applyFill="1" applyBorder="1" applyAlignment="1">
      <x:alignment horizontal="center" wrapText="1"/>
    </x:xf>
    <x:xf numFmtId="0" fontId="32" fillId="133" xfId="0" applyNumberFormat="1" applyFont="1" applyFill="1" applyBorder="0" applyAlignment="1">
      <x:alignment horizontal="center" wrapText="1"/>
    </x:xf>
    <x:xf numFmtId="0" fontId="32" fillId="133" borderId="319" xfId="0" applyNumberFormat="1" applyFont="1" applyFill="1" applyBorder="1" applyAlignment="1">
      <x:alignment horizontal="center" wrapText="1"/>
    </x:xf>
    <x:xf numFmtId="0" fontId="32" fillId="133" borderId="320" xfId="0" applyNumberFormat="1" applyFont="1" applyFill="1" applyBorder="1" applyAlignment="1">
      <x:alignment horizontal="center" wrapText="1"/>
    </x:xf>
    <x:xf numFmtId="0" fontId="32" fillId="133" borderId="306" xfId="0" applyNumberFormat="1" applyFont="1" applyFill="1" applyBorder="1" applyAlignment="1">
      <x:alignment horizontal="center" wrapText="1"/>
    </x:xf>
    <x:xf numFmtId="0" fontId="32" fillId="133" borderId="321" xfId="0" applyNumberFormat="1" applyFont="1" applyFill="1" applyBorder="1" applyAlignment="1">
      <x:alignment horizontal="center" wrapText="1"/>
    </x:xf>
    <x:xf numFmtId="0" fontId="32" fillId="133" borderId="315" xfId="0" applyNumberFormat="1" applyFont="1" applyFill="1" applyBorder="1" applyAlignment="1">
      <x:alignment horizontal="center" vertical="center" wrapText="1"/>
    </x:xf>
    <x:xf numFmtId="0" fontId="32" fillId="133" borderId="316" xfId="0" applyNumberFormat="1" applyFont="1" applyFill="1" applyBorder="1" applyAlignment="1">
      <x:alignment horizontal="center" vertical="center" wrapText="1"/>
    </x:xf>
    <x:xf numFmtId="0" fontId="32" fillId="133" borderId="317" xfId="0" applyNumberFormat="1" applyFont="1" applyFill="1" applyBorder="1" applyAlignment="1">
      <x:alignment horizontal="center" vertical="center" wrapText="1"/>
    </x:xf>
    <x:xf numFmtId="0" fontId="32" fillId="133" borderId="318" xfId="0" applyNumberFormat="1" applyFont="1" applyFill="1" applyBorder="1" applyAlignment="1">
      <x:alignment horizontal="center" vertical="center" wrapText="1"/>
    </x:xf>
    <x:xf numFmtId="0" fontId="32" fillId="133" xfId="0" applyNumberFormat="1" applyFont="1" applyFill="1" applyBorder="0" applyAlignment="1">
      <x:alignment horizontal="center" vertical="center" wrapText="1"/>
    </x:xf>
    <x:xf numFmtId="0" fontId="32" fillId="133" borderId="319" xfId="0" applyNumberFormat="1" applyFont="1" applyFill="1" applyBorder="1" applyAlignment="1">
      <x:alignment horizontal="center" vertical="center" wrapText="1"/>
    </x:xf>
    <x:xf numFmtId="0" fontId="32" fillId="133" borderId="320" xfId="0" applyNumberFormat="1" applyFont="1" applyFill="1" applyBorder="1" applyAlignment="1">
      <x:alignment horizontal="center" vertical="center" wrapText="1"/>
    </x:xf>
    <x:xf numFmtId="0" fontId="32" fillId="133" borderId="306" xfId="0" applyNumberFormat="1" applyFont="1" applyFill="1" applyBorder="1" applyAlignment="1">
      <x:alignment horizontal="center" vertical="center" wrapText="1"/>
    </x:xf>
    <x:xf numFmtId="0" fontId="32" fillId="133" borderId="321" xfId="0" applyNumberFormat="1" applyFont="1" applyFill="1" applyBorder="1" applyAlignment="1">
      <x:alignment horizontal="center" vertical="center" wrapText="1"/>
    </x:xf>
    <x:xf numFmtId="0" fontId="33" fillId="139" borderId="0" xfId="0" applyNumberFormat="1" applyFont="1" applyFill="1" applyBorder="1"/>
    <x:xf numFmtId="0" fontId="33" fillId="139" borderId="322" xfId="0" applyNumberFormat="1" applyFont="1" applyFill="1" applyBorder="1"/>
    <x:xf numFmtId="0" fontId="33" fillId="139" borderId="322" xfId="0" applyNumberFormat="1" applyFont="1" applyFill="1" applyBorder="1" applyAlignment="1">
      <x:alignment horizontal="center"/>
    </x:xf>
    <x:xf numFmtId="0" fontId="33" fillId="139" borderId="322" xfId="0" applyNumberFormat="1" applyFont="1" applyFill="1" applyBorder="1" applyAlignment="1">
      <x:alignment horizontal="center" vertical="center"/>
    </x:xf>
    <x:xf numFmtId="0" fontId="33" fillId="136" borderId="0" xfId="0" applyNumberFormat="1" applyFont="1" applyFill="1" applyBorder="1"/>
    <x:xf numFmtId="0" fontId="32" fillId="136" borderId="0" xfId="0" applyNumberFormat="1" applyFont="1" applyFill="1" applyBorder="1" applyAlignment="1">
      <x:alignment wrapText="1"/>
    </x:xf>
    <x:xf numFmtId="0" fontId="32" fillId="136" borderId="0" xfId="0" applyNumberFormat="1" applyFont="1" applyFill="1" applyBorder="1" applyAlignment="1">
      <x:alignment horizontal="center" wrapText="1"/>
    </x:xf>
    <x:xf numFmtId="0" fontId="32" fillId="136" borderId="0" xfId="0" applyNumberFormat="1" applyFont="1" applyFill="1" applyBorder="1" applyAlignment="1">
      <x:alignment horizontal="center" vertical="center" wrapText="1"/>
    </x:xf>
    <x:xf numFmtId="0" fontId="55" fillId="136" borderId="0" xfId="0" applyNumberFormat="1" applyFont="1" applyFill="1" applyBorder="1"/>
    <x:xf numFmtId="0" fontId="55" fillId="136" borderId="0" xfId="0" applyNumberFormat="1" applyFont="1" applyFill="1" applyBorder="1" applyAlignment="1">
      <x:alignment wrapText="1"/>
    </x:xf>
    <x:xf numFmtId="0" fontId="55" fillId="136" borderId="0" xfId="0" applyNumberFormat="1" applyFont="1" applyFill="1" applyBorder="1" applyAlignment="1">
      <x:alignment vertical="center" wrapText="1"/>
    </x:xf>
    <x:xf numFmtId="0" fontId="52" fillId="133" borderId="0" xfId="0" applyNumberFormat="1" applyFont="1" applyFill="1" applyBorder="1" applyAlignment="1">
      <x:alignment wrapText="1"/>
    </x:xf>
    <x:xf numFmtId="0" fontId="52" fillId="135" borderId="0" xfId="0" applyNumberFormat="1" applyFont="1" applyFill="1" applyBorder="1"/>
    <x:xf numFmtId="0" fontId="52" fillId="136" borderId="307" xfId="0" applyNumberFormat="1" applyFont="1" applyFill="1" applyBorder="1" applyAlignment="1">
      <x:alignment horizontal="center" vertical="center" wrapText="1"/>
    </x:xf>
    <x:xf numFmtId="0" fontId="52" fillId="136" borderId="308" xfId="0" applyNumberFormat="1" applyFont="1" applyFill="1" applyBorder="1" applyAlignment="1">
      <x:alignment horizontal="center" vertical="center" wrapText="1"/>
    </x:xf>
    <x:xf numFmtId="0" fontId="52" fillId="136" borderId="309" xfId="0" applyNumberFormat="1" applyFont="1" applyFill="1" applyBorder="1" applyAlignment="1">
      <x:alignment horizontal="center" vertical="center" wrapText="1"/>
    </x:xf>
    <x:xf numFmtId="0" fontId="52" fillId="138" borderId="307" xfId="0" applyNumberFormat="1" applyFont="1" applyFill="1" applyBorder="1" applyAlignment="1">
      <x:alignment horizontal="center" vertical="center" wrapText="1"/>
    </x:xf>
    <x:xf numFmtId="0" fontId="52" fillId="138" borderId="308" xfId="0" applyNumberFormat="1" applyFont="1" applyFill="1" applyBorder="1" applyAlignment="1">
      <x:alignment horizontal="center" vertical="center" wrapText="1"/>
    </x:xf>
    <x:xf numFmtId="0" fontId="52" fillId="138" borderId="309" xfId="0" applyNumberFormat="1" applyFont="1" applyFill="1" applyBorder="1" applyAlignment="1">
      <x:alignment horizontal="center" vertical="center" wrapText="1"/>
    </x:xf>
    <x:xf numFmtId="0" fontId="52" fillId="136" borderId="310" xfId="0" applyNumberFormat="1" applyFont="1" applyFill="1" applyBorder="1" applyAlignment="1">
      <x:alignment horizontal="center" vertical="center" wrapText="1"/>
    </x:xf>
    <x:xf numFmtId="0" fontId="52" fillId="136" xfId="0" applyNumberFormat="1" applyFont="1" applyFill="1" applyBorder="0" applyAlignment="1">
      <x:alignment horizontal="center" vertical="center" wrapText="1"/>
    </x:xf>
    <x:xf numFmtId="0" fontId="52" fillId="136" borderId="311" xfId="0" applyNumberFormat="1" applyFont="1" applyFill="1" applyBorder="1" applyAlignment="1">
      <x:alignment horizontal="center" vertical="center" wrapText="1"/>
    </x:xf>
    <x:xf numFmtId="0" fontId="52" fillId="138" borderId="310" xfId="0" applyNumberFormat="1" applyFont="1" applyFill="1" applyBorder="1" applyAlignment="1">
      <x:alignment horizontal="center" vertical="center" wrapText="1"/>
    </x:xf>
    <x:xf numFmtId="0" fontId="52" fillId="138" xfId="0" applyNumberFormat="1" applyFont="1" applyFill="1" applyBorder="0" applyAlignment="1">
      <x:alignment horizontal="center" vertical="center" wrapText="1"/>
    </x:xf>
    <x:xf numFmtId="0" fontId="52" fillId="138" borderId="311" xfId="0" applyNumberFormat="1" applyFont="1" applyFill="1" applyBorder="1" applyAlignment="1">
      <x:alignment horizontal="center" vertical="center" wrapText="1"/>
    </x:xf>
    <x:xf numFmtId="0" fontId="52" fillId="136" borderId="312" xfId="0" applyNumberFormat="1" applyFont="1" applyFill="1" applyBorder="1" applyAlignment="1">
      <x:alignment horizontal="center" vertical="center" wrapText="1"/>
    </x:xf>
    <x:xf numFmtId="0" fontId="52" fillId="136" borderId="313" xfId="0" applyNumberFormat="1" applyFont="1" applyFill="1" applyBorder="1" applyAlignment="1">
      <x:alignment horizontal="center" vertical="center" wrapText="1"/>
    </x:xf>
    <x:xf numFmtId="0" fontId="52" fillId="136" borderId="314" xfId="0" applyNumberFormat="1" applyFont="1" applyFill="1" applyBorder="1" applyAlignment="1">
      <x:alignment horizontal="center" vertical="center" wrapText="1"/>
    </x:xf>
    <x:xf numFmtId="0" fontId="52" fillId="138" borderId="312" xfId="0" applyNumberFormat="1" applyFont="1" applyFill="1" applyBorder="1" applyAlignment="1">
      <x:alignment horizontal="center" vertical="center" wrapText="1"/>
    </x:xf>
    <x:xf numFmtId="0" fontId="52" fillId="138" borderId="313" xfId="0" applyNumberFormat="1" applyFont="1" applyFill="1" applyBorder="1" applyAlignment="1">
      <x:alignment horizontal="center" vertical="center" wrapText="1"/>
    </x:xf>
    <x:xf numFmtId="0" fontId="52" fillId="138" borderId="314" xfId="0" applyNumberFormat="1" applyFont="1" applyFill="1" applyBorder="1" applyAlignment="1">
      <x:alignment horizontal="center" vertical="center" wrapText="1"/>
    </x:xf>
    <x:xf numFmtId="0" fontId="52" fillId="137" borderId="307" xfId="0" applyNumberFormat="1" applyFont="1" applyFill="1" applyBorder="1" applyAlignment="1">
      <x:alignment horizontal="center" vertical="center" wrapText="1"/>
    </x:xf>
    <x:xf numFmtId="0" fontId="52" fillId="137" borderId="308" xfId="0" applyNumberFormat="1" applyFont="1" applyFill="1" applyBorder="1" applyAlignment="1">
      <x:alignment horizontal="center" vertical="center" wrapText="1"/>
    </x:xf>
    <x:xf numFmtId="0" fontId="52" fillId="137" borderId="309" xfId="0" applyNumberFormat="1" applyFont="1" applyFill="1" applyBorder="1" applyAlignment="1">
      <x:alignment horizontal="center" vertical="center" wrapText="1"/>
    </x:xf>
    <x:xf numFmtId="0" fontId="52" fillId="139" borderId="307" xfId="0" applyNumberFormat="1" applyFont="1" applyFill="1" applyBorder="1" applyAlignment="1">
      <x:alignment horizontal="center" vertical="center" wrapText="1"/>
    </x:xf>
    <x:xf numFmtId="0" fontId="52" fillId="139" borderId="308" xfId="0" applyNumberFormat="1" applyFont="1" applyFill="1" applyBorder="1" applyAlignment="1">
      <x:alignment horizontal="center" vertical="center" wrapText="1"/>
    </x:xf>
    <x:xf numFmtId="0" fontId="52" fillId="139" borderId="309" xfId="0" applyNumberFormat="1" applyFont="1" applyFill="1" applyBorder="1" applyAlignment="1">
      <x:alignment horizontal="center" vertical="center" wrapText="1"/>
    </x:xf>
    <x:xf numFmtId="0" fontId="52" fillId="137" borderId="310" xfId="0" applyNumberFormat="1" applyFont="1" applyFill="1" applyBorder="1" applyAlignment="1">
      <x:alignment horizontal="center" vertical="center" wrapText="1"/>
    </x:xf>
    <x:xf numFmtId="0" fontId="52" fillId="137" xfId="0" applyNumberFormat="1" applyFont="1" applyFill="1" applyBorder="0" applyAlignment="1">
      <x:alignment horizontal="center" vertical="center" wrapText="1"/>
    </x:xf>
    <x:xf numFmtId="0" fontId="52" fillId="137" borderId="311" xfId="0" applyNumberFormat="1" applyFont="1" applyFill="1" applyBorder="1" applyAlignment="1">
      <x:alignment horizontal="center" vertical="center" wrapText="1"/>
    </x:xf>
    <x:xf numFmtId="0" fontId="52" fillId="139" borderId="310" xfId="0" applyNumberFormat="1" applyFont="1" applyFill="1" applyBorder="1" applyAlignment="1">
      <x:alignment horizontal="center" vertical="center" wrapText="1"/>
    </x:xf>
    <x:xf numFmtId="0" fontId="52" fillId="139" xfId="0" applyNumberFormat="1" applyFont="1" applyFill="1" applyBorder="0" applyAlignment="1">
      <x:alignment horizontal="center" vertical="center" wrapText="1"/>
    </x:xf>
    <x:xf numFmtId="0" fontId="52" fillId="139" borderId="311" xfId="0" applyNumberFormat="1" applyFont="1" applyFill="1" applyBorder="1" applyAlignment="1">
      <x:alignment horizontal="center" vertical="center" wrapText="1"/>
    </x:xf>
    <x:xf numFmtId="0" fontId="52" fillId="137" borderId="312" xfId="0" applyNumberFormat="1" applyFont="1" applyFill="1" applyBorder="1" applyAlignment="1">
      <x:alignment horizontal="center" vertical="center" wrapText="1"/>
    </x:xf>
    <x:xf numFmtId="0" fontId="52" fillId="137" borderId="313" xfId="0" applyNumberFormat="1" applyFont="1" applyFill="1" applyBorder="1" applyAlignment="1">
      <x:alignment horizontal="center" vertical="center" wrapText="1"/>
    </x:xf>
    <x:xf numFmtId="0" fontId="52" fillId="137" borderId="314" xfId="0" applyNumberFormat="1" applyFont="1" applyFill="1" applyBorder="1" applyAlignment="1">
      <x:alignment horizontal="center" vertical="center" wrapText="1"/>
    </x:xf>
    <x:xf numFmtId="0" fontId="52" fillId="139" borderId="312" xfId="0" applyNumberFormat="1" applyFont="1" applyFill="1" applyBorder="1" applyAlignment="1">
      <x:alignment horizontal="center" vertical="center" wrapText="1"/>
    </x:xf>
    <x:xf numFmtId="0" fontId="52" fillId="139" borderId="313" xfId="0" applyNumberFormat="1" applyFont="1" applyFill="1" applyBorder="1" applyAlignment="1">
      <x:alignment horizontal="center" vertical="center" wrapText="1"/>
    </x:xf>
    <x:xf numFmtId="0" fontId="52" fillId="139" borderId="314" xfId="0" applyNumberFormat="1" applyFont="1" applyFill="1" applyBorder="1" applyAlignment="1">
      <x:alignment horizontal="center" vertical="center" wrapText="1"/>
    </x:xf>
    <x:xf numFmtId="0" fontId="52" fillId="139" borderId="0" xfId="0" applyNumberFormat="1" applyFont="1" applyFill="1" applyBorder="1" applyAlignment="1">
      <x:alignment horizontal="center" vertical="center" wrapText="1"/>
    </x:xf>
    <x:xf numFmtId="0" fontId="52" fillId="136" borderId="0" xfId="0" applyNumberFormat="1" applyFont="1" applyFill="1" applyBorder="1"/>
    <x:xf numFmtId="0" fontId="52" fillId="139" borderId="322" xfId="0" applyNumberFormat="1" applyFont="1" applyFill="1" applyBorder="1" applyAlignment="1">
      <x:alignment horizontal="center" vertical="center"/>
    </x:xf>
    <x:xf numFmtId="0" fontId="52" fillId="133" borderId="315" xfId="0" applyNumberFormat="1" applyFont="1" applyFill="1" applyBorder="1" applyAlignment="1">
      <x:alignment horizontal="center" vertical="center" wrapText="1"/>
    </x:xf>
    <x:xf numFmtId="0" fontId="52" fillId="133" borderId="316" xfId="0" applyNumberFormat="1" applyFont="1" applyFill="1" applyBorder="1" applyAlignment="1">
      <x:alignment horizontal="center" vertical="center" wrapText="1"/>
    </x:xf>
    <x:xf numFmtId="0" fontId="52" fillId="133" borderId="317" xfId="0" applyNumberFormat="1" applyFont="1" applyFill="1" applyBorder="1" applyAlignment="1">
      <x:alignment horizontal="center" vertical="center" wrapText="1"/>
    </x:xf>
    <x:xf numFmtId="0" fontId="52" fillId="133" borderId="318" xfId="0" applyNumberFormat="1" applyFont="1" applyFill="1" applyBorder="1" applyAlignment="1">
      <x:alignment horizontal="center" vertical="center" wrapText="1"/>
    </x:xf>
    <x:xf numFmtId="0" fontId="52" fillId="133" xfId="0" applyNumberFormat="1" applyFont="1" applyFill="1" applyBorder="0" applyAlignment="1">
      <x:alignment horizontal="center" vertical="center" wrapText="1"/>
    </x:xf>
    <x:xf numFmtId="0" fontId="52" fillId="133" borderId="319" xfId="0" applyNumberFormat="1" applyFont="1" applyFill="1" applyBorder="1" applyAlignment="1">
      <x:alignment horizontal="center" vertical="center" wrapText="1"/>
    </x:xf>
    <x:xf numFmtId="0" fontId="52" fillId="133" borderId="320" xfId="0" applyNumberFormat="1" applyFont="1" applyFill="1" applyBorder="1" applyAlignment="1">
      <x:alignment horizontal="center" vertical="center" wrapText="1"/>
    </x:xf>
    <x:xf numFmtId="0" fontId="52" fillId="133" borderId="306" xfId="0" applyNumberFormat="1" applyFont="1" applyFill="1" applyBorder="1" applyAlignment="1">
      <x:alignment horizontal="center" vertical="center" wrapText="1"/>
    </x:xf>
    <x:xf numFmtId="0" fontId="52" fillId="133" borderId="321" xfId="0" applyNumberFormat="1" applyFont="1" applyFill="1" applyBorder="1" applyAlignment="1">
      <x:alignment horizontal="center" vertical="center" wrapText="1"/>
    </x:xf>
    <x:xf numFmtId="0" fontId="52" fillId="136" borderId="0" xfId="0" applyNumberFormat="1" applyFont="1" applyFill="1" applyBorder="1" applyAlignment="1">
      <x:alignment horizontal="center" vertical="center" wrapText="1"/>
    </x:xf>
    <x:xf numFmtId="0" fontId="52" fillId="136" borderId="0" xfId="0" applyNumberFormat="1" applyFont="1" applyFill="1" applyBorder="1" applyAlignment="1">
      <x:alignment vertical="center" wrapText="1"/>
    </x:xf>
    <x:xf numFmtId="0" fontId="28" fillId="135" borderId="0" xfId="0" applyNumberFormat="1" applyFont="1" applyFill="1" applyBorder="1"/>
  </x:cellXfs>
  <x:cellStyles count="1">
    <x:cellStyle name="Normal" xfId="0"/>
  </x:cellStyles>
  <x:dxfs count="9">
    <x:dxf>
      <x:font>
        <x:b/>
        <x:color rgb="FF2E7D52"/>
      </x:font>
      <x:fill>
        <x:patternFill>
          <x:bgColor rgb="FFE4EFE7"/>
        </x:patternFill>
      </x:fill>
    </x:dxf>
    <x:dxf>
      <x:font>
        <x:b/>
        <x:color rgb="FFB07D1A"/>
      </x:font>
      <x:fill>
        <x:patternFill>
          <x:bgColor rgb="FFF7EDD6"/>
        </x:patternFill>
      </x:fill>
    </x:dxf>
    <x:dxf>
      <x:font>
        <x:b/>
        <x:color rgb="FF656565"/>
      </x:font>
      <x:fill>
        <x:patternFill>
          <x:bgColor rgb="FFE8EEF2"/>
        </x:patternFill>
      </x:fill>
    </x:dxf>
    <x:dxf>
      <x:font>
        <x:b/>
        <x:color rgb="FFB07D1A"/>
      </x:font>
      <x:fill>
        <x:patternFill>
          <x:bgColor rgb="FFF7EDD6"/>
        </x:patternFill>
      </x:fill>
    </x:dxf>
    <x:dxf>
      <x:font>
        <x:b/>
        <x:color rgb="FF9B2226"/>
      </x:font>
      <x:fill>
        <x:patternFill>
          <x:bgColor rgb="FFFFF0F2"/>
        </x:patternFill>
      </x:fill>
    </x:dxf>
    <x:dxf>
      <x:font>
        <x:b/>
        <x:color rgb="FF656565"/>
      </x:font>
      <x:fill>
        <x:patternFill>
          <x:bgColor rgb="FFEEF1F3"/>
        </x:patternFill>
      </x:fill>
    </x:dxf>
    <x:dxf>
      <x:fill>
        <x:patternFill>
          <x:bgColor rgb="FFE8F4EA"/>
        </x:patternFill>
      </x:fill>
    </x:dxf>
    <x:dxf>
      <x:fill>
        <x:patternFill>
          <x:bgColor rgb="FFFCECEC"/>
        </x:patternFill>
      </x:fill>
    </x:dxf>
    <x:dxf>
      <x:fill>
        <x:patternFill patternType="solid">
          <x:bgColor rgb="FFFC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9eb23dae2d499d" /><Relationship Type="http://schemas.openxmlformats.org/officeDocument/2006/relationships/theme" Target="/xl/theme/theme1.xml" Id="R5ffa845bff2c4bc7" /><Relationship Type="http://schemas.openxmlformats.org/officeDocument/2006/relationships/sharedStrings" Target="/xl/sharedStrings.xml" Id="Rdcea29221b43415c" /><Relationship Type="http://schemas.openxmlformats.org/officeDocument/2006/relationships/worksheet" Target="/xl/worksheets/sheet1.xml" Id="R7ea29b8397034bc9" /><Relationship Type="http://schemas.openxmlformats.org/officeDocument/2006/relationships/worksheet" Target="/xl/worksheets/sheet2.xml" Id="Rbde600406d92412f" /><Relationship Type="http://schemas.openxmlformats.org/officeDocument/2006/relationships/worksheet" Target="/xl/worksheets/sheet3.xml" Id="Rb58dee9c078f4145" /><Relationship Type="http://schemas.openxmlformats.org/officeDocument/2006/relationships/worksheet" Target="/xl/worksheets/sheet4.xml" Id="R08a0df66828f4511" /><Relationship Type="http://schemas.openxmlformats.org/officeDocument/2006/relationships/worksheet" Target="/xl/worksheets/sheet5.xml" Id="R5dc4924082c54689" /><Relationship Type="http://schemas.openxmlformats.org/officeDocument/2006/relationships/worksheet" Target="/xl/worksheets/sheet6.xml" Id="R328ed0c74a954d7d" /><Relationship Type="http://schemas.openxmlformats.org/officeDocument/2006/relationships/worksheet" Target="/xl/worksheets/sheet7.xml" Id="R2ae10706b0e54ef6" /><Relationship Type="http://schemas.openxmlformats.org/officeDocument/2006/relationships/worksheet" Target="/xl/worksheets/sheet8.xml" Id="Rb2e48995e3fb478b" /><Relationship Type="http://schemas.openxmlformats.org/officeDocument/2006/relationships/worksheet" Target="/xl/worksheets/sheet9.xml" Id="R014692fdb337486f" /><Relationship Type="http://schemas.openxmlformats.org/officeDocument/2006/relationships/worksheet" Target="/xl/worksheets/sheet10.xml" Id="R6272bca272af44b5" /><Relationship Type="http://schemas.openxmlformats.org/officeDocument/2006/relationships/worksheet" Target="/xl/worksheets/sheet11.xml" Id="R2b474850b9d64bf6" /><Relationship Type="http://schemas.openxmlformats.org/officeDocument/2006/relationships/worksheet" Target="/xl/worksheets/sheet12.xml" Id="Rda3c57ba7d324fa2" /><Relationship Type="http://schemas.openxmlformats.org/officeDocument/2006/relationships/worksheet" Target="/xl/worksheets/sheet13.xml" Id="R9dbc910fd3644475" /><Relationship Type="http://schemas.openxmlformats.org/officeDocument/2006/relationships/worksheet" Target="/xl/worksheets/sheet14.xml" Id="R9e389bf5ef424d2f" /><Relationship Type="http://schemas.openxmlformats.org/officeDocument/2006/relationships/worksheet" Target="/xl/worksheets/sheet15.xml" Id="R4c22a6497bb74c20" /><Relationship Type="http://schemas.openxmlformats.org/officeDocument/2006/relationships/worksheet" Target="/xl/worksheets/sheet16.xml" Id="Rbe9197d5c12a4a68" /><Relationship Type="http://schemas.openxmlformats.org/officeDocument/2006/relationships/worksheet" Target="/xl/worksheets/sheet17.xml" Id="Rd59d962406e7481c" /><Relationship Type="http://schemas.openxmlformats.org/officeDocument/2006/relationships/worksheet" Target="/xl/worksheets/sheet18.xml" Id="R7de104a23ed84811" /><Relationship Type="http://schemas.openxmlformats.org/officeDocument/2006/relationships/worksheet" Target="/xl/worksheets/sheet19.xml" Id="Rdaf1aeacf87d4ad8" /><Relationship Type="http://schemas.openxmlformats.org/officeDocument/2006/relationships/worksheet" Target="/xl/worksheets/sheet20.xml" Id="Rb6915344ddde4e61" /><Relationship Type="http://schemas.openxmlformats.org/officeDocument/2006/relationships/worksheet" Target="/xl/worksheets/sheet21.xml" Id="R9f30588bc561478e" /><Relationship Type="http://schemas.openxmlformats.org/officeDocument/2006/relationships/worksheet" Target="/xl/worksheets/sheet22.xml" Id="Raf1b4c6b9d424aa8" /><Relationship Type="http://schemas.openxmlformats.org/officeDocument/2006/relationships/worksheet" Target="/xl/worksheets/sheet23.xml" Id="Ra53c7989ceba47b1" /><Relationship Type="http://schemas.openxmlformats.org/officeDocument/2006/relationships/worksheet" Target="/xl/worksheets/sheet24.xml" Id="Re6d06338430b4733" /><Relationship Type="http://schemas.openxmlformats.org/officeDocument/2006/relationships/worksheet" Target="/xl/worksheets/sheet25.xml" Id="Rc445e03e20344cf2" /><Relationship Type="http://schemas.openxmlformats.org/officeDocument/2006/relationships/worksheet" Target="/xl/worksheets/sheet26.xml" Id="R0de230893f80412b" /><Relationship Type="http://schemas.openxmlformats.org/officeDocument/2006/relationships/worksheet" Target="/xl/worksheets/sheet27.xml" Id="R3eeb646c075048d2" /><Relationship Type="http://schemas.openxmlformats.org/officeDocument/2006/relationships/worksheet" Target="/xl/worksheets/sheet28.xml" Id="R8a3143f87f0f4829" /><Relationship Type="http://schemas.openxmlformats.org/officeDocument/2006/relationships/worksheet" Target="/xl/worksheets/sheet29.xml" Id="R93a9a469d000445e" /><Relationship Type="http://schemas.openxmlformats.org/officeDocument/2006/relationships/worksheet" Target="/xl/worksheets/sheet30.xml" Id="Reb6138f5a71f4d14" /><Relationship Type="http://schemas.openxmlformats.org/officeDocument/2006/relationships/worksheet" Target="/xl/worksheets/sheet31.xml" Id="R58f95b59b74c4a84" /><Relationship Type="http://schemas.openxmlformats.org/officeDocument/2006/relationships/worksheet" Target="/xl/worksheets/sheet32.xml" Id="Rbf33806ac6294c86" /><Relationship Type="http://schemas.openxmlformats.org/officeDocument/2006/relationships/worksheet" Target="/xl/worksheets/sheet33.xml" Id="R4bc436b72555498e" /><Relationship Type="http://schemas.openxmlformats.org/officeDocument/2006/relationships/worksheet" Target="/xl/worksheets/sheet34.xml" Id="Rfb770b53ad74493d" /><Relationship Type="http://schemas.openxmlformats.org/officeDocument/2006/relationships/worksheet" Target="/xl/worksheets/sheet35.xml" Id="R164810e35aac4b49" /><Relationship Type="http://schemas.openxmlformats.org/officeDocument/2006/relationships/worksheet" Target="/xl/worksheets/sheet36.xml" Id="Rc3cbd7eb00294e04" /><Relationship Type="http://schemas.openxmlformats.org/officeDocument/2006/relationships/worksheet" Target="/xl/worksheets/sheet37.xml" Id="Rf21acb6d69744d54" /><Relationship Type="http://schemas.openxmlformats.org/officeDocument/2006/relationships/worksheet" Target="/xl/worksheets/sheet38.xml" Id="R9ccab5b582bd4b27" /><Relationship Type="http://schemas.openxmlformats.org/officeDocument/2006/relationships/worksheet" Target="/xl/worksheets/sheet39.xml" Id="Rf6d56037e7eb4706" /><Relationship Type="http://schemas.openxmlformats.org/officeDocument/2006/relationships/worksheet" Target="/xl/worksheets/sheet40.xml" Id="R8c25ee4b64a74897" /><Relationship Type="http://schemas.openxmlformats.org/officeDocument/2006/relationships/worksheet" Target="/xl/worksheets/sheet41.xml" Id="Re044dc760f724ead" /><Relationship Type="http://schemas.openxmlformats.org/officeDocument/2006/relationships/worksheet" Target="/xl/worksheets/sheet42.xml" Id="R1ccc1ec8daa24c77" /><Relationship Type="http://schemas.openxmlformats.org/officeDocument/2006/relationships/worksheet" Target="/xl/worksheets/sheet43.xml" Id="Re1ce90526ac34e28" /><Relationship Type="http://schemas.openxmlformats.org/officeDocument/2006/relationships/worksheet" Target="/xl/worksheets/sheet44.xml" Id="R489dd1966a0d4a0e" /><Relationship Type="http://schemas.openxmlformats.org/officeDocument/2006/relationships/worksheet" Target="/xl/worksheets/sheet45.xml" Id="Rb8153e8e997c4669" /><Relationship Type="http://schemas.openxmlformats.org/officeDocument/2006/relationships/worksheet" Target="/xl/worksheets/sheet46.xml" Id="Rbd8bbe6677f4456c" /><Relationship Type="http://schemas.openxmlformats.org/officeDocument/2006/relationships/worksheet" Target="/xl/worksheets/sheet47.xml" Id="R9ba63a12e9b24367" /><Relationship Type="http://schemas.openxmlformats.org/officeDocument/2006/relationships/worksheet" Target="/xl/worksheets/sheet48.xml" Id="Rcd89c6fa4913404b" /><Relationship Type="http://schemas.openxmlformats.org/officeDocument/2006/relationships/worksheet" Target="/xl/worksheets/sheet49.xml" Id="R99b19c357af04214" /><Relationship Type="http://schemas.openxmlformats.org/officeDocument/2006/relationships/worksheet" Target="/xl/worksheets/sheet50.xml" Id="Re0e0d441c5ca4114" /><Relationship Type="http://schemas.openxmlformats.org/officeDocument/2006/relationships/worksheet" Target="/xl/worksheets/sheet51.xml" Id="R8798594eab1845ad" /><Relationship Type="http://schemas.openxmlformats.org/officeDocument/2006/relationships/worksheet" Target="/xl/worksheets/sheet52.xml" Id="R2a73d9c59c424b69" /><Relationship Type="http://schemas.openxmlformats.org/officeDocument/2006/relationships/worksheet" Target="/xl/worksheets/sheet53.xml" Id="Rf4d356f0851e4047" /><Relationship Type="http://schemas.openxmlformats.org/officeDocument/2006/relationships/worksheet" Target="/xl/worksheets/sheet54.xml" Id="Rdddf36010cef49e9" /><Relationship Type="http://schemas.openxmlformats.org/officeDocument/2006/relationships/worksheet" Target="/xl/worksheets/sheet55.xml" Id="R781bd05af0c84670" /><Relationship Type="http://schemas.openxmlformats.org/officeDocument/2006/relationships/worksheet" Target="/xl/worksheets/sheet56.xml" Id="R8c2033a6083f404d" /><Relationship Type="http://schemas.openxmlformats.org/officeDocument/2006/relationships/worksheet" Target="/xl/worksheets/sheet57.xml" Id="R3824a9cd92a34354" /><Relationship Type="http://schemas.openxmlformats.org/officeDocument/2006/relationships/worksheet" Target="/xl/worksheets/sheet58.xml" Id="Rb7f9c2b0a6964aaf" /><Relationship Type="http://schemas.openxmlformats.org/officeDocument/2006/relationships/worksheet" Target="/xl/worksheets/sheet59.xml" Id="Rf62226f5e45f470f" /><Relationship Type="http://schemas.openxmlformats.org/officeDocument/2006/relationships/worksheet" Target="/xl/worksheets/sheet60.xml" Id="R79e1e25e614743af" /><Relationship Type="http://schemas.openxmlformats.org/officeDocument/2006/relationships/worksheet" Target="/xl/worksheets/sheet61.xml" Id="R148fca4425aa46f5" /><Relationship Type="http://schemas.openxmlformats.org/officeDocument/2006/relationships/worksheet" Target="/xl/worksheets/sheet62.xml" Id="R562458a2080448f9" /><Relationship Type="http://schemas.openxmlformats.org/officeDocument/2006/relationships/worksheet" Target="/xl/worksheets/sheet63.xml" Id="R97341283f2854cb0" /><Relationship Type="http://schemas.openxmlformats.org/officeDocument/2006/relationships/worksheet" Target="/xl/worksheets/sheet64.xml" Id="Rab1413c454834682" /><Relationship Type="http://schemas.openxmlformats.org/officeDocument/2006/relationships/worksheet" Target="/xl/worksheets/sheet65.xml" Id="R1b5e068cf2054262" /><Relationship Type="http://schemas.openxmlformats.org/officeDocument/2006/relationships/worksheet" Target="/xl/worksheets/sheet66.xml" Id="R50337a3c61014dde" /><Relationship Type="http://schemas.openxmlformats.org/officeDocument/2006/relationships/worksheet" Target="/xl/worksheets/sheet67.xml" Id="Rbb039d22c78f4329" /><Relationship Type="http://schemas.openxmlformats.org/officeDocument/2006/relationships/worksheet" Target="/xl/worksheets/sheet68.xml" Id="Rd84fbc58c5da4e37" /><Relationship Type="http://schemas.openxmlformats.org/officeDocument/2006/relationships/worksheet" Target="/xl/worksheets/sheet69.xml" Id="Rab4564a29a5c469c" /><Relationship Type="http://schemas.openxmlformats.org/officeDocument/2006/relationships/worksheet" Target="/xl/worksheets/sheet70.xml" Id="R190e1c3955ad449c" /><Relationship Type="http://schemas.openxmlformats.org/officeDocument/2006/relationships/worksheet" Target="/xl/worksheets/sheet71.xml" Id="R91cecb3946344543" /><Relationship Type="http://schemas.openxmlformats.org/officeDocument/2006/relationships/worksheet" Target="/xl/worksheets/sheet72.xml" Id="R5b04a75fc002406c" /><Relationship Type="http://schemas.openxmlformats.org/officeDocument/2006/relationships/worksheet" Target="/xl/worksheets/sheet73.xml" Id="Ra7a66edc239b4041" /><Relationship Type="http://schemas.openxmlformats.org/officeDocument/2006/relationships/worksheet" Target="/xl/worksheets/sheet74.xml" Id="R5ecc7cefa289407c" /><Relationship Type="http://schemas.openxmlformats.org/officeDocument/2006/relationships/worksheet" Target="/xl/worksheets/sheet75.xml" Id="Re8d9e4490ef04490" /><Relationship Type="http://schemas.openxmlformats.org/officeDocument/2006/relationships/worksheet" Target="/xl/worksheets/sheet76.xml" Id="R2ce3bbaf285a4471" /></Relationships>
</file>

<file path=xl/tables/table1.xml><?xml version="1.0" encoding="utf-8"?>
<x:table xmlns:x="http://schemas.openxmlformats.org/spreadsheetml/2006/main" id="1" name="DiccionarioV0" displayName="DiccionarioV0" ref="A1:P55" headerRowCount="1" totalsRowCount="0" totalsRowShown="0">
  <x:tableColumns count="16">
    <x:tableColumn id="1" name="ID"/>
    <x:tableColumn id="2" name="Familia"/>
    <x:tableColumn id="3" name="Concepto canónico"/>
    <x:tableColumn id="4" name="Definición v0"/>
    <x:tableColumn id="5" name="Objeto lógico candidato"/>
    <x:tableColumn id="6" name="Dominio / nivel"/>
    <x:tableColumn id="7" name="Naturaleza"/>
    <x:tableColumn id="8" name="Fuente ideal"/>
    <x:tableColumn id="9" name="Modo de obtención"/>
    <x:tableColumn id="10" name="Input humano en campo"/>
    <x:tableColumn id="11" name="Obligatoriedad v0"/>
    <x:tableColumn id="12" name="Variables origen / evidencia"/>
    <x:tableColumn id="13" name="Estado v0"/>
    <x:tableColumn id="14" name="Validación pendiente"/>
    <x:tableColumn id="15" name="Nota de diseño"/>
    <x:tableColumn id="16" name="Fuente base"/>
  </x:tableColumns>
  <x:tableStyleInfo name="TableStyleMedium2" showFirstColumn="0" showLastColumn="0" showRowStripes="1" showColumnStripes="0"/>
</x:table>
</file>

<file path=xl/tables/table2.xml><?xml version="1.0" encoding="utf-8"?>
<x:table xmlns:x="http://schemas.openxmlformats.org/spreadsheetml/2006/main" id="2" name="Mapeo63V0" displayName="Mapeo63V0" ref="A1:I64" headerRowCount="1" totalsRowCount="0" totalsRowShown="0">
  <x:tableColumns count="9">
    <x:tableColumn id="1" name="Variable homologada original"/>
    <x:tableColumn id="2" name="Descripción original"/>
    <x:tableColumn id="3" name="Archivos donde aparece"/>
    <x:tableColumn id="4" name="Nombres alternativos"/>
    <x:tableColumn id="5" name="Destino v0 (ID)"/>
    <x:tableColumn id="6" name="Decisión"/>
    <x:tableColumn id="7" name="Criterio de diseño"/>
    <x:tableColumn id="8" name="PAE-only"/>
    <x:tableColumn id="9" name="Tipo esperado original"/>
  </x:tableColumns>
  <x:tableStyleInfo name="TableStyleMedium2" showFirstColumn="0" showLastColumn="0" showRowStripes="1" showColumnStripes="0"/>
</x:table>
</file>

<file path=xl/tables/table3.xml><?xml version="1.0" encoding="utf-8"?>
<x:table xmlns:x="http://schemas.openxmlformats.org/spreadsheetml/2006/main" id="3" name="ValidacionesV0" displayName="ValidacionesV0" ref="A1:H16" headerRowCount="1" totalsRowCount="0" totalsRowShown="0">
  <x:tableColumns count="8">
    <x:tableColumn id="1" name="VAL-ID"/>
    <x:tableColumn id="2" name="Tipo"/>
    <x:tableColumn id="3" name="Prioridad"/>
    <x:tableColumn id="4" name="Pregunta / validación"/>
    <x:tableColumn id="5" name="Conceptos impactados"/>
    <x:tableColumn id="6" name="Decisión provisional v0"/>
    <x:tableColumn id="7" name="Qué cambia si la respuesta difiere"/>
    <x:tableColumn id="8" name="Estado"/>
  </x:tableColumns>
  <x:tableStyleInfo name="TableStyleMedium2" showFirstColumn="0" showLastColumn="0" showRowStripes="1" showColumnStripes="0"/>
</x:table>
</file>

<file path=xl/tables/table4.xml><?xml version="1.0" encoding="utf-8"?>
<x:table xmlns:x="http://schemas.openxmlformats.org/spreadsheetml/2006/main" id="4" name="CatalogosV0" displayName="CatalogosV0" ref="A1:H18" headerRowCount="1" totalsRowCount="0" totalsRowShown="0">
  <x:tableColumns count="8">
    <x:tableColumn id="1" name="CAT-ID"/>
    <x:tableColumn id="2" name="Catálogo candidato"/>
    <x:tableColumn id="3" name="Para qué sirve"/>
    <x:tableColumn id="4" name="Conceptos v0 asociados"/>
    <x:tableColumn id="5" name="Prioridad"/>
    <x:tableColumn id="6" name="Estado"/>
    <x:tableColumn id="7" name="¿Input manual evita?"/>
    <x:tableColumn id="8" name="Validación pendiente"/>
  </x:tableColumns>
  <x:tableStyleInfo name="TableStyleMedium2" showFirstColumn="0" showLastColumn="0" showRowStripes="1" showColumnStripes="0"/>
</x:table>
</file>

<file path=xl/tables/table5.xml><?xml version="1.0" encoding="utf-8"?>
<x:table xmlns:x="http://schemas.openxmlformats.org/spreadsheetml/2006/main" id="5" name="BenchmarkPAE" displayName="BenchmarkPAE" ref="A1:E16" headerRowCount="1" totalsRowCount="0" totalsRowShown="0">
  <x:tableColumns count="5">
    <x:tableColumn id="1" name="Variable PAE-only"/>
    <x:tableColumn id="2" name="Lección útil para VDS"/>
    <x:tableColumn id="3" name="Destino/impacto v0"/>
    <x:tableColumn id="4" name="Restricción para VDS"/>
    <x:tableColumn id="5" name="Decisió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6d613361e14dcd" /></Relationships>
</file>

<file path=xl/worksheets/_rels/sheet3.xml.rels>&#65279;<?xml version="1.0" encoding="utf-8"?><Relationships xmlns="http://schemas.openxmlformats.org/package/2006/relationships"><Relationship Type="http://schemas.openxmlformats.org/officeDocument/2006/relationships/table" Target="/xl/tables/table2.xml" Id="R67eb99ba7bb7442a" /></Relationships>
</file>

<file path=xl/worksheets/_rels/sheet4.xml.rels>&#65279;<?xml version="1.0" encoding="utf-8"?><Relationships xmlns="http://schemas.openxmlformats.org/package/2006/relationships"><Relationship Type="http://schemas.openxmlformats.org/officeDocument/2006/relationships/table" Target="/xl/tables/table3.xml" Id="Rf988f2ed87db4050" /></Relationships>
</file>

<file path=xl/worksheets/_rels/sheet5.xml.rels>&#65279;<?xml version="1.0" encoding="utf-8"?><Relationships xmlns="http://schemas.openxmlformats.org/package/2006/relationships"><Relationship Type="http://schemas.openxmlformats.org/officeDocument/2006/relationships/table" Target="/xl/tables/table4.xml" Id="R8ead29b07f2344d8" /></Relationships>
</file>

<file path=xl/worksheets/_rels/sheet6.xml.rels>&#65279;<?xml version="1.0" encoding="utf-8"?><Relationships xmlns="http://schemas.openxmlformats.org/package/2006/relationships"><Relationship Type="http://schemas.openxmlformats.org/officeDocument/2006/relationships/table" Target="/xl/tables/table5.xml" Id="Rda47385691d54343" /></Relationships>
</file>

<file path=xl/worksheets/sheet1.xml><?xml version="1.0" encoding="utf-8"?>
<x:worksheet xmlns:x="http://schemas.openxmlformats.org/spreadsheetml/2006/main">
  <x:sheetFormatPr defaultRowHeight="15"/>
  <x:cols>
    <x:col min="1" max="1" width="16" hidden="0" customWidth="1"/>
    <x:col min="2" max="2" width="48" hidden="0" customWidth="1"/>
    <x:col min="3" max="3" width="3" hidden="0" customWidth="1"/>
    <x:col min="4" max="4" width="24" hidden="0" customWidth="1"/>
    <x:col min="5" max="5" width="14" hidden="0" customWidth="1"/>
    <x:col min="6" max="6" width="12" hidden="0" customWidth="1"/>
    <x:col min="7" max="7" width="12" hidden="0" customWidth="1"/>
    <x:col min="8" max="8" width="12" hidden="0" customWidth="1"/>
  </x:cols>
  <x:sheetData>
    <x:row r="1" ht="34" customHeight="1">
      <x:c r="A1" s="28" t="str">
        <x:v>DICCIONARIO CANÓNICO v3.0 · BASELINE FUNCIONAL 1.0 · FROZEN · VDS</x:v>
      </x:c>
      <x:c r="B1" s="28"/>
      <x:c r="C1" s="28"/>
      <x:c r="D1" s="28"/>
      <x:c r="E1" s="28"/>
      <x:c r="F1" s="28"/>
      <x:c r="G1" s="28"/>
      <x:c r="H1" s="28"/>
    </x:row>
    <x:row r="2">
      <x:c r="A2" s="29" t="str">
        <x:v>Documento 2 · Fase 1 — Modelo conceptual, no esquema físico</x:v>
      </x:c>
      <x:c r="B2" s="29"/>
      <x:c r="C2" s="29"/>
      <x:c r="D2" s="29"/>
      <x:c r="E2" s="29"/>
      <x:c r="F2" s="29"/>
      <x:c r="G2" s="29"/>
      <x:c r="H2" s="29"/>
    </x:row>
    <x:row r="3">
      <x:c r="A3" s="30"/>
      <x:c r="B3" s="30"/>
      <x:c r="C3" s="30"/>
      <x:c r="D3" s="30"/>
      <x:c r="E3" s="30"/>
      <x:c r="F3" s="30"/>
      <x:c r="G3" s="30"/>
      <x:c r="H3" s="30"/>
    </x:row>
    <x:row r="4">
      <x:c r="A4" s="31" t="str">
        <x:v>Alcance</x:v>
      </x:c>
      <x:c r="B4" s="30" t="str">
        <x:v>Núcleo Parte / Ejecución</x:v>
      </x:c>
      <x:c r="C4" s="30"/>
      <x:c r="D4" s="32" t="str">
        <x:v>Métrica</x:v>
      </x:c>
      <x:c r="E4" s="32" t="str">
        <x:v>Valor</x:v>
      </x:c>
      <x:c r="F4" s="30"/>
      <x:c r="G4" s="30"/>
      <x:c r="H4" s="30"/>
    </x:row>
    <x:row r="5">
      <x:c r="A5" s="31" t="str">
        <x:v>Principio</x:v>
      </x:c>
      <x:c r="B5" s="30" t="str">
        <x:v>Captura mínima: derivar/heredar/calcular antes que pedir input</x:v>
      </x:c>
      <x:c r="C5" s="30"/>
      <x:c r="D5" s="31" t="str">
        <x:v>Conceptos canónicos v0</x:v>
      </x:c>
      <x:c r="E5" s="30" t="n">
        <x:v>83</x:v>
      </x:c>
      <x:c r="F5" s="30"/>
      <x:c r="G5" s="30"/>
      <x:c r="H5" s="30"/>
    </x:row>
    <x:row r="6">
      <x:c r="A6" s="31" t="str">
        <x:v>PAE</x:v>
      </x:c>
      <x:c r="B6" s="30" t="str">
        <x:v>Benchmark únicamente; no condiciona el modelo VDS</x:v>
      </x:c>
      <x:c r="C6" s="30"/>
      <x:c r="D6" s="31" t="str">
        <x:v>Variables originales trazadas</x:v>
      </x:c>
      <x:c r="E6" s="30" t="n">
        <x:v>63</x:v>
      </x:c>
      <x:c r="F6" s="30"/>
      <x:c r="G6" s="30"/>
      <x:c r="H6" s="30"/>
    </x:row>
    <x:row r="7">
      <x:c r="A7" s="31" t="str">
        <x:v>Fuente</x:v>
      </x:c>
      <x:c r="B7" s="30" t="str">
        <x:v>Homologación de Joaquín + muestra + arquitectura revisada</x:v>
      </x:c>
      <x:c r="C7" s="30"/>
      <x:c r="D7" s="31" t="str">
        <x:v>Variables PAE-only</x:v>
      </x:c>
      <x:c r="E7" s="30" t="n">
        <x:v>15</x:v>
      </x:c>
      <x:c r="F7" s="30"/>
      <x:c r="G7" s="30"/>
      <x:c r="H7" s="30"/>
    </x:row>
    <x:row r="8">
      <x:c r="A8" s="31" t="str">
        <x:v>Estado</x:v>
      </x:c>
      <x:c r="B8" s="30" t="str">
        <x:v>v3.0 — Golden Scenarios / Acceptance Tests aprobados + Freeze Gate + Arquitectura Final.</x:v>
      </x:c>
      <x:c r="C8" s="30"/>
      <x:c r="D8" s="31" t="str">
        <x:v>Validaciones registradas</x:v>
      </x:c>
      <x:c r="E8" s="30" t="n">
        <x:v>33</x:v>
      </x:c>
      <x:c r="F8" s="30"/>
      <x:c r="G8" s="30"/>
      <x:c r="H8" s="30"/>
    </x:row>
    <x:row r="9">
      <x:c r="A9" s="31" t="str">
        <x:v>Siguiente gate</x:v>
      </x:c>
      <x:c r="B9" s="30" t="str">
        <x:v>La baseline funcional queda congelada. Nueva evidencia futura entra como configuración/versionado; solo una contradicción estructural reabre arquitectura.</x:v>
      </x:c>
      <x:c r="C9" s="30"/>
      <x:c r="D9" s="30" t="str">
        <x:v>Pendientes actuales</x:v>
      </x:c>
      <x:c r="E9" s="30" t="n">
        <x:v>23</x:v>
      </x:c>
      <x:c r="F9" s="30"/>
      <x:c r="G9" s="30"/>
      <x:c r="H9" s="30"/>
    </x:row>
    <x:row r="10">
      <x:c r="A10" s="31" t="str">
        <x:v>Fecha de corte</x:v>
      </x:c>
      <x:c r="B10" s="30" t="str">
        <x:v>30/09/2026</x:v>
      </x:c>
      <x:c r="C10" s="30"/>
      <x:c r="D10" s="30"/>
      <x:c r="E10" s="30"/>
      <x:c r="F10" s="30"/>
      <x:c r="G10" s="30"/>
      <x:c r="H10" s="30"/>
    </x:row>
    <x:row r="11">
      <x:c r="A11" s="30"/>
      <x:c r="B11" s="30"/>
      <x:c r="C11" s="30"/>
      <x:c r="D11" s="30"/>
      <x:c r="E11" s="30"/>
      <x:c r="F11" s="30"/>
      <x:c r="G11" s="30"/>
      <x:c r="H11" s="30"/>
    </x:row>
    <x:row r="12">
      <x:c r="A12" s="33" t="str">
        <x:v>Cómo leer este v0</x:v>
      </x:c>
      <x:c r="B12" s="33"/>
      <x:c r="C12" s="33"/>
      <x:c r="D12" s="33"/>
      <x:c r="E12" s="33"/>
      <x:c r="F12" s="33"/>
      <x:c r="G12" s="33"/>
      <x:c r="H12" s="33"/>
    </x:row>
    <x:row r="13">
      <x:c r="A13" s="34" t="str">
        <x:v>1</x:v>
      </x:c>
      <x:c r="B13" s="34" t="str">
        <x:v>No es una lista de campos de pantalla. Cada fila puede ser entidad, relación, evento, cálculo o atributo.</x:v>
      </x:c>
      <x:c r="C13" s="34" t="str"/>
      <x:c r="D13" s="34" t="str"/>
      <x:c r="E13" s="34" t="str"/>
      <x:c r="F13" s="34" t="str"/>
      <x:c r="G13" s="34" t="str"/>
      <x:c r="H13" s="34" t="str"/>
    </x:row>
    <x:row r="14">
      <x:c r="A14" s="34" t="str">
        <x:v>2</x:v>
      </x:c>
      <x:c r="B14" s="34" t="str">
        <x:v>El objetivo es explicar qué significa el dato, dónde vive y cómo debería obtenerse.</x:v>
      </x:c>
      <x:c r="C14" s="34" t="str"/>
      <x:c r="D14" s="34" t="str"/>
      <x:c r="E14" s="34" t="str"/>
      <x:c r="F14" s="34" t="str"/>
      <x:c r="G14" s="34" t="str"/>
      <x:c r="H14" s="34" t="str"/>
    </x:row>
    <x:row r="15">
      <x:c r="A15" s="34" t="str">
        <x:v>3</x:v>
      </x:c>
      <x:c r="B15" s="34" t="str">
        <x:v>'Input humano' indica cuánto trabajo debería exigir en campo. 'No' es preferible siempre que el dato sea confiable.</x:v>
      </x:c>
      <x:c r="C15" s="34" t="str"/>
      <x:c r="D15" s="34" t="str"/>
      <x:c r="E15" s="34" t="str"/>
      <x:c r="F15" s="34" t="str"/>
      <x:c r="G15" s="34" t="str"/>
      <x:c r="H15" s="34" t="str"/>
    </x:row>
    <x:row r="16">
      <x:c r="A16" s="34" t="str">
        <x:v>4</x:v>
      </x:c>
      <x:c r="B16" s="34" t="str">
        <x:v>'Provisional' no significa débil: significa que existe una hipótesis de diseño que debe tensionarse con respuestas operativas.</x:v>
      </x:c>
      <x:c r="C16" s="34" t="str"/>
      <x:c r="D16" s="34" t="str"/>
      <x:c r="E16" s="34" t="str"/>
      <x:c r="F16" s="34" t="str"/>
      <x:c r="G16" s="34" t="str"/>
      <x:c r="H16" s="34" t="str"/>
    </x:row>
    <x:row r="17">
      <x:c r="A17" s="34" t="str">
        <x:v>5</x:v>
      </x:c>
      <x:c r="B17" s="34" t="str">
        <x:v>Las 63 variables originales están trazadas en 02_Mapeo_63_a_v0; ninguna se pierde silenciosamente.</x:v>
      </x:c>
      <x:c r="C17" s="34" t="str"/>
      <x:c r="D17" s="34" t="str"/>
      <x:c r="E17" s="34" t="str"/>
      <x:c r="F17" s="34" t="str"/>
      <x:c r="G17" s="34" t="str"/>
      <x:c r="H17" s="34" t="str"/>
    </x:row>
    <x:row r="18">
      <x:c r="A18" s="34" t="str">
        <x:v>6</x:v>
      </x:c>
      <x:c r="B18" s="34" t="str">
        <x:v>Los campos PAE-only se separan como benchmark en 05_Benchmark_PAE.</x:v>
      </x:c>
      <x:c r="C18" s="34" t="str"/>
      <x:c r="D18" s="34" t="str"/>
      <x:c r="E18" s="34" t="str"/>
      <x:c r="F18" s="34" t="str"/>
      <x:c r="G18" s="34" t="str"/>
      <x:c r="H18" s="34" t="str"/>
    </x:row>
    <x:row r="19">
      <x:c r="A19" s="30"/>
      <x:c r="B19" s="30"/>
      <x:c r="C19" s="30"/>
      <x:c r="D19" s="30"/>
      <x:c r="E19" s="30"/>
      <x:c r="F19" s="30"/>
      <x:c r="G19" s="30"/>
      <x:c r="H19" s="30"/>
    </x:row>
    <x:row r="20">
      <x:c r="A20" s="33" t="str">
        <x:v>Principio rector</x:v>
      </x:c>
      <x:c r="B20" s="33"/>
      <x:c r="C20" s="33"/>
      <x:c r="D20" s="33"/>
      <x:c r="E20" s="33"/>
      <x:c r="F20" s="33"/>
      <x:c r="G20" s="33"/>
      <x:c r="H20" s="33"/>
    </x:row>
    <x:row r="21">
      <x:c r="A21" s="35" t="str">
        <x:v>Al negocio le preguntamos cómo funciona la realidad. El modelo decide cómo representarla. Una necesidad de Planificación o Certificación/Facturación no debe deformar la verdad operativa del Parte.</x:v>
      </x:c>
      <x:c r="B21" s="35"/>
      <x:c r="C21" s="35"/>
      <x:c r="D21" s="35"/>
      <x:c r="E21" s="35"/>
      <x:c r="F21" s="35"/>
      <x:c r="G21" s="35"/>
      <x:c r="H21" s="35"/>
    </x:row>
    <x:row r="22">
      <x:c r="A22" s="35" t="str">
        <x:v>Qué incorpora v0.1</x:v>
      </x:c>
      <x:c r="B22" s="35"/>
      <x:c r="C22" s="35"/>
      <x:c r="D22" s="35"/>
      <x:c r="E22" s="35"/>
      <x:c r="F22" s="35"/>
      <x:c r="G22" s="35"/>
      <x:c r="H22" s="35"/>
    </x:row>
    <x:row r="23">
      <x:c r="A23" s="44" t="str">
        <x:v>7</x:v>
      </x:c>
      <x:c r="B23" s="44" t="str">
        <x:v>El sistema no obliga a elegir un Parte desde un menú libre: el tipo/ruta se deriva del perfil autenticado + asignación/planificación + servicio/contexto.</x:v>
      </x:c>
      <x:c r="C23" s="44"/>
      <x:c r="D23" s="44"/>
      <x:c r="E23" s="44"/>
      <x:c r="F23" s="44"/>
      <x:c r="G23" s="44"/>
      <x:c r="H23" s="44"/>
    </x:row>
    <x:row r="24">
      <x:c r="A24" t="str">
        <x:v>8</x:v>
      </x:c>
      <x:c r="B24" t="str">
        <x:v>Control documental pasa a ser una compuerta transversal: se evalúa en planificación y se revalida al iniciar, con alertas y bloqueos configurables.</x:v>
      </x:c>
      <x:c r="C24"/>
      <x:c r="D24"/>
      <x:c r="E24"/>
    </x:row>
    <x:row r="25">
      <x:c r="A25" t="str">
        <x:v>9</x:v>
      </x:c>
      <x:c r="B25" t="str">
        <x:v>El contrato entra al modelo porque determina ítems, unidades de medida y evidencia cuantitativa requerida; Certificación/Facturación siguen siendo dominios separados.</x:v>
      </x:c>
      <x:c r="C25"/>
      <x:c r="D25"/>
      <x:c r="E25"/>
    </x:row>
    <x:row r="26">
      <x:c r="A26" s="74" t="str">
        <x:v>Qué incorpora v0.2</x:v>
      </x:c>
      <x:c r="B26" s="74"/>
      <x:c r="C26" s="74"/>
      <x:c r="D26" s="74"/>
      <x:c r="E26" s="74"/>
    </x:row>
    <x:row r="27">
      <x:c r="A27" s="20" t="str">
        <x:v>10</x:v>
      </x:c>
      <x:c r="B27" s="20" t="str">
        <x:v>La Matriz de Tipos de Parte compara identidad, ciclo, variabilidad, reglas de corte, componentes, control documental, permisos, contrato y evidencia.</x:v>
      </x:c>
      <x:c r="C27"/>
      <x:c r="D27"/>
      <x:c r="E27"/>
    </x:row>
    <x:row r="28">
      <x:c r="A28" s="20" t="str">
        <x:v>11</x:v>
      </x:c>
      <x:c r="B28" s="20" t="str">
        <x:v>La arquitectura REV C.1 conserva el lenguaje original: flujo → contenedor → derivación → compuertas → estados, con anticipación y trazabilidad como capas transversales.</x:v>
      </x:c>
      <x:c r="C28"/>
      <x:c r="D28"/>
      <x:c r="E28"/>
    </x:row>
    <x:row r="29">
      <x:c r="A29" s="20" t="str">
        <x:v>12</x:v>
      </x:c>
      <x:c r="B29" s="20" t="str">
        <x:v>La compuerta global por posición de contrato deja de ser regla universal; cada TipoParte define sus propias reglas de corte y la imputación puede bajar a UnidadEjecución.</x:v>
      </x:c>
      <x:c r="C29"/>
      <x:c r="D29"/>
      <x:c r="E29"/>
    </x:row>
    <x:row r="30">
      <x:c r="A30" s="716" t="str">
        <x:v>Qué incorpora v0.3 / v0.4</x:v>
      </x:c>
      <x:c r="B30" s="716"/>
      <x:c r="C30" s="716"/>
      <x:c r="D30" s="716"/>
      <x:c r="E30" s="716"/>
    </x:row>
    <x:row r="31">
      <x:c r="A31" s="20" t="str">
        <x:v>13</x:v>
      </x:c>
      <x:c r="B31" s="20" t="str">
        <x:v>TP-03 queda especificado con identidad, reglas de corte, gates, estados, contrato/evidencia y mapeo T5/T7.</x:v>
      </x:c>
      <x:c r="C31" s="20"/>
      <x:c r="D31" s="20"/>
      <x:c r="E31" s="20"/>
    </x:row>
    <x:row r="32">
      <x:c r="A32" s="20" t="str">
        <x:v>14</x:v>
      </x:c>
      <x:c r="B32" s="20" t="str">
        <x:v>TP-02 Transporte de Cargas se redefine como bitácora de una asignación/configuración de transporte con N movimientos internos; viaje individual no equivale automáticamente a Parte.</x:v>
      </x:c>
      <x:c r="C32" s="20"/>
      <x:c r="D32" s="20"/>
      <x:c r="E32" s="20"/>
    </x:row>
    <x:row r="33">
      <x:c r="A33" s="20" t="str">
        <x:v>15</x:v>
      </x:c>
      <x:c r="B33" s="20" t="str">
        <x:v>T3 (sólidas) y T4 (líquidas) permanecen como ramas del mismo TipoParte: comparten núcleo, pero activan componentes/mediciones/evidencias distintas.</x:v>
      </x:c>
      <x:c r="C33" s="20"/>
      <x:c r="D33" s="20"/>
      <x:c r="E33" s="20"/>
    </x:row>
    <x:row r="34">
      <x:c r="A34" s="20" t="str">
        <x:v>16</x:v>
      </x:c>
      <x:c r="B34" s="20" t="str">
        <x:v>En TP-02 la fecha no se usa como frontera universal: T3 la muestra a nivel Parte y T4 a nivel línea/movimiento; el modelo conserva timestamps por ejecución y deriva la ventana del Parte.</x:v>
      </x:c>
      <x:c r="C34" s="20"/>
      <x:c r="D34" s="20"/>
      <x:c r="E34" s="20"/>
    </x:row>
    <x:row r="35">
      <x:c r="A35" s="805" t="str">
        <x:v>Qué incorpora v0.5</x:v>
      </x:c>
      <x:c r="B35" s="805"/>
      <x:c r="C35" s="805"/>
      <x:c r="D35" s="805"/>
      <x:c r="E35" s="805"/>
    </x:row>
    <x:row r="36">
      <x:c r="A36" s="20" t="str">
        <x:v>17</x:v>
      </x:c>
      <x:c r="B36" s="20" t="str">
        <x:v>CC26 / CC27 / CC80 se tratan como Centros de Costo, no como Contratos. El campo fuente centrocosto_id se mantiene como referencia aún no reconciliada 1:1 con esos códigos.</x:v>
      </x:c>
      <x:c r="C36" s="20"/>
      <x:c r="D36" s="20"/>
      <x:c r="E36" s="20"/>
    </x:row>
    <x:row r="37">
      <x:c r="A37" s="20" t="str">
        <x:v>18</x:v>
      </x:c>
      <x:c r="B37" s="20" t="str">
        <x:v>ContratoServicio aparece como nodo configurador entre Contrato y la operación: conecta Servicio, TipoParte, reglas de captura, evidencia, firma y agrupación para Certificación.</x:v>
      </x:c>
      <x:c r="C37" s="20"/>
      <x:c r="D37" s="20"/>
      <x:c r="E37" s="20"/>
    </x:row>
    <x:row r="38">
      <x:c r="A38" s="20" t="str">
        <x:v>19</x:v>
      </x:c>
      <x:c r="B38" s="20" t="str">
        <x:v>El seguimiento real demuestra al menos cuatro perfiles de workflow distintos y que la cadencia de Parte, firma/conformidad y Certificación no son necesariamente la misma.</x:v>
      </x:c>
      <x:c r="C38" s="20"/>
      <x:c r="D38" s="20"/>
      <x:c r="E38" s="20"/>
    </x:row>
    <x:row r="39">
      <x:c r="A39" s="20" t="str">
        <x:v>20</x:v>
      </x:c>
      <x:c r="B39" s="20" t="str">
        <x:v>La Capa Maestra REV D.0 coloca la configuración contractual arriba de Planificación, Ejecución y Certificación/Facturación; no reemplaza esos dominios, los parametriza.</x:v>
      </x:c>
      <x:c r="C39" s="20"/>
      <x:c r="D39" s="20"/>
      <x:c r="E39" s="20"/>
    </x:row>
    <x:row r="40">
      <x:c r="A40" s="1068" t="str">
        <x:v>Qué incorpora v0.6</x:v>
      </x:c>
      <x:c r="B40" s="1068"/>
      <x:c r="C40" s="1068"/>
      <x:c r="D40" s="1068"/>
      <x:c r="E40" s="1068"/>
    </x:row>
    <x:row r="41">
      <x:c r="A41" s="20" t="str">
        <x:v>21</x:v>
      </x:c>
      <x:c r="B41" s="20" t="str">
        <x:v>Planificación entrega intención estructurada; Ejecución registra realidad. La ejecución nunca debe sobrescribir silenciosamente el plan.</x:v>
      </x:c>
      <x:c r="C41" s="20"/>
      <x:c r="D41" s="20"/>
      <x:c r="E41" s="20"/>
    </x:row>
    <x:row r="42">
      <x:c r="A42" s="20" t="str">
        <x:v>22</x:v>
      </x:c>
      <x:c r="B42" s="20" t="str">
        <x:v>La unidad de interfaz propuesta es AsignacionPlanificada con N UnidadesPlanificadas; el motor de ruteo las convierte en 0..N Partes/Unidades según TipoParte y reglas de corte.</x:v>
      </x:c>
      <x:c r="C42" s="20"/>
      <x:c r="D42" s="20"/>
      <x:c r="E42" s="20"/>
    </x:row>
    <x:row r="43">
      <x:c r="A43" s="20" t="str">
        <x:v>23</x:v>
      </x:c>
      <x:c r="B43" s="20" t="str">
        <x:v>El TipoParte previsto se calcula como preview en Planificación pero se revalida al iniciar; el trabajador no lo selecciona manualmente.</x:v>
      </x:c>
      <x:c r="C43" s="20"/>
      <x:c r="D43" s="20"/>
      <x:c r="E43" s="20"/>
    </x:row>
    <x:row r="44">
      <x:c r="A44" s="20" t="str">
        <x:v>24</x:v>
      </x:c>
      <x:c r="B44" s="20" t="str">
        <x:v>Confirmar un plan genera un snapshot/version auditable. Cambios posteriores no mutan la versión que recibió Ejecución.</x:v>
      </x:c>
      <x:c r="C44" s="20"/>
      <x:c r="D44" s="20"/>
      <x:c r="E44" s="20"/>
    </x:row>
    <x:row r="45">
      <x:c r="A45" s="20" t="str">
        <x:v>25</x:v>
      </x:c>
      <x:c r="B45" s="20" t="str">
        <x:v>Trabajo emergente usa la misma cadena de gates con planificacion_id nulo y motivo estructurado; no se crea una planificación ficticia para ocultar el desvío.</x:v>
      </x:c>
      <x:c r="C45" s="20"/>
      <x:c r="D45" s="20"/>
      <x:c r="E45" s="20"/>
    </x:row>
    <x:row r="46">
      <x:c r="A46" s="1450" t="str">
        <x:v>Qué incorpora v0.7</x:v>
      </x:c>
      <x:c r="B46" s="1450"/>
      <x:c r="C46" s="1450"/>
      <x:c r="D46" s="1450"/>
      <x:c r="E46" s="1450"/>
    </x:row>
    <x:row r="47">
      <x:c r="A47" s="20" t="str">
        <x:v>26</x:v>
      </x:c>
      <x:c r="B47" s="20" t="str">
        <x:v>Planificación se modela como motor de preparación/dispatch: demanda → calificación → alcance → recursos → programación → readiness → despacho → replanificación.</x:v>
      </x:c>
      <x:c r="C47" s="20"/>
      <x:c r="D47" s="20"/>
      <x:c r="E47" s="20"/>
    </x:row>
    <x:row r="48">
      <x:c r="A48" s="20" t="str">
        <x:v>27</x:v>
      </x:c>
      <x:c r="B48" s="20" t="str">
        <x:v>Certificación trabaja sobre unidades comerciales derivadas de la ejecución, no sobre el Parte completo de forma rígida.</x:v>
      </x:c>
      <x:c r="C48" s="20"/>
      <x:c r="D48" s="20"/>
      <x:c r="E48" s="20"/>
    </x:row>
    <x:row r="49">
      <x:c r="A49" s="20" t="str">
        <x:v>28</x:v>
      </x:c>
      <x:c r="B49" s="20" t="str">
        <x:v>Se separan cinco hitos: cerrado_operativamente → documentalmente_completo → elegible_certificacion → certificado → facturable/facturado.</x:v>
      </x:c>
      <x:c r="C49" s="20"/>
      <x:c r="D49" s="20"/>
      <x:c r="E49" s="20"/>
    </x:row>
    <x:row r="50">
      <x:c r="A50" s="20" t="str">
        <x:v>29</x:v>
      </x:c>
      <x:c r="B50" s="20" t="str">
        <x:v>La aceptación/observación comercial nunca reescribe la verdad de campo: genera observación, ajuste o vínculo de corrección auditable.</x:v>
      </x:c>
      <x:c r="C50" s="20"/>
      <x:c r="D50" s="20"/>
      <x:c r="E50" s="20"/>
    </x:row>
    <x:row r="51">
      <x:c r="A51" s="20" t="str">
        <x:v>30</x:v>
      </x:c>
      <x:c r="B51" s="20" t="str">
        <x:v>El diagrama final será una imagen/artefacto visual de arquitectura; el Excel queda como especificación técnica y trazabilidad de decisiones.</x:v>
      </x:c>
      <x:c r="C51" s="20"/>
      <x:c r="D51" s="20"/>
      <x:c r="E51" s="20"/>
    </x:row>
    <x:row r="52">
      <x:c r="A52" s="1796" t="str">
        <x:v>Qué incorpora v0.8</x:v>
      </x:c>
      <x:c r="B52" s="1796"/>
      <x:c r="C52" s="1796"/>
      <x:c r="D52" s="1796"/>
      <x:c r="E52" s="1796"/>
    </x:row>
    <x:row r="53">
      <x:c r="A53" s="20" t="str">
        <x:v>31</x:v>
      </x:c>
      <x:c r="B53" s="20" t="str">
        <x:v>TP-01 deja de llamarse 'Autorización de Trabajo': la autorización Habilita vive en PermisoTrabajo; TP-01 registra una intervención/trabajo específico.</x:v>
      </x:c>
      <x:c r="C53" s="20"/>
      <x:c r="D53" s="20"/>
      <x:c r="E53" s="20"/>
    </x:row>
    <x:row r="54">
      <x:c r="A54" s="20" t="str">
        <x:v>32</x:v>
      </x:c>
      <x:c r="B54" s="20" t="str">
        <x:v>La identidad de TP-01 se modela alrededor del work package/intervención, no del permiso ni del turno.</x:v>
      </x:c>
      <x:c r="C54" s="20"/>
      <x:c r="D54" s="20"/>
      <x:c r="E54" s="20"/>
    </x:row>
    <x:row r="55">
      <x:c r="A55" s="20" t="str">
        <x:v>33</x:v>
      </x:c>
      <x:c r="B55" s="20" t="str">
        <x:v>Cambio de ubicación solo corta cuando cambia el alcance/asset/perímetro de autorización; moverse dentro del mismo work package no debe generar Partes artificiales.</x:v>
      </x:c>
      <x:c r="C55" s="20"/>
      <x:c r="D55" s="20"/>
      <x:c r="E55" s="20"/>
    </x:row>
    <x:row r="56">
      <x:c r="A56" s="20" t="str">
        <x:v>34</x:v>
      </x:c>
      <x:c r="B56" s="20" t="str">
        <x:v>Cambio de turno no corta universalmente TP-01: exige handover/revalidación/posible extensión de permiso; el corte depende de la regla contractual/operativa.</x:v>
      </x:c>
      <x:c r="C56" s="20"/>
      <x:c r="D56" s="20"/>
      <x:c r="E56" s="20"/>
    </x:row>
    <x:row r="57">
      <x:c r="A57" s="20" t="str">
        <x:v>35</x:v>
      </x:c>
      <x:c r="B57" s="20" t="str">
        <x:v>PermisoTrabajo se convierte en gate 1:N potencial por intervención, con vigencia/suspensión/cierre propios y sin contaminar el estado operativo del Parte.</x:v>
      </x:c>
      <x:c r="C57" s="20"/>
      <x:c r="D57" s="20"/>
      <x:c r="E57" s="20"/>
    </x:row>
    <x:row r="58">
      <x:c r="A58" s="2230" t="str">
        <x:v>Qué incorpora v0.9</x:v>
      </x:c>
      <x:c r="B58" s="2230"/>
      <x:c r="C58" s="2230"/>
      <x:c r="D58" s="2230"/>
      <x:c r="E58" s="2230"/>
    </x:row>
    <x:row r="59">
      <x:c r="A59" s="20" t="str">
        <x:v>36</x:v>
      </x:c>
      <x:c r="B59" s="20" t="str">
        <x:v>CAND-05 queda absorbido por TP-01; se conserva solo como trazabilidad histórica y deja de competir como candidato de TipoParte.</x:v>
      </x:c>
      <x:c r="C59" s="20"/>
      <x:c r="D59" s="20"/>
      <x:c r="E59" s="20"/>
    </x:row>
    <x:row r="60">
      <x:c r="A60" s="20" t="str">
        <x:v>37</x:v>
      </x:c>
      <x:c r="B60" s="20" t="str">
        <x:v>TP-01 pasa de '1 UnidadEjecución principal' a 1..N UnidadesEjecución dentro del mismo work package/intervención.</x:v>
      </x:c>
      <x:c r="C60" s="20"/>
      <x:c r="D60" s="20"/>
      <x:c r="E60" s="20"/>
    </x:row>
    <x:row r="61">
      <x:c r="A61" s="20" t="str">
        <x:v>38</x:v>
      </x:c>
      <x:c r="B61" s="20" t="str">
        <x:v>Se formaliza EnmiendaOperativa para errores reales de captura, separada de AjusteCertificacion comercial.</x:v>
      </x:c>
      <x:c r="C61" s="20"/>
      <x:c r="D61" s="20"/>
      <x:c r="E61" s="20"/>
    </x:row>
    <x:row r="62">
      <x:c r="A62" s="20" t="str">
        <x:v>39</x:v>
      </x:c>
      <x:c r="B62" s="20" t="str">
        <x:v>Se incorpora DisponibilidadRecurso como input transversal de Readiness sin construir todavía un CMMS.</x:v>
      </x:c>
      <x:c r="C62" s="20"/>
      <x:c r="D62" s="20"/>
      <x:c r="E62" s="20"/>
    </x:row>
    <x:row r="63">
      <x:c r="A63" s="20" t="str">
        <x:v>40</x:v>
      </x:c>
      <x:c r="B63" s="20" t="str">
        <x:v>Se incorpora Control Plane con DirectivaOperativa para cancelar/suspender/repriorizar/reprogramar/cambiar alcance sin reescribir el snapshot original.</x:v>
      </x:c>
      <x:c r="C63" s="20"/>
      <x:c r="D63" s="20"/>
      <x:c r="E63" s="20"/>
    </x:row>
    <x:row r="64">
      <x:c r="A64" s="20" t="str">
        <x:v>41</x:v>
      </x:c>
      <x:c r="B64" s="20" t="str">
        <x:v>Se incorpora ExecutionContextBundle como concepto lógico offline: paquete mínimo compilado por asignación/perfil/ventana, no descarga masiva de toda la capa maestra.</x:v>
      </x:c>
      <x:c r="C64" s="20"/>
      <x:c r="D64" s="20"/>
      <x:c r="E64" s="20"/>
    </x:row>
    <x:row r="65">
      <x:c r="A65" s="20" t="str">
        <x:v>42</x:v>
      </x:c>
      <x:c r="B65" s="20" t="str">
        <x:v>Cambio de turno TP-01 continúa como regla abierta configurable. NO se adopta un corte universal por turno hasta validación de Operaciones/Habilita.</x:v>
      </x:c>
      <x:c r="C65" s="20"/>
      <x:c r="D65" s="20"/>
      <x:c r="E65" s="20"/>
    </x:row>
    <x:row r="66">
      <x:c r="A66" s="20" t="str">
        <x:v>43</x:v>
      </x:c>
      <x:c r="B66" s="20" t="str">
        <x:v>PTW suspendido/abandonado nunca se autocierra silenciosamente: se alerta, escala y admite cierre administrativo autorizado y trazable.</x:v>
      </x:c>
      <x:c r="C66" s="20"/>
      <x:c r="D66" s="20"/>
      <x:c r="E66" s="20"/>
    </x:row>
    <x:row r="67">
      <x:c r="A67" s="2980" t="str">
        <x:v>Qué incorpora v1.0</x:v>
      </x:c>
      <x:c r="B67" s="2980"/>
      <x:c r="C67" s="2980"/>
      <x:c r="D67" s="2980"/>
      <x:c r="E67" s="2980"/>
    </x:row>
    <x:row r="68">
      <x:c r="A68" s="20" t="str">
        <x:v>44</x:v>
      </x:c>
      <x:c r="B68" s="20" t="str">
        <x:v>Stress test end-to-end de 19 escenarios reales/adversariales. Resultado: 7 PASS directos, 8 huecos parcheados y 4 políticas abiertas que requieren validación.</x:v>
      </x:c>
      <x:c r="C68" s="20"/>
      <x:c r="D68" s="20"/>
      <x:c r="E68" s="20"/>
    </x:row>
    <x:row r="69">
      <x:c r="A69" s="20" t="str">
        <x:v>45</x:v>
      </x:c>
      <x:c r="B69" s="20" t="str">
        <x:v>Se incorpora TransicionOperativa para evitar tiempos huérfanos entre Partes/work packages.</x:v>
      </x:c>
      <x:c r="C69" s="20"/>
      <x:c r="D69" s="20"/>
      <x:c r="E69" s="20"/>
    </x:row>
    <x:row r="70">
      <x:c r="A70" s="20" t="str">
        <x:v>46</x:v>
      </x:c>
      <x:c r="B70" s="20" t="str">
        <x:v>Readiness pasa a tener vigencia/invalidation explícita; una asignación confirmada puede volver a NO_READY.</x:v>
      </x:c>
      <x:c r="C70" s="20"/>
      <x:c r="D70" s="20"/>
      <x:c r="E70" s="20"/>
    </x:row>
    <x:row r="71">
      <x:c r="A71" s="20" t="str">
        <x:v>47</x:v>
      </x:c>
      <x:c r="B71" s="20" t="str">
        <x:v>ReglaTratamientoTiempo separa tiempo operacional real de su interpretación comercial/certificable.</x:v>
      </x:c>
      <x:c r="C71" s="20"/>
      <x:c r="D71" s="20"/>
      <x:c r="E71" s="20"/>
    </x:row>
    <x:row r="72">
      <x:c r="A72" s="20" t="str">
        <x:v>48</x:v>
      </x:c>
      <x:c r="B72" s="20" t="str">
        <x:v>ReglaParcialidadCertificacion, ReglaGranoUnidadComercial y lineage de fuente operativa vuelven explícita la transformación hacia Certificación.</x:v>
      </x:c>
      <x:c r="C72" s="20"/>
      <x:c r="D72" s="20"/>
      <x:c r="E72" s="20"/>
    </x:row>
    <x:row r="73">
      <x:c r="A73" s="20" t="str">
        <x:v>49</x:v>
      </x:c>
      <x:c r="B73" s="20" t="str">
        <x:v>ExecutionContextBundle incorpora frescura/validez para evitar iniciar trabajo con contexto offline obsoleto.</x:v>
      </x:c>
      <x:c r="C73" s="20"/>
      <x:c r="D73" s="20"/>
      <x:c r="E73" s="20"/>
    </x:row>
    <x:row r="74">
      <x:c r="A74" s="20" t="str">
        <x:v>50</x:v>
      </x:c>
      <x:c r="B74" s="20" t="str">
        <x:v>ConflictoTemporal + ReglaSolapamiento protegen personas/recursos contra doble booking/ejecución incoherente.</x:v>
      </x:c>
      <x:c r="C74" s="20"/>
      <x:c r="D74" s="20"/>
      <x:c r="E74" s="20"/>
    </x:row>
    <x:row r="75">
      <x:c r="A75" s="20" t="str">
        <x:v>51</x:v>
      </x:c>
      <x:c r="B75" s="20" t="str">
        <x:v>OverrideGate formaliza quién decide continuar ante una advertencia; hard block no se vuelve overrideable por defecto.</x:v>
      </x:c>
      <x:c r="C75" s="20"/>
      <x:c r="D75" s="20"/>
      <x:c r="E75" s="20"/>
    </x:row>
    <x:row r="76">
      <x:c r="A76" s="20" t="str">
        <x:v>52</x:v>
      </x:c>
      <x:c r="B76" s="20" t="str">
        <x:v>REV D.5 integra Data, Control, Habilita, Correction/Lineage, Temporal Continuity y Trace Bus.</x:v>
      </x:c>
      <x:c r="C76" s="20"/>
      <x:c r="D76" s="20"/>
      <x:c r="E76" s="20"/>
    </x:row>
    <x:row r="77">
      <x:c r="A77" s="2991" t="str">
        <x:v>Qué incorpora v1.1</x:v>
      </x:c>
      <x:c r="B77" s="2991"/>
      <x:c r="C77" s="2991"/>
      <x:c r="D77" s="2991"/>
      <x:c r="E77" s="2991"/>
    </x:row>
    <x:row r="78">
      <x:c r="A78" s="20" t="str">
        <x:v>53</x:v>
      </x:c>
      <x:c r="B78" s="20" t="str">
        <x:v>TP-04 Incidente Ambiental deja de ser candidato de TipoParte. Se reemplaza por HABILITA-01 EventoHabilita como módulo/dominio transversal.</x:v>
      </x:c>
      <x:c r="C78" s="20"/>
      <x:c r="D78" s="20"/>
      <x:c r="E78" s="20"/>
    </x:row>
    <x:row r="79">
      <x:c r="A79" s="20" t="str">
        <x:v>54</x:v>
      </x:c>
      <x:c r="B79" s="20" t="str">
        <x:v>Cada ocurrencia Habilita tiene identidad propia aunque ocurra dentro del mismo Parte/recurso; dos incidentes distintos = dos EventoHabilita.</x:v>
      </x:c>
      <x:c r="C79" s="20"/>
      <x:c r="D79" s="20"/>
      <x:c r="E79" s="20"/>
    </x:row>
    <x:row r="80">
      <x:c r="A80" s="20" t="str">
        <x:v>55</x:v>
      </x:c>
      <x:c r="B80" s="20" t="str">
        <x:v>EventoHabilita puede existir sin Parte activo y puede vincularse a 0..N ejecuciones, personas, recursos, PTW y una ubicación principal.</x:v>
      </x:c>
      <x:c r="C80" s="20"/>
      <x:c r="D80" s="20"/>
      <x:c r="E80" s="20"/>
    </x:row>
    <x:row r="81">
      <x:c r="A81" s="20" t="str">
        <x:v>56</x:v>
      </x:c>
      <x:c r="B81" s="20" t="str">
        <x:v>Se separa el hecho ocurrido (EventoHabilita) del workflow posterior (CasoHabilita): triage, investigación, acciones, notificaciones y cierre.</x:v>
      </x:c>
      <x:c r="C81" s="20"/>
      <x:c r="D81" s="20"/>
      <x:c r="E81" s="20"/>
    </x:row>
    <x:row r="82">
      <x:c r="A82" s="20" t="str">
        <x:v>57</x:v>
      </x:c>
      <x:c r="B82" s="20" t="str">
        <x:v>Severidad real y potencial se modelan por separado para soportar near miss/high-potential sin inventar consecuencias reales.</x:v>
      </x:c>
      <x:c r="C82" s="20"/>
      <x:c r="D82" s="20"/>
      <x:c r="E82" s="20"/>
    </x:row>
    <x:row r="83">
      <x:c r="A83" s="20" t="str">
        <x:v>58</x:v>
      </x:c>
      <x:c r="B83" s="20" t="str">
        <x:v>El reporte inicial de campo se diseña mínimo; investigación/root cause no se le exige al operario en el momento del evento.</x:v>
      </x:c>
      <x:c r="C83" s="20"/>
      <x:c r="D83" s="20"/>
      <x:c r="E83" s="20"/>
    </x:row>
    <x:row r="84">
      <x:c r="A84" s="20" t="str">
        <x:v>59</x:v>
      </x:c>
      <x:c r="B84" s="20" t="str">
        <x:v>Un EventoHabilita puede disparar DirectivaOperativa SUSPENDER, suspensión de PTW o cambios de operación, pero no corta un Parte automáticamente.</x:v>
      </x:c>
      <x:c r="C84" s="20"/>
      <x:c r="D84" s="20"/>
      <x:c r="E84" s="20"/>
    </x:row>
    <x:row r="85">
      <x:c r="A85" s="20" t="str">
        <x:v>60</x:v>
      </x:c>
      <x:c r="B85" s="20" t="str">
        <x:v>El dominio Habilita no alimenta Certificación de forma directa; los efectos comerciales viajan por tiempos, ejecución, evidencia o reglas contractuales.</x:v>
      </x:c>
      <x:c r="C85" s="20"/>
      <x:c r="D85" s="20"/>
      <x:c r="E85" s="20"/>
    </x:row>
    <x:row r="86">
      <x:c r="A86" s="20" t="str">
        <x:v>61</x:v>
      </x:c>
      <x:c r="B86" s="20" t="str">
        <x:v>REV D.6 divide HABILITA Plane en PREVENT (documental/PTW) y RESPOND &amp; LEARN (EventoHabilita/CasoHabilita).</x:v>
      </x:c>
      <x:c r="C86" s="20"/>
      <x:c r="D86" s="20"/>
      <x:c r="E86" s="20"/>
    </x:row>
    <x:row r="87">
      <x:c r="A87" s="3333" t="str">
        <x:v>Qué incorpora v1.2</x:v>
      </x:c>
      <x:c r="B87" s="3333"/>
      <x:c r="C87" s="3333"/>
      <x:c r="D87" s="3333"/>
      <x:c r="E87" s="3333"/>
    </x:row>
    <x:row r="88">
      <x:c r="A88" s="20" t="str">
        <x:v>62</x:v>
      </x:c>
      <x:c r="B88" s="20" t="str">
        <x:v>Se crea un cuestionario de cierre de 9 preguntas: 4 políticas operativas abiertas + 5 decisiones Habilita críticas.</x:v>
      </x:c>
      <x:c r="C88" s="20"/>
      <x:c r="D88" s="20"/>
      <x:c r="E88" s="20"/>
    </x:row>
    <x:row r="89">
      <x:c r="A89" s="20" t="str">
        <x:v>63</x:v>
      </x:c>
      <x:c r="B89" s="20" t="str">
        <x:v>Cada pregunta incluye quién debería responder, formato esperado y qué objeto/regla cambia según la respuesta.</x:v>
      </x:c>
      <x:c r="C89" s="20"/>
      <x:c r="D89" s="20"/>
      <x:c r="E89" s="20"/>
    </x:row>
    <x:row r="90">
      <x:c r="A90" s="20" t="str">
        <x:v>64</x:v>
      </x:c>
      <x:c r="B90" s="20" t="str">
        <x:v>Se evita preguntar decisiones que el equipo de diseño puede resolver sin negocio; solo quedan preguntas con impacto estructural.</x:v>
      </x:c>
      <x:c r="C90" s="20"/>
      <x:c r="D90" s="20"/>
      <x:c r="E90" s="20"/>
    </x:row>
    <x:row r="91">
      <x:c r="A91" s="20" t="str">
        <x:v>65</x:v>
      </x:c>
      <x:c r="B91" s="20" t="str">
        <x:v>Se crea una Matriz de Impacto para convertir respuestas humanas directamente en patches de arquitectura sin reinterpretación.</x:v>
      </x:c>
      <x:c r="C91" s="20"/>
      <x:c r="D91" s="20"/>
      <x:c r="E91" s="20"/>
    </x:row>
    <x:row r="92">
      <x:c r="A92" s="20" t="str">
        <x:v>66</x:v>
      </x:c>
      <x:c r="B92" s="20" t="str">
        <x:v>Las validaciones contractuales específicas quedan fuera de este cuestionario hasta recibir contratos/documentación real.</x:v>
      </x:c>
      <x:c r="C92" s="20"/>
      <x:c r="D92" s="20"/>
      <x:c r="E92" s="20"/>
    </x:row>
    <x:row r="93">
      <x:c r="A93" s="20" t="str">
        <x:v>67</x:v>
      </x:c>
      <x:c r="B93" s="20" t="str">
        <x:v>Objetivo de entrevista: 30–45 minutos totales con Operaciones/Habilita/Certificaciones, no talleres interminables.</x:v>
      </x:c>
      <x:c r="C93" s="20"/>
      <x:c r="D93" s="20"/>
      <x:c r="E93" s="20"/>
    </x:row>
    <x:row r="94">
      <x:c r="A94" s="20" t="str">
        <x:v>68</x:v>
      </x:c>
      <x:c r="B94" s="20" t="str">
        <x:v>REV D.6 no cambia todavía: v1.2 prepara el gate humano que decide qué entra en REV E.</x:v>
      </x:c>
      <x:c r="C94" s="20"/>
      <x:c r="D94" s="20"/>
      <x:c r="E94" s="20"/>
    </x:row>
    <x:row r="95">
      <x:c r="A95" s="3372" t="str">
        <x:v>Qué incorpora v1.3</x:v>
      </x:c>
      <x:c r="B95" s="3372"/>
      <x:c r="C95" s="3372"/>
      <x:c r="D95" s="3372"/>
      <x:c r="E95" s="3372"/>
    </x:row>
    <x:row r="96">
      <x:c r="A96" s="20" t="str">
        <x:v>69</x:v>
      </x:c>
      <x:c r="B96" s="20" t="str">
        <x:v>Se declara un NÚCLEO CANDIDATO A FREEZE: dominios, objetos estructurales, interfaces, TiposParte y principios de trazabilidad.</x:v>
      </x:c>
      <x:c r="C96" s="20"/>
      <x:c r="D96" s="20"/>
      <x:c r="E96" s="20"/>
    </x:row>
    <x:row r="97">
      <x:c r="A97" s="20" t="str">
        <x:v>70</x:v>
      </x:c>
      <x:c r="B97" s="20" t="str">
        <x:v>Se separan cuatro categorías: FROZEN CORE candidato, CONFIGURABLE, PENDIENTE DE VALIDACIÓN y DECISIÓN DE IMPLEMENTACIÓN.</x:v>
      </x:c>
      <x:c r="C97" s="20"/>
      <x:c r="D97" s="20"/>
      <x:c r="E97" s="20"/>
    </x:row>
    <x:row r="98">
      <x:c r="A98" s="20" t="str">
        <x:v>71</x:v>
      </x:c>
      <x:c r="B98" s="20" t="str">
        <x:v>Se formalizan contratos funcionales I-A, I-B, Control Plane y Habilita para que desarrollo futuro no reinterprete responsabilidades.</x:v>
      </x:c>
      <x:c r="C98" s="20"/>
      <x:c r="D98" s="20"/>
      <x:c r="E98" s="20"/>
    </x:row>
    <x:row r="99">
      <x:c r="A99" s="20" t="str">
        <x:v>72</x:v>
      </x:c>
      <x:c r="B99" s="20" t="str">
        <x:v>TP-01/02/03 quedan como catálogo candidato de ejecución; Habilita queda definitivamente transversal en la candidata.</x:v>
      </x:c>
      <x:c r="C99" s="20"/>
      <x:c r="D99" s="20"/>
      <x:c r="E99" s="20"/>
    </x:row>
    <x:row r="100">
      <x:c r="A100" s="20" t="str">
        <x:v>73</x:v>
      </x:c>
      <x:c r="B100" s="20" t="str">
        <x:v>Los valores contractuales reales NO se congelan: se congela la estructura que permitirá parametrizarlos.</x:v>
      </x:c>
      <x:c r="C100" s="20"/>
      <x:c r="D100" s="20"/>
      <x:c r="E100" s="20"/>
    </x:row>
    <x:row r="101">
      <x:c r="A101" s="20" t="str">
        <x:v>74</x:v>
      </x:c>
      <x:c r="B101" s="20" t="str">
        <x:v>Las preguntas Q-01..Q-09 se mantienen como gates; las que bloquean freeze final aparecen explícitamente dentro de REV E.</x:v>
      </x:c>
      <x:c r="C101" s="20"/>
      <x:c r="D101" s="20"/>
      <x:c r="E101" s="20"/>
    </x:row>
    <x:row r="102">
      <x:c r="A102" s="20" t="str">
        <x:v>75</x:v>
      </x:c>
      <x:c r="B102" s="20" t="str">
        <x:v>Se excluyen deliberadamente del freeze: esquema físico de BD, APIs, tecnología offline, UI final, ERP y detalles fiscales.</x:v>
      </x:c>
      <x:c r="C102" s="20"/>
      <x:c r="D102" s="20"/>
      <x:c r="E102" s="20"/>
    </x:row>
    <x:row r="103">
      <x:c r="A103" s="20" t="str">
        <x:v>76</x:v>
      </x:c>
      <x:c r="B103" s="20" t="str">
        <x:v>La candidata puede usarse como contrato funcional para comenzar diseño de aplicación, siempre respetando los slots pendientes marcados.</x:v>
      </x:c>
      <x:c r="C103" s="20"/>
      <x:c r="D103" s="20"/>
      <x:c r="E103" s="20"/>
    </x:row>
    <x:row r="104">
      <x:c r="A104" s="20" t="str">
        <x:v>77</x:v>
      </x:c>
      <x:c r="B104" s="20" t="str">
        <x:v>El siguiente paso tras validar gates/contratos será REV E FINAL / Baseline 1.0 del modelo funcional.</x:v>
      </x:c>
      <x:c r="C104" s="20"/>
      <x:c r="D104" s="20"/>
      <x:c r="E104" s="20"/>
    </x:row>
    <x:row r="105">
      <x:c r="A105" s="3649" t="str">
        <x:v>Qué incorpora v1.4</x:v>
      </x:c>
      <x:c r="B105" s="3649"/>
      <x:c r="C105" s="3649"/>
      <x:c r="D105" s="3649"/>
      <x:c r="E105" s="3649"/>
    </x:row>
    <x:row r="106">
      <x:c r="A106" s="20" t="str">
        <x:v>78</x:v>
      </x:c>
      <x:c r="B106" s="20" t="str">
        <x:v>Se integra la auditoría Gemini de REV E separando recomendación útil de políticas que no deben inventarse.</x:v>
      </x:c>
      <x:c r="C106" s="20"/>
      <x:c r="D106" s="20"/>
      <x:c r="E106" s="20"/>
    </x:row>
    <x:row r="107">
      <x:c r="A107" s="20" t="str">
        <x:v>79</x:v>
      </x:c>
      <x:c r="B107" s="20" t="str">
        <x:v>Q-03, Q-05, Q-07 y la arquitectura de Q-08 pasan a RESUELTAS POR ARQUITECTURA / configuración.</x:v>
      </x:c>
      <x:c r="C107" s="20"/>
      <x:c r="D107" s="20"/>
      <x:c r="E107" s="20"/>
    </x:row>
    <x:row r="108">
      <x:c r="A108" s="20" t="str">
        <x:v>80</x:v>
      </x:c>
      <x:c r="B108" s="20" t="str">
        <x:v>Q-01, Q-02, Q-04, Q-06 y Q-09 quedan como los cinco gates humanos reales antes del freeze final.</x:v>
      </x:c>
      <x:c r="C108" s="20"/>
      <x:c r="D108" s="20"/>
      <x:c r="E108" s="20"/>
    </x:row>
    <x:row r="109">
      <x:c r="A109" s="20" t="str">
        <x:v>81</x:v>
      </x:c>
      <x:c r="B109" s="20" t="str">
        <x:v>Recurso adicional: PTW distinto NO crea TP-01 por sí solo. Work package define Parte; autonomía del subtrabajo define UE.</x:v>
      </x:c>
      <x:c r="C109" s="20"/>
      <x:c r="D109" s="20"/>
      <x:c r="E109" s="20"/>
    </x:row>
    <x:row r="110">
      <x:c r="A110" s="20" t="str">
        <x:v>82</x:v>
      </x:c>
      <x:c r="B110" s="20" t="str">
        <x:v>Trabajo emergente incorpora estado_contexto_contractual + ReglaInicioEmergente, sin imponer 'jamás bloquear'.</x:v>
      </x:c>
      <x:c r="C110" s="20"/>
      <x:c r="D110" s="20"/>
      <x:c r="E110" s="20"/>
    </x:row>
    <x:row r="111">
      <x:c r="A111" s="20" t="str">
        <x:v>83</x:v>
      </x:c>
      <x:c r="B111" s="20" t="str">
        <x:v>Habilita incorpora EvaluacionEscalamientoHabilita como snapshot del motor; sus outputs usan DirectivaOperativa/NotificacionHabilita/CasoHabilita existentes.</x:v>
      </x:c>
      <x:c r="C111" s="20"/>
      <x:c r="D111" s="20"/>
      <x:c r="E111" s="20"/>
    </x:row>
    <x:row r="112">
      <x:c r="A112" s="20" t="str">
        <x:v>84</x:v>
      </x:c>
      <x:c r="B112" s="20" t="str">
        <x:v>No se crea DirectivaHabilita: Habilita decide, Control Plane ejecuta. Se evita duplicar buses de control.</x:v>
      </x:c>
      <x:c r="C112" s="20"/>
      <x:c r="D112" s="20"/>
      <x:c r="E112" s="20"/>
    </x:row>
    <x:row r="113">
      <x:c r="A113" s="20" t="str">
        <x:v>85</x:v>
      </x:c>
      <x:c r="B113" s="20" t="str">
        <x:v>Flash Report Habilita se congela como contrato mínimo contextual, válido para TP-01/02/03 o evento standalone.</x:v>
      </x:c>
      <x:c r="C113" s="20"/>
      <x:c r="D113" s="20"/>
      <x:c r="E113" s="20"/>
    </x:row>
    <x:row r="114">
      <x:c r="A114" s="20" t="str">
        <x:v>86</x:v>
      </x:c>
      <x:c r="B114" s="20" t="str">
        <x:v>NotificacionHabilita se congela funcionalmente; Pub/Sub/colas/canales concretos permanecen decisión de implementación.</x:v>
      </x:c>
      <x:c r="C114" s="20"/>
      <x:c r="D114" s="20"/>
      <x:c r="E114" s="20"/>
    </x:row>
    <x:row r="115">
      <x:c r="A115" s="20" t="str">
        <x:v>87</x:v>
      </x:c>
      <x:c r="B115" s="20" t="str">
        <x:v>CasoHabilita separa estado_investigacion, estado_caso y estado_accion_correctiva; el gate final de cierre sigue configurable por Habilita.</x:v>
      </x:c>
      <x:c r="C115" s="20"/>
      <x:c r="D115" s="20"/>
      <x:c r="E115" s="20"/>
    </x:row>
    <x:row r="116">
      <x:c r="A116" s="20" t="str">
        <x:v>88</x:v>
      </x:c>
      <x:c r="B116" s="20" t="str">
        <x:v>Corrección post-certificación usa supersession/lineage; no duplica EnmiendaOperativa ni AjusteCertificacion ya existentes.</x:v>
      </x:c>
      <x:c r="C116" s="20"/>
      <x:c r="D116" s="20"/>
      <x:c r="E116" s="20"/>
    </x:row>
    <x:row r="117">
      <x:c r="A117" s="3918" t="str">
        <x:v>Qué incorpora v2.0</x:v>
      </x:c>
      <x:c r="B117" s="3918"/>
      <x:c r="C117" s="3918"/>
      <x:c r="D117" s="3918"/>
      <x:c r="E117" s="3918"/>
    </x:row>
    <x:row r="118">
      <x:c r="A118" s="20" t="str">
        <x:v>89</x:v>
      </x:c>
      <x:c r="B118" s="20" t="str">
        <x:v>Los cinco gates de REV E se convierten en defaults oficiales configurables, reabribles ante evidencia VDS/contractual posterior.</x:v>
      </x:c>
      <x:c r="C118" s="20"/>
      <x:c r="D118" s="20"/>
      <x:c r="E118" s="20"/>
    </x:row>
    <x:row r="119">
      <x:c r="A119" s="20" t="str">
        <x:v>90</x:v>
      </x:c>
      <x:c r="B119" s="20" t="str">
        <x:v>Se declara REV E FINAL · Baseline Funcional 1.0 Contract-Agnostic.</x:v>
      </x:c>
      <x:c r="C119" s="20"/>
      <x:c r="D119" s="20"/>
      <x:c r="E119" s="20"/>
    </x:row>
    <x:row r="120">
      <x:c r="A120" s="20" t="str">
        <x:v>91</x:v>
      </x:c>
      <x:c r="B120" s="20" t="str">
        <x:v>Se construye Modelo Relacional Lógico v0.1 con entidades, PK lógicas, FK, ownership y cardinalidades.</x:v>
      </x:c>
      <x:c r="C120" s="20"/>
      <x:c r="D120" s="20"/>
      <x:c r="E120" s="20"/>
    </x:row>
    <x:row r="121">
      <x:c r="A121" s="20" t="str">
        <x:v>92</x:v>
      </x:c>
      <x:c r="B121" s="20" t="str">
        <x:v>Se distingue fuente de verdad de proyecciones: ExecutionContextBundle, dashboards y caches no son entidades maestras.</x:v>
      </x:c>
      <x:c r="C121" s="20"/>
      <x:c r="D121" s="20"/>
      <x:c r="E121" s="20"/>
    </x:row>
    <x:row r="122">
      <x:c r="A122" s="20" t="str">
        <x:v>93</x:v>
      </x:c>
      <x:c r="B122" s="20" t="str">
        <x:v>UnidadComercial↔UnidadEjecución se normaliza como N:M mediante UnidadComercialFuenteEjecucion; una UC puede consolidar N ejecuciones y una UE aportar a N UC.</x:v>
      </x:c>
      <x:c r="C122" s="20"/>
      <x:c r="D122" s="20"/>
      <x:c r="E122" s="20"/>
    </x:row>
    <x:row r="123">
      <x:c r="A123" s="20" t="str">
        <x:v>94</x:v>
      </x:c>
      <x:c r="B123" s="20" t="str">
        <x:v>PaqueteCertificacion↔UnidadComercial se modela mediante asociación versionable, evitando hardcodear pertenencia 1:1.</x:v>
      </x:c>
      <x:c r="C123" s="20"/>
      <x:c r="D123" s="20"/>
      <x:c r="E123" s="20"/>
    </x:row>
    <x:row r="124">
      <x:c r="A124" s="20" t="str">
        <x:v>95</x:v>
      </x:c>
      <x:c r="B124" s="20" t="str">
        <x:v>PermisoTrabajo↔UnidadEjecución se modela N:M: un work package puede requerir múltiples permisos y un permiso puede cubrir múltiples unidades.</x:v>
      </x:c>
      <x:c r="C124" s="20"/>
      <x:c r="D124" s="20"/>
      <x:c r="E124" s="20"/>
    </x:row>
    <x:row r="125">
      <x:c r="A125" s="20" t="str">
        <x:v>96</x:v>
      </x:c>
      <x:c r="B125" s="20" t="str">
        <x:v>Planificación↔Ejecución conserva 0..N↔0..N mediante VinculoPlanEjecucion, sin asumir correspondencia 1:1.</x:v>
      </x:c>
      <x:c r="C125" s="20"/>
      <x:c r="D125" s="20"/>
      <x:c r="E125" s="20"/>
    </x:row>
    <x:row r="126">
      <x:c r="A126" s="20" t="str">
        <x:v>97</x:v>
      </x:c>
      <x:c r="B126" s="20" t="str">
        <x:v>Se formalizan puentes para persona/recurso planificado, perfil operativo y evidencias multi-scope.</x:v>
      </x:c>
      <x:c r="C126" s="20"/>
      <x:c r="D126" s="20"/>
      <x:c r="E126" s="20"/>
    </x:row>
    <x:row r="127">
      <x:c r="A127" s="20" t="str">
        <x:v>98</x:v>
      </x:c>
      <x:c r="B127" s="20" t="str">
        <x:v>Los valores de contrato/ítems/UM/tratamiento comercial pueden quedar PENDIENTE_CONFIGURACION sin deformar el núcleo relacional.</x:v>
      </x:c>
      <x:c r="C127" s="20"/>
      <x:c r="D127" s="20"/>
      <x:c r="E127" s="20"/>
    </x:row>
    <x:row r="128">
      <x:c r="A128" s="20" t="str">
        <x:v>99</x:v>
      </x:c>
      <x:c r="B128" s="20" t="str">
        <x:v>Siguiente etapa: máquinas de estado + matriz de reglas + matriz de automatización/carga manual sobre este ERD.</x:v>
      </x:c>
      <x:c r="C128" s="20"/>
      <x:c r="D128" s="20"/>
      <x:c r="E128" s="20"/>
    </x:row>
    <x:row r="129">
      <x:c r="A129" s="4183" t="str">
        <x:v>Qué incorpora v2.1</x:v>
      </x:c>
      <x:c r="B129" s="4183"/>
      <x:c r="C129" s="4183"/>
      <x:c r="D129" s="4183"/>
      <x:c r="E129" s="4183"/>
    </x:row>
    <x:row r="130">
      <x:c r="A130" s="20" t="str">
        <x:v>100</x:v>
      </x:c>
      <x:c r="B130" s="20" t="str">
        <x:v>HABILITA pasa a ser el nombre oficial del dominio transversal antes llamado HSE/Safety.</x:v>
      </x:c>
      <x:c r="C130" s="20"/>
      <x:c r="D130" s="20"/>
      <x:c r="E130" s="20"/>
    </x:row>
    <x:row r="131">
      <x:c r="A131" s="20" t="str">
        <x:v>101</x:v>
      </x:c>
      <x:c r="B131" s="20" t="str">
        <x:v>EventoHSE→EventoHabilita; CasoHSE→CasoHabilita; y equivalentes de escalamiento, notificaciones, acciones y mediciones.</x:v>
      </x:c>
      <x:c r="C131" s="20"/>
      <x:c r="D131" s="20"/>
      <x:c r="E131" s="20"/>
    </x:row>
    <x:row r="132">
      <x:c r="A132" s="20" t="str">
        <x:v>102</x:v>
      </x:c>
      <x:c r="B132" s="20" t="str">
        <x:v>Safety Plane→HABILITA PLANE. PREVENT y RESPOND &amp; LEARN siguen siendo subcapas conceptuales.</x:v>
      </x:c>
      <x:c r="C132" s="20"/>
      <x:c r="D132" s="20"/>
      <x:c r="E132" s="20"/>
    </x:row>
    <x:row r="133">
      <x:c r="A133" s="20" t="str">
        <x:v>103</x:v>
      </x:c>
      <x:c r="B133" s="20" t="str">
        <x:v>Fuentes externas como UK HSE/HSG250 conservan su nombre propio.</x:v>
      </x:c>
      <x:c r="C133" s="20"/>
      <x:c r="D133" s="20"/>
      <x:c r="E133" s="20"/>
    </x:row>
    <x:row r="134">
      <x:c r="A134" s="20" t="str">
        <x:v>104</x:v>
      </x:c>
      <x:c r="B134" s="20" t="str">
        <x:v>La corrección es nominal: no modifica reglas, cardinalidades, entidades ni decisiones de REV E.</x:v>
      </x:c>
      <x:c r="C134" s="20"/>
      <x:c r="D134" s="20"/>
      <x:c r="E134" s="20"/>
    </x:row>
    <x:row r="135">
      <x:c r="A135" s="4186" t="str">
        <x:v>Qué incorpora v2.2</x:v>
      </x:c>
      <x:c r="B135" s="4186"/>
      <x:c r="C135" s="4186"/>
      <x:c r="D135" s="4186"/>
      <x:c r="E135" s="4186"/>
    </x:row>
    <x:row r="136">
      <x:c r="A136" s="20" t="str">
        <x:v>105</x:v>
      </x:c>
      <x:c r="B136" s="20" t="str">
        <x:v>Se formalizan 11 máquinas principales + submáquinas de PlanificacionVersion, AccionCorrectivaHabilita y supersession comercial.</x:v>
      </x:c>
      <x:c r="C136" s="20"/>
      <x:c r="D136" s="20"/>
      <x:c r="E136" s="20"/>
    </x:row>
    <x:row r="137">
      <x:c r="A137" s="20" t="str">
        <x:v>106</x:v>
      </x:c>
      <x:c r="B137" s="20" t="str">
        <x:v>Planificación y Ejecución conservan estados independientes: una Asignación DESPACHADA no significa trabajo ejecutado.</x:v>
      </x:c>
      <x:c r="C137" s="20"/>
      <x:c r="D137" s="20"/>
      <x:c r="E137" s="20"/>
    </x:row>
    <x:row r="138">
      <x:c r="A138" s="20" t="str">
        <x:v>107</x:v>
      </x:c>
      <x:c r="B138" s="20" t="str">
        <x:v>Parte y UnidadEjecución separan suspensión/cierre operativo de completitud documental/comercial.</x:v>
      </x:c>
      <x:c r="C138" s="20"/>
      <x:c r="D138" s="20"/>
      <x:c r="E138" s="20"/>
    </x:row>
    <x:row r="139">
      <x:c r="A139" s="20" t="str">
        <x:v>108</x:v>
      </x:c>
      <x:c r="B139" s="20" t="str">
        <x:v>PTW/Habilita conserva lifecycle propio; timeout nunca equivale a cierre.</x:v>
      </x:c>
      <x:c r="C139" s="20"/>
      <x:c r="D139" s="20"/>
      <x:c r="E139" s="20"/>
    </x:row>
    <x:row r="140">
      <x:c r="A140" s="20" t="str">
        <x:v>109</x:v>
      </x:c>
      <x:c r="B140" s="20" t="str">
        <x:v>DirectivaOperativa formaliza EMITIDA→RECIBIDA→ACK→APLICADA/RECHAZADA sin asumir conectividad.</x:v>
      </x:c>
      <x:c r="C140" s="20"/>
      <x:c r="D140" s="20"/>
      <x:c r="E140" s="20"/>
    </x:row>
    <x:row r="141">
      <x:c r="A141" s="20" t="str">
        <x:v>110</x:v>
      </x:c>
      <x:c r="B141" s="20" t="str">
        <x:v>EventoHabilita separa reporte/triage/escalamiento de CasoHabilita e investigación posterior.</x:v>
      </x:c>
      <x:c r="C141" s="20"/>
      <x:c r="D141" s="20"/>
      <x:c r="E141" s="20"/>
    </x:row>
    <x:row r="142">
      <x:c r="A142" s="20" t="str">
        <x:v>111</x:v>
      </x:c>
      <x:c r="B142" s="20" t="str">
        <x:v>UnidadComercial separa estado de certificación de estado de supersession/lineage.</x:v>
      </x:c>
      <x:c r="C142" s="20"/>
      <x:c r="D142" s="20"/>
      <x:c r="E142" s="20"/>
    </x:row>
    <x:row r="143">
      <x:c r="A143" s="20" t="str">
        <x:v>112</x:v>
      </x:c>
      <x:c r="B143" s="20" t="str">
        <x:v>PaqueteCertificacion soporta aceptación parcial solo si ReglaParcialidad lo permite.</x:v>
      </x:c>
      <x:c r="C143" s="20"/>
      <x:c r="D143" s="20"/>
      <x:c r="E143" s="20"/>
    </x:row>
    <x:row r="144">
      <x:c r="A144" s="20" t="str">
        <x:v>113</x:v>
      </x:c>
      <x:c r="B144" s="20" t="str">
        <x:v>LoteFacturacion termina en boundary ERP; no se inventa lifecycle fiscal interno.</x:v>
      </x:c>
      <x:c r="C144" s="20"/>
      <x:c r="D144" s="20"/>
      <x:c r="E144" s="20"/>
    </x:row>
    <x:row r="145">
      <x:c r="A145" s="20" t="str">
        <x:v>114</x:v>
      </x:c>
      <x:c r="B145" s="20" t="str">
        <x:v>Se documentan transiciones prohibidas que el futuro software debe impedir.</x:v>
      </x:c>
      <x:c r="C145" s="20"/>
      <x:c r="D145" s="20"/>
      <x:c r="E145" s="20"/>
    </x:row>
    <x:row r="146">
      <x:c r="A146" s="4233" t="str">
        <x:v>Qué incorpora v2.3</x:v>
      </x:c>
      <x:c r="B146" s="4233"/>
      <x:c r="C146" s="4233"/>
      <x:c r="D146" s="4233"/>
      <x:c r="E146" s="4233"/>
    </x:row>
    <x:row r="147">
      <x:c r="A147" s="20" t="str">
        <x:v>115</x:v>
      </x:c>
      <x:c r="B147" s="20" t="str">
        <x:v>Se formaliza un Rule Engine funcional independiente de tecnología, con reglas tipadas, versionadas y auditables.</x:v>
      </x:c>
      <x:c r="C147" s="20"/>
      <x:c r="D147" s="20"/>
      <x:c r="E147" s="20"/>
    </x:row>
    <x:row r="148">
      <x:c r="A148" s="20" t="str">
        <x:v>116</x:v>
      </x:c>
      <x:c r="B148" s="20" t="str">
        <x:v>Cada regla declara trigger, estado/contexto, condición, decisión, side effects, autoridad, scope y versión.</x:v>
      </x:c>
      <x:c r="C148" s="20"/>
      <x:c r="D148" s="20"/>
      <x:c r="E148" s="20"/>
    </x:row>
    <x:row r="149">
      <x:c r="A149" s="20" t="str">
        <x:v>117</x:v>
      </x:c>
      <x:c r="B149" s="20" t="str">
        <x:v>Se incorporan 74 reglas maestras atravesando Planificación, Ejecución, Habilita, Control, Certificación y Facturación.</x:v>
      </x:c>
      <x:c r="C149" s="20"/>
      <x:c r="D149" s="20"/>
      <x:c r="E149" s="20"/>
    </x:row>
    <x:row r="150">
      <x:c r="A150" s="20" t="str">
        <x:v>118</x:v>
      </x:c>
      <x:c r="B150" s="20" t="str">
        <x:v>Se define una jerarquía explícita de precedencia para resolver conflictos entre reglas.</x:v>
      </x:c>
      <x:c r="C150" s="20"/>
      <x:c r="D150" s="20"/>
      <x:c r="E150" s="20"/>
    </x:row>
    <x:row r="151">
      <x:c r="A151" s="20" t="str">
        <x:v>119</x:v>
      </x:c>
      <x:c r="B151" s="20" t="str">
        <x:v>Un hard block Habilita/documental no puede ser anulado por una regla comercial, de UX o de conveniencia operativa.</x:v>
      </x:c>
      <x:c r="C151" s="20"/>
      <x:c r="D151" s="20"/>
      <x:c r="E151" s="20"/>
    </x:row>
    <x:row r="152">
      <x:c r="A152" s="20" t="str">
        <x:v>120</x:v>
      </x:c>
      <x:c r="B152" s="20" t="str">
        <x:v>Las reglas de estado/identidad protegen la estructura antes de aplicar derivaciones comerciales.</x:v>
      </x:c>
      <x:c r="C152" s="20"/>
      <x:c r="D152" s="20"/>
      <x:c r="E152" s="20"/>
    </x:row>
    <x:row r="153">
      <x:c r="A153" s="20" t="str">
        <x:v>121</x:v>
      </x:c>
      <x:c r="B153" s="20" t="str">
        <x:v>Reglas contractuales interpretan la realidad; nunca editan ni falsifican la ejecución.</x:v>
      </x:c>
      <x:c r="C153" s="20"/>
      <x:c r="D153" s="20"/>
      <x:c r="E153" s="20"/>
    </x:row>
    <x:row r="154">
      <x:c r="A154" s="20" t="str">
        <x:v>122</x:v>
      </x:c>
      <x:c r="B154" s="20" t="str">
        <x:v>Toda decisión relevante del motor genera DecisionTrace: ruleset/version, inputs, resultado, reglas aplicadas y overrides.</x:v>
      </x:c>
      <x:c r="C154" s="20"/>
      <x:c r="D154" s="20"/>
      <x:c r="E154" s="20"/>
    </x:row>
    <x:row r="155">
      <x:c r="A155" s="20" t="str">
        <x:v>123</x:v>
      </x:c>
      <x:c r="B155" s="20" t="str">
        <x:v>Los defaults contract-agnostic quedan explícitos y pueden ser sustituidos por configuración versionada cuando llegue evidencia real.</x:v>
      </x:c>
      <x:c r="C155" s="20"/>
      <x:c r="D155" s="20"/>
      <x:c r="E155" s="20"/>
    </x:row>
    <x:row r="156">
      <x:c r="A156" s="20" t="str">
        <x:v>124</x:v>
      </x:c>
      <x:c r="B156" s="20" t="str">
        <x:v>Se documentan reglas incompatibles/antipatrones para evitar implementaciones ambiguas.</x:v>
      </x:c>
      <x:c r="C156" s="20"/>
      <x:c r="D156" s="20"/>
      <x:c r="E156" s="20"/>
    </x:row>
    <x:row r="157">
      <x:c r="A157" s="20" t="str">
        <x:v>125</x:v>
      </x:c>
      <x:c r="B157" s="20" t="str">
        <x:v>La próxima prueba será verificar qué datos pueden autoderivarse y cuánto input humano queda realmente en campo.</x:v>
      </x:c>
      <x:c r="C157" s="20"/>
      <x:c r="D157" s="20"/>
      <x:c r="E157" s="20"/>
    </x:row>
    <x:row r="158">
      <x:c r="A158" s="20" t="str">
        <x:v>126</x:v>
      </x:c>
      <x:c r="B158" s="20" t="str">
        <x:v>Con esta capa, ERD + State Machines + Rules forman un modelo funcional conceptualmente ejecutable.</x:v>
      </x:c>
      <x:c r="C158" s="20"/>
      <x:c r="D158" s="20"/>
      <x:c r="E158" s="20"/>
    </x:row>
    <x:row r="159">
      <x:c r="A159" s="4471" t="str">
        <x:v>Qué incorpora v2.4</x:v>
      </x:c>
      <x:c r="B159" s="4471"/>
      <x:c r="C159" s="4471"/>
      <x:c r="D159" s="4471"/>
      <x:c r="E159" s="4471"/>
    </x:row>
    <x:row r="160">
      <x:c r="A160" s="20" t="str">
        <x:v>127</x:v>
      </x:c>
      <x:c r="B160" s="20" t="str">
        <x:v>Se define un contrato de captura incremental: el Parte se construye en microinteracciones durante la operación, no con un formulario masivo al final.</x:v>
      </x:c>
      <x:c r="C160" s="20"/>
      <x:c r="D160" s="20"/>
      <x:c r="E160" s="20"/>
    </x:row>
    <x:row r="161">
      <x:c r="A161" s="20" t="str">
        <x:v>128</x:v>
      </x:c>
      <x:c r="B161" s="20" t="str">
        <x:v>Cada dato se clasifica como AUTODERIVADO, PRECARGADO+CONFIRMAR, INPUT HUMANO, EVIDENCIA, TERCERO, SUPERVISOR, BACK OFFICE o EXCEPCIÓN.</x:v>
      </x:c>
      <x:c r="C161" s="20"/>
      <x:c r="D161" s="20"/>
      <x:c r="E161" s="20"/>
    </x:row>
    <x:row r="162">
      <x:c r="A162" s="20" t="str">
        <x:v>129</x:v>
      </x:c>
      <x:c r="B162" s="20" t="str">
        <x:v>Se asigna fuente canónica y regla de fallback para evitar pedir al operario información que ya existe en Planificación, Maestros, Habilita o contexto del dispositivo.</x:v>
      </x:c>
      <x:c r="C162" s="20"/>
      <x:c r="D162" s="20"/>
      <x:c r="E162" s="20"/>
    </x:row>
    <x:row r="163">
      <x:c r="A163" s="20" t="str">
        <x:v>130</x:v>
      </x:c>
      <x:c r="B163" s="20" t="str">
        <x:v>Se fijan budgets de interacción; el objetivo ≤120 s se aplica a cada microtransacción de campo relevante.</x:v>
      </x:c>
      <x:c r="C163" s="20"/>
      <x:c r="D163" s="20"/>
      <x:c r="E163" s="20"/>
    </x:row>
    <x:row r="164">
      <x:c r="A164" s="20" t="str">
        <x:v>131</x:v>
      </x:c>
      <x:c r="B164" s="20" t="str">
        <x:v>Start Work normal queda diseñado para requerir confirmación mínima; identidad, TipoParte, personas, recursos, cliente y reglas se derivan.</x:v>
      </x:c>
      <x:c r="C164" s="20"/>
      <x:c r="D164" s="20"/>
      <x:c r="E164" s="20"/>
    </x:row>
    <x:row r="165">
      <x:c r="A165" s="20" t="str">
        <x:v>132</x:v>
      </x:c>
      <x:c r="B165" s="20" t="str">
        <x:v>Cierre de UE usa validación automática y solo pide resultado/excepción/medición no derivable.</x:v>
      </x:c>
      <x:c r="C165" s="20"/>
      <x:c r="D165" s="20"/>
      <x:c r="E165" s="20"/>
    </x:row>
    <x:row r="166">
      <x:c r="A166" s="20" t="str">
        <x:v>133</x:v>
      </x:c>
      <x:c r="B166" s="20" t="str">
        <x:v>TP-02 y TP-03 reutilizan la misma arquitectura de eventos/UE sin formularios completos distintos.</x:v>
      </x:c>
      <x:c r="C166" s="20"/>
      <x:c r="D166" s="20"/>
      <x:c r="E166" s="20"/>
    </x:row>
    <x:row r="167">
      <x:c r="A167" s="20" t="str">
        <x:v>134</x:v>
      </x:c>
      <x:c r="B167" s="20" t="str">
        <x:v>Flash Report Habilita mantiene objetivo 1–2 min con contexto autoderivado y triage posterior.</x:v>
      </x:c>
      <x:c r="C167" s="20"/>
      <x:c r="D167" s="20"/>
      <x:c r="E167" s="20"/>
    </x:row>
    <x:row r="168">
      <x:c r="A168" s="20" t="str">
        <x:v>135</x:v>
      </x:c>
      <x:c r="B168" s="20" t="str">
        <x:v>Certificación/Facturación no agregan carga al operario; consumen verdad operacional ya estructurada.</x:v>
      </x:c>
      <x:c r="C168" s="20"/>
      <x:c r="D168" s="20"/>
      <x:c r="E168" s="20"/>
    </x:row>
    <x:row r="169">
      <x:c r="A169" s="20" t="str">
        <x:v>136</x:v>
      </x:c>
      <x:c r="B169" s="20" t="str">
        <x:v>Se identifican inputs humanos inevitables y candidatos futuros de automatización sin alterar la baseline.</x:v>
      </x:c>
      <x:c r="C169" s="20"/>
      <x:c r="D169" s="20"/>
      <x:c r="E169" s="20"/>
    </x:row>
    <x:row r="170">
      <x:c r="A170" s="20" t="str">
        <x:v>137</x:v>
      </x:c>
      <x:c r="B170" s="20" t="str">
        <x:v>El próximo y último trabajo de construcción previo al freeze son los Golden Scenarios / Acceptance Tests.</x:v>
      </x:c>
      <x:c r="C170" s="20"/>
      <x:c r="D170" s="20"/>
      <x:c r="E170" s="20"/>
    </x:row>
    <x:row r="171">
      <x:c r="A171" s="20" t="str">
        <x:v>138</x:v>
      </x:c>
      <x:c r="B171" s="20" t="str">
        <x:v>El diagrama final debe construirse después de esos tests para representar la lógica validada, no una versión que todavía pueda moverse.</x:v>
      </x:c>
      <x:c r="C171" s="20"/>
      <x:c r="D171" s="20"/>
      <x:c r="E171" s="20"/>
    </x:row>
    <x:row r="172">
      <x:c r="A172" s="4649" t="str">
        <x:v>Qué incorpora v3.0</x:v>
      </x:c>
      <x:c r="B172" s="4649"/>
      <x:c r="C172" s="4649"/>
      <x:c r="D172" s="4649"/>
      <x:c r="E172" s="4649"/>
    </x:row>
    <x:row r="173">
      <x:c r="A173" s="20" t="str">
        <x:v>139</x:v>
      </x:c>
      <x:c r="B173" s="20" t="str">
        <x:v>Se ejecuta el Golden Scenario Pack como prueba transversal de arquitectura, ERD, estados, reglas y automatización.</x:v>
      </x:c>
      <x:c r="C173" s="20"/>
      <x:c r="D173" s="20"/>
      <x:c r="E173" s="20"/>
    </x:row>
    <x:row r="174">
      <x:c r="A174" s="20" t="str">
        <x:v>140</x:v>
      </x:c>
      <x:c r="B174" s="20" t="str">
        <x:v>Los escenarios incluyen happy path, adversarial, offline, temporalidad, Habilita, certificación, lineage, TP-01/02/03 y errores posteriores.</x:v>
      </x:c>
      <x:c r="C174" s="20"/>
      <x:c r="D174" s="20"/>
      <x:c r="E174" s="20"/>
    </x:row>
    <x:row r="175">
      <x:c r="A175" s="20" t="str">
        <x:v>141</x:v>
      </x:c>
      <x:c r="B175" s="20" t="str">
        <x:v>Cada escenario declara GIVEN / WHEN / THEN, reglas esperadas, objetos/estados afectados y criterio de aceptación.</x:v>
      </x:c>
      <x:c r="C175" s="20"/>
      <x:c r="D175" s="20"/>
      <x:c r="E175" s="20"/>
    </x:row>
    <x:row r="176">
      <x:c r="A176" s="20" t="str">
        <x:v>142</x:v>
      </x:c>
      <x:c r="B176" s="20" t="str">
        <x:v>No se detectan gaps estructurales que exijan nuevas entidades maestras, cambio de cardinalidades o un cuarto TipoParte.</x:v>
      </x:c>
      <x:c r="C176" s="20"/>
      <x:c r="D176" s="20"/>
      <x:c r="E176" s="20"/>
    </x:row>
    <x:row r="177">
      <x:c r="A177" s="20" t="str">
        <x:v>143</x:v>
      </x:c>
      <x:c r="B177" s="20" t="str">
        <x:v>Los comportamientos dependientes de contrato/cliente/Habilita continúan expresados como configuración versionada.</x:v>
      </x:c>
      <x:c r="C177" s="20"/>
      <x:c r="D177" s="20"/>
      <x:c r="E177" s="20"/>
    </x:row>
    <x:row r="178">
      <x:c r="A178" s="20" t="str">
        <x:v>144</x:v>
      </x:c>
      <x:c r="B178" s="20" t="str">
        <x:v>Se aprueba el Freeze Gate funcional: arquitectura + ERD + state machines + rule engine + automatización + scenarios son consistentes.</x:v>
      </x:c>
      <x:c r="C178" s="20"/>
      <x:c r="D178" s="20"/>
      <x:c r="E178" s="20"/>
    </x:row>
    <x:row r="179">
      <x:c r="A179" s="20" t="str">
        <x:v>145</x:v>
      </x:c>
      <x:c r="B179" s="20" t="str">
        <x:v>La baseline funcional pasa a FROZEN 1.0. Cambios futuros requieren Change Control explícito.</x:v>
      </x:c>
      <x:c r="C179" s="20"/>
      <x:c r="D179" s="20"/>
      <x:c r="E179" s="20"/>
    </x:row>
    <x:row r="180">
      <x:c r="A180" s="20" t="str">
        <x:v>146</x:v>
      </x:c>
      <x:c r="B180" s="20" t="str">
        <x:v>Se incorpora Arquitectura Final FROZEN en formato visual estilo arquitectura de computadora.</x:v>
      </x:c>
      <x:c r="C180" s="20"/>
      <x:c r="D180" s="20"/>
      <x:c r="E180" s="20"/>
    </x:row>
    <x:row r="181">
      <x:c r="A181" s="20" t="str">
        <x:v>147</x:v>
      </x:c>
      <x:c r="B181" s="20" t="str">
        <x:v>El dibujo final separa Configuration Plane, Planificación, Execution Core, Habilita Plane, Control Plane, Certification/Billing, Rule Engine y Trace Bus.</x:v>
      </x:c>
      <x:c r="C181" s="20"/>
      <x:c r="D181" s="20"/>
      <x:c r="E181" s="20"/>
    </x:row>
    <x:row r="182">
      <x:c r="A182" s="20" t="str">
        <x:v>148</x:v>
      </x:c>
      <x:c r="B182" s="20" t="str">
        <x:v>Siguiente fase externa a este freeze: demo/prototipo de producto y posteriormente diseño técnico/DB/API/offline/app.</x:v>
      </x:c>
      <x:c r="C182" s="20"/>
      <x:c r="D182" s="20"/>
      <x:c r="E182" s="20"/>
    </x:row>
    <x:row r="183">
      <x:c r="A183" s="20" t="str">
        <x:v>149</x:v>
      </x:c>
      <x:c r="B183" s="20" t="str">
        <x:v>Una demo futura debe implementar/representar esta baseline; no reinterpretarla ni simplificarla silenciosamente.</x:v>
      </x:c>
      <x:c r="C183" s="20"/>
      <x:c r="D183" s="20"/>
      <x:c r="E183" s="20"/>
    </x:row>
    <x:row r="184">
      <x:c r="A184" s="20" t="str">
        <x:v>150</x:v>
      </x:c>
      <x:c r="B184" s="20" t="str">
        <x:v>El paquete v3.0 es el source package funcional para compartir con diseño, desarrollo o herramientas externas como Gemini.</x:v>
      </x:c>
      <x:c r="C184" s="20"/>
      <x:c r="D184" s="20"/>
      <x:c r="E184" s="20"/>
    </x:row>
  </x:sheetData>
  <x:mergeCells>
    <x:mergeCell ref="A1:H1"/>
    <x:mergeCell ref="A2:H2"/>
    <x:mergeCell ref="A12:H12"/>
    <x:mergeCell ref="A20:H20"/>
    <x:mergeCell ref="A21:H23"/>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6" hidden="0" customWidth="1"/>
    <x:col min="3" max="3" width="24" hidden="0" customWidth="1"/>
    <x:col min="4" max="4" width="48" hidden="0" customWidth="1"/>
    <x:col min="5" max="5" width="24" hidden="0" customWidth="1"/>
    <x:col min="6" max="6" width="22" hidden="0" customWidth="1"/>
    <x:col min="7" max="7" width="20" hidden="0" customWidth="1"/>
    <x:col min="8" max="8" width="22" hidden="0" customWidth="1"/>
    <x:col min="9" max="9" width="23" hidden="0" customWidth="1"/>
    <x:col min="10" max="10" width="18" hidden="0" customWidth="1"/>
    <x:col min="11" max="11" width="20" hidden="0" customWidth="1"/>
    <x:col min="12" max="12" width="35" hidden="0" customWidth="1"/>
    <x:col min="13" max="13" width="20" hidden="0" customWidth="1"/>
    <x:col min="14" max="14" width="42" hidden="0" customWidth="1"/>
    <x:col min="15" max="15" width="42" hidden="0" customWidth="1"/>
    <x:col min="16" max="16" width="22" hidden="0" customWidth="1"/>
  </x:cols>
  <x:sheetData>
    <x:row r="1" ht="30" customHeight="1">
      <x:c r="A1" s="52" t="str">
        <x:v>ID</x:v>
      </x:c>
      <x:c r="B1" s="52" t="str">
        <x:v>Familia</x:v>
      </x:c>
      <x:c r="C1" s="52" t="str">
        <x:v>Concepto canónico</x:v>
      </x:c>
      <x:c r="D1" s="52" t="str">
        <x:v>Definición v0</x:v>
      </x:c>
      <x:c r="E1" s="52" t="str">
        <x:v>Objeto lógico candidato</x:v>
      </x:c>
      <x:c r="F1" s="52" t="str">
        <x:v>Dominio / nivel</x:v>
      </x:c>
      <x:c r="G1" s="52" t="str">
        <x:v>Naturaleza</x:v>
      </x:c>
      <x:c r="H1" s="52" t="str">
        <x:v>Fuente ideal</x:v>
      </x:c>
      <x:c r="I1" s="52" t="str">
        <x:v>Modo de obtención</x:v>
      </x:c>
      <x:c r="J1" s="52" t="str">
        <x:v>Input humano en campo</x:v>
      </x:c>
      <x:c r="K1" s="52" t="str">
        <x:v>Obligatoriedad v0</x:v>
      </x:c>
      <x:c r="L1" s="52" t="str">
        <x:v>Variables origen / evidencia</x:v>
      </x:c>
      <x:c r="M1" s="52" t="str">
        <x:v>Estado v0</x:v>
      </x:c>
      <x:c r="N1" s="52" t="str">
        <x:v>Validación pendiente</x:v>
      </x:c>
      <x:c r="O1" s="52" t="str">
        <x:v>Nota de diseño</x:v>
      </x:c>
      <x:c r="P1" s="52" t="str">
        <x:v>Fuente base</x:v>
      </x:c>
    </x:row>
    <x:row r="2">
      <x:c r="A2" s="34" t="str">
        <x:v>V0-001</x:v>
      </x:c>
      <x:c r="B2" s="34" t="str">
        <x:v>Identidad</x:v>
      </x:c>
      <x:c r="C2" s="34" t="str">
        <x:v>parte_id</x:v>
      </x:c>
      <x:c r="D2" s="34" t="str">
        <x:v>Identificador interno único e inmutable de una instancia de Parte dentro de un Tipo de Parte resuelto por el sistema.</x:v>
      </x:c>
      <x:c r="E2" s="34" t="str">
        <x:v>Parte</x:v>
      </x:c>
      <x:c r="F2" s="34" t="str">
        <x:v>Núcleo Parte</x:v>
      </x:c>
      <x:c r="G2" s="34" t="str">
        <x:v>Identificador</x:v>
      </x:c>
      <x:c r="H2" s="34" t="str">
        <x:v>Sistema</x:v>
      </x:c>
      <x:c r="I2" s="34" t="str">
        <x:v>Generado automático</x:v>
      </x:c>
      <x:c r="J2" s="34" t="str">
        <x:v>No</x:v>
      </x:c>
      <x:c r="K2" s="34" t="str">
        <x:v>Core</x:v>
      </x:c>
      <x:c r="L2" s="34" t="str">
        <x:v>ID / N° de Parte</x:v>
      </x:c>
      <x:c r="M2" s="34" t="str">
        <x:v>Base sólida</x:v>
      </x:c>
      <x:c r="N2" s="34" t="str">
        <x:v>Validar si existe además numeración legal/correlativa obligatoria.</x:v>
      </x:c>
      <x:c r="O2" s="34" t="str">
        <x:v>La identidad técnica es común a todos los Tipos de Parte; la semántica operativa depende de TipoParte.</x:v>
      </x:c>
      <x:c r="P2" s="34" t="str">
        <x:v>Homologación + arquitectura</x:v>
      </x:c>
    </x:row>
    <x:row r="3">
      <x:c r="A3" s="34" t="str">
        <x:v>V0-002</x:v>
      </x:c>
      <x:c r="B3" s="34" t="str">
        <x:v>Identidad</x:v>
      </x:c>
      <x:c r="C3" s="34" t="str">
        <x:v>numero_parte_visible</x:v>
      </x:c>
      <x:c r="D3" s="34" t="str">
        <x:v>Número/correlativo visible para usuarios, separado de la PK interna.</x:v>
      </x:c>
      <x:c r="E3" s="34" t="str">
        <x:v>Parte</x:v>
      </x:c>
      <x:c r="F3" s="34" t="str">
        <x:v>Núcleo Parte</x:v>
      </x:c>
      <x:c r="G3" s="34" t="str">
        <x:v>Atributo</x:v>
      </x:c>
      <x:c r="H3" s="34" t="str">
        <x:v>Sistema</x:v>
      </x:c>
      <x:c r="I3" s="34" t="str">
        <x:v>Generado automático</x:v>
      </x:c>
      <x:c r="J3" s="34" t="str">
        <x:v>No</x:v>
      </x:c>
      <x:c r="K3" s="34" t="str">
        <x:v>Core</x:v>
      </x:c>
      <x:c r="L3" s="34" t="str">
        <x:v>ID / N° de Parte</x:v>
      </x:c>
      <x:c r="M3" s="34" t="str">
        <x:v>Provisional</x:v>
      </x:c>
      <x:c r="N3" s="34" t="str">
        <x:v>Definir reglas de numeración por empresa/serie/año si fueran necesarias.</x:v>
      </x:c>
      <x:c r="O3" s="34" t="str">
        <x:v>Separar identidad técnica de numeración operativa.</x:v>
      </x:c>
      <x:c r="P3" s="34" t="str">
        <x:v>Homologación</x:v>
      </x:c>
    </x:row>
    <x:row r="4">
      <x:c r="A4" s="34" t="str">
        <x:v>V0-003</x:v>
      </x:c>
      <x:c r="B4" s="34" t="str">
        <x:v>Identidad</x:v>
      </x:c>
      <x:c r="C4" s="34" t="str">
        <x:v>referencia_documental_externa</x:v>
      </x:c>
      <x:c r="D4" s="34" t="str">
        <x:v>Código o número de formulario/documento de un cliente o soporte externo, cuando aplique.</x:v>
      </x:c>
      <x:c r="E4" s="34" t="str">
        <x:v>Parte</x:v>
      </x:c>
      <x:c r="F4" s="34" t="str">
        <x:v>Interfaz externa</x:v>
      </x:c>
      <x:c r="G4" s="34" t="str">
        <x:v>Referencia externa</x:v>
      </x:c>
      <x:c r="H4" s="34" t="str">
        <x:v>Integración / usuario</x:v>
      </x:c>
      <x:c r="I4" s="34" t="str">
        <x:v>Heredado o manual condicional</x:v>
      </x:c>
      <x:c r="J4" s="34" t="str">
        <x:v>Condicional</x:v>
      </x:c>
      <x:c r="K4" s="34" t="str">
        <x:v>Condicional</x:v>
      </x:c>
      <x:c r="L4" s="34" t="str">
        <x:v>N° de Formulario (correlativo impreso)</x:v>
      </x:c>
      <x:c r="M4" s="34" t="str">
        <x:v>Provisional</x:v>
      </x:c>
      <x:c r="N4" s="34" t="str">
        <x:v>¿Algún cliente objetivo exige conservar correlativo externo?</x:v>
      </x:c>
      <x:c r="O4" s="34" t="str">
        <x:v>No usar como PK del Parte.</x:v>
      </x:c>
      <x:c r="P4" s="34" t="str">
        <x:v>Homologación</x:v>
      </x:c>
    </x:row>
    <x:row r="5">
      <x:c r="A5" s="34" t="str">
        <x:v>V0-004</x:v>
      </x:c>
      <x:c r="B5" s="34" t="str">
        <x:v>Identidad</x:v>
      </x:c>
      <x:c r="C5" s="34" t="str">
        <x:v>origen_parte</x:v>
      </x:c>
      <x:c r="D5" s="34" t="str">
        <x:v>Indica si la ejecución nació de planificación, fuera de planificación u otra fuente controlada.</x:v>
      </x:c>
      <x:c r="E5" s="34" t="str">
        <x:v>Parte</x:v>
      </x:c>
      <x:c r="F5" s="34" t="str">
        <x:v>Núcleo Parte</x:v>
      </x:c>
      <x:c r="G5" s="34" t="str">
        <x:v>Catálogo/estado</x:v>
      </x:c>
      <x:c r="H5" s="34" t="str">
        <x:v>Sistema / Planificación</x:v>
      </x:c>
      <x:c r="I5" s="34" t="str">
        <x:v>Derivado</x:v>
      </x:c>
      <x:c r="J5" s="34" t="str">
        <x:v>No</x:v>
      </x:c>
      <x:c r="K5" s="34" t="str">
        <x:v>Core</x:v>
      </x:c>
      <x:c r="L5" s="34" t="str">
        <x:v>planificacion_id nullable / fuera de planificación</x:v>
      </x:c>
      <x:c r="M5" s="34" t="str">
        <x:v>Provisional</x:v>
      </x:c>
      <x:c r="N5" s="34" t="str">
        <x:v>Cerrar categorías cuando diseñemos Planificación.</x:v>
      </x:c>
      <x:c r="O5" s="34" t="str">
        <x:v>Permite trazabilidad sin mezclar diseño de Planificación.</x:v>
      </x:c>
      <x:c r="P5" s="34" t="str">
        <x:v>Arquitectura</x:v>
      </x:c>
    </x:row>
    <x:row r="6">
      <x:c r="A6" s="34" t="str">
        <x:v>V0-005</x:v>
      </x:c>
      <x:c r="B6" s="34" t="str">
        <x:v>Identidad</x:v>
      </x:c>
      <x:c r="C6" s="34" t="str">
        <x:v>estado_operativo_parte</x:v>
      </x:c>
      <x:c r="D6" s="34" t="str">
        <x:v>Estado de ciclo de vida del Parte como ejecución operativa.</x:v>
      </x:c>
      <x:c r="E6" s="34" t="str">
        <x:v>Parte</x:v>
      </x:c>
      <x:c r="F6" s="34" t="str">
        <x:v>Núcleo Parte</x:v>
      </x:c>
      <x:c r="G6" s="34" t="str">
        <x:v>Estado calculado/persistido</x:v>
      </x:c>
      <x:c r="H6" s="34" t="str">
        <x:v>Sistema</x:v>
      </x:c>
      <x:c r="I6" s="34" t="str">
        <x:v>Calculado por máquina de estados</x:v>
      </x:c>
      <x:c r="J6" s="34" t="str">
        <x:v>No</x:v>
      </x:c>
      <x:c r="K6" s="34" t="str">
        <x:v>Core</x:v>
      </x:c>
      <x:c r="L6" s="34" t="str">
        <x:v>Estado del Documento; estados de arquitectura</x:v>
      </x:c>
      <x:c r="M6" s="34" t="str">
        <x:v>Provisional</x:v>
      </x:c>
      <x:c r="N6" s="34" t="str">
        <x:v>Definir estado terminal del Parte sin importar reglas de Certificación.</x:v>
      </x:c>
      <x:c r="O6" s="34" t="str">
        <x:v>No equivale a ORIGINAL/COPIA del papel.</x:v>
      </x:c>
      <x:c r="P6" s="34" t="str">
        <x:v>Homologación + arquitectura</x:v>
      </x:c>
    </x:row>
    <x:row r="7">
      <x:c r="A7" s="34" t="str">
        <x:v>V0-006</x:v>
      </x:c>
      <x:c r="B7" s="34" t="str">
        <x:v>Identidad</x:v>
      </x:c>
      <x:c r="C7" s="34" t="str">
        <x:v>unidad_ejecucion_id</x:v>
      </x:c>
      <x:c r="D7" s="34" t="str">
        <x:v>Identificador interno de una unidad de ejecución cuando el Tipo de Parte necesita granularidad interna.</x:v>
      </x:c>
      <x:c r="E7" s="34" t="str">
        <x:v>UnidadEjecución</x:v>
      </x:c>
      <x:c r="F7" s="34" t="str">
        <x:v>Núcleo Parte</x:v>
      </x:c>
      <x:c r="G7" s="34" t="str">
        <x:v>Identificador</x:v>
      </x:c>
      <x:c r="H7" s="34" t="str">
        <x:v>Sistema</x:v>
      </x:c>
      <x:c r="I7" s="34" t="str">
        <x:v>Generado automático</x:v>
      </x:c>
      <x:c r="J7" s="34" t="str">
        <x:v>No</x:v>
      </x:c>
      <x:c r="K7" s="34" t="str">
        <x:v>Core</x:v>
      </x:c>
      <x:c r="L7" s="34" t="str">
        <x:v>Parte_Frente / actividades</x:v>
      </x:c>
      <x:c r="M7" s="34" t="str">
        <x:v>Provisional</x:v>
      </x:c>
      <x:c r="N7" s="34" t="str">
        <x:v>Validar granularidad por Tipo de Parte; no todos los tipos necesariamente usan la misma unidad interna.</x:v>
      </x:c>
      <x:c r="O7" s="34" t="str">
        <x:v>Hoy 'Frente' es nombre de trabajo, no decisión cerrada.</x:v>
      </x:c>
      <x:c r="P7" s="34" t="str">
        <x:v>Arquitectura</x:v>
      </x:c>
    </x:row>
    <x:row r="8">
      <x:c r="A8" s="34" t="str">
        <x:v>V0-007</x:v>
      </x:c>
      <x:c r="B8" s="34" t="str">
        <x:v>Identidad</x:v>
      </x:c>
      <x:c r="C8" s="34" t="str">
        <x:v>estado_unidad_ejecucion</x:v>
      </x:c>
      <x:c r="D8" s="34" t="str">
        <x:v>Estado operativo de cada unidad de ejecución.</x:v>
      </x:c>
      <x:c r="E8" s="34" t="str">
        <x:v>UnidadEjecución</x:v>
      </x:c>
      <x:c r="F8" s="34" t="str">
        <x:v>Núcleo Parte</x:v>
      </x:c>
      <x:c r="G8" s="34" t="str">
        <x:v>Estado</x:v>
      </x:c>
      <x:c r="H8" s="34" t="str">
        <x:v>Sistema</x:v>
      </x:c>
      <x:c r="I8" s="34" t="str">
        <x:v>Calculado por máquina de estados</x:v>
      </x:c>
      <x:c r="J8" s="34" t="str">
        <x:v>No</x:v>
      </x:c>
      <x:c r="K8" s="34" t="str">
        <x:v>Core</x:v>
      </x:c>
      <x:c r="L8" s="34" t="str">
        <x:v>estados Frente</x:v>
      </x:c>
      <x:c r="M8" s="34" t="str">
        <x:v>Provisional</x:v>
      </x:c>
      <x:c r="N8" s="34" t="str">
        <x:v>Validar estados y transiciones con casos reales.</x:v>
      </x:c>
      <x:c r="O8" s="34" t="str">
        <x:v>Debe poder divergir entre unidades del mismo Parte.</x:v>
      </x:c>
      <x:c r="P8" s="34" t="str">
        <x:v>Arquitectura</x:v>
      </x:c>
    </x:row>
    <x:row r="9">
      <x:c r="A9" s="34" t="str">
        <x:v>V0-008</x:v>
      </x:c>
      <x:c r="B9" s="34" t="str">
        <x:v>Ejecución</x:v>
      </x:c>
      <x:c r="C9" s="34" t="str">
        <x:v>detalle_ejecucion</x:v>
      </x:c>
      <x:c r="D9" s="34" t="str">
        <x:v>Texto breve sobre lo efectivamente realizado cuando el catálogo estructurado no alcanza.</x:v>
      </x:c>
      <x:c r="E9" s="34" t="str">
        <x:v>UnidadEjecución</x:v>
      </x:c>
      <x:c r="F9" s="34" t="str">
        <x:v>Núcleo Parte</x:v>
      </x:c>
      <x:c r="G9" s="34" t="str">
        <x:v>Atributo libre controlado</x:v>
      </x:c>
      <x:c r="H9" s="34" t="str">
        <x:v>Campo</x:v>
      </x:c>
      <x:c r="I9" s="34" t="str">
        <x:v>Manual condicional</x:v>
      </x:c>
      <x:c r="J9" s="34" t="str">
        <x:v>Condicional</x:v>
      </x:c>
      <x:c r="K9" s="34" t="str">
        <x:v>Condicional</x:v>
      </x:c>
      <x:c r="L9" s="34" t="str">
        <x:v>Descripción de la Tarea; Trabajo Solicitado; Observaciones</x:v>
      </x:c>
      <x:c r="M9" s="34" t="str">
        <x:v>Provisional</x:v>
      </x:c>
      <x:c r="N9" s="34" t="str">
        <x:v>Distinguir descripción planificada de descripción real.</x:v>
      </x:c>
      <x:c r="O9" s="34" t="str">
        <x:v>No usar texto libre para información repetitiva estructurable.</x:v>
      </x:c>
      <x:c r="P9" s="34" t="str">
        <x:v>Homologación + muestra</x:v>
      </x:c>
    </x:row>
    <x:row r="10">
      <x:c r="A10" s="34" t="str">
        <x:v>V0-009</x:v>
      </x:c>
      <x:c r="B10" s="34" t="str">
        <x:v>Excepción</x:v>
      </x:c>
      <x:c r="C10" s="34" t="str">
        <x:v>observacion_excepcion</x:v>
      </x:c>
      <x:c r="D10" s="34" t="str">
        <x:v>Comentario libre reservado para excepciones o información no modelada.</x:v>
      </x:c>
      <x:c r="E10" s="34" t="str">
        <x:v>Parte/UnidadEjecución</x:v>
      </x:c>
      <x:c r="F10" s="34" t="str">
        <x:v>Núcleo Parte</x:v>
      </x:c>
      <x:c r="G10" s="34" t="str">
        <x:v>Atributo libre</x:v>
      </x:c>
      <x:c r="H10" s="34" t="str">
        <x:v>Campo</x:v>
      </x:c>
      <x:c r="I10" s="34" t="str">
        <x:v>Manual condicional</x:v>
      </x:c>
      <x:c r="J10" s="34" t="str">
        <x:v>Condicional</x:v>
      </x:c>
      <x:c r="K10" s="34" t="str">
        <x:v>Condicional</x:v>
      </x:c>
      <x:c r="L10" s="34" t="str">
        <x:v>Observaciones / Comentarios</x:v>
      </x:c>
      <x:c r="M10" s="34" t="str">
        <x:v>Base sólida</x:v>
      </x:c>
      <x:c r="N10" s="34" t="str">
        <x:v>Definir si vive siempre en unidad o también en Parte.</x:v>
      </x:c>
      <x:c r="O10" s="34" t="str">
        <x:v>Si se repite una frase, debe transformarse en categoría/dato.</x:v>
      </x:c>
      <x:c r="P10" s="34" t="str">
        <x:v>Homologación + muestra</x:v>
      </x:c>
    </x:row>
    <x:row r="11">
      <x:c r="A11" s="34" t="str">
        <x:v>V0-010</x:v>
      </x:c>
      <x:c r="B11" s="34" t="str">
        <x:v>Tiempo</x:v>
      </x:c>
      <x:c r="C11" s="34" t="str">
        <x:v>fecha_operativa</x:v>
      </x:c>
      <x:c r="D11" s="34" t="str">
        <x:v>Fecha operativa a la que pertenece una ejecución o agrupación. El nivel exacto depende del TipoParte; en TP-02 puede vivir por movimiento y la ventana del Parte derivarse.</x:v>
      </x:c>
      <x:c r="E11" s="34" t="str">
        <x:v>Parte/UnidadEjecución</x:v>
      </x:c>
      <x:c r="F11" s="34" t="str">
        <x:v>Núcleo Parte / temporal</x:v>
      </x:c>
      <x:c r="G11" s="34" t="str">
        <x:v>Fecha</x:v>
      </x:c>
      <x:c r="H11" s="34" t="str">
        <x:v>Planificación / campo</x:v>
      </x:c>
      <x:c r="I11" s="34" t="str">
        <x:v>Heredado y confirmable</x:v>
      </x:c>
      <x:c r="J11" s="34" t="str">
        <x:v>Confirmación</x:v>
      </x:c>
      <x:c r="K11" s="34" t="str">
        <x:v>Core</x:v>
      </x:c>
      <x:c r="L11" s="34" t="str">
        <x:v>Fecha del Parte; Día de Ejecución</x:v>
      </x:c>
      <x:c r="M11" s="34" t="str">
        <x:v>Provisional</x:v>
      </x:c>
      <x:c r="N11" s="34" t="str">
        <x:v>Validar frontera temporal por TipoParte; no asumir una fecha única de Parte para todos los casos.</x:v>
      </x:c>
      <x:c r="O11" s="34" t="str">
        <x:v>T3 observa fecha a nivel Parte; T4 la registra por línea/movimiento. El modelo debe soportar ambos sin duplicar semántica.</x:v>
      </x:c>
      <x:c r="P11" s="34" t="str">
        <x:v>Homologación</x:v>
      </x:c>
    </x:row>
    <x:row r="12">
      <x:c r="A12" s="34" t="str">
        <x:v>V0-011</x:v>
      </x:c>
      <x:c r="B12" s="34" t="str">
        <x:v>Tiempo</x:v>
      </x:c>
      <x:c r="C12" s="34" t="str">
        <x:v>inicio_ejecucion_at</x:v>
      </x:c>
      <x:c r="D12" s="34" t="str">
        <x:v>Fecha-hora real de inicio de una unidad de ejecución.</x:v>
      </x:c>
      <x:c r="E12" s="34" t="str">
        <x:v>UnidadEjecución</x:v>
      </x:c>
      <x:c r="F12" s="34" t="str">
        <x:v>Núcleo Parte</x:v>
      </x:c>
      <x:c r="G12" s="34" t="str">
        <x:v>Timestamp</x:v>
      </x:c>
      <x:c r="H12" s="34" t="str">
        <x:v>Campo / dispositivo</x:v>
      </x:c>
      <x:c r="I12" s="34" t="str">
        <x:v>Captura o confirmación</x:v>
      </x:c>
      <x:c r="J12" s="34" t="str">
        <x:v>Sí (mínimo)</x:v>
      </x:c>
      <x:c r="K12" s="34" t="str">
        <x:v>Core</x:v>
      </x:c>
      <x:c r="L12" s="34" t="str">
        <x:v>Hora de Inicio; Fecha Inicio</x:v>
      </x:c>
      <x:c r="M12" s="34" t="str">
        <x:v>Provisional</x:v>
      </x:c>
      <x:c r="N12" s="34" t="str">
        <x:v>Validar si puede autocompletarse por acción 'Iniciar'.</x:v>
      </x:c>
      <x:c r="O12" s="34" t="str">
        <x:v>Preferible timestamp por evento, no tipeo manual HH:MM.</x:v>
      </x:c>
      <x:c r="P12" s="34" t="str">
        <x:v>Homologación + muestra</x:v>
      </x:c>
    </x:row>
    <x:row r="13">
      <x:c r="A13" s="34" t="str">
        <x:v>V0-012</x:v>
      </x:c>
      <x:c r="B13" s="34" t="str">
        <x:v>Tiempo</x:v>
      </x:c>
      <x:c r="C13" s="34" t="str">
        <x:v>fin_ejecucion_at</x:v>
      </x:c>
      <x:c r="D13" s="34" t="str">
        <x:v>Fecha-hora real de cierre de una unidad de ejecución.</x:v>
      </x:c>
      <x:c r="E13" s="34" t="str">
        <x:v>UnidadEjecución</x:v>
      </x:c>
      <x:c r="F13" s="34" t="str">
        <x:v>Núcleo Parte</x:v>
      </x:c>
      <x:c r="G13" s="34" t="str">
        <x:v>Timestamp</x:v>
      </x:c>
      <x:c r="H13" s="34" t="str">
        <x:v>Campo / dispositivo</x:v>
      </x:c>
      <x:c r="I13" s="34" t="str">
        <x:v>Captura o confirmación</x:v>
      </x:c>
      <x:c r="J13" s="34" t="str">
        <x:v>Sí (mínimo)</x:v>
      </x:c>
      <x:c r="K13" s="34" t="str">
        <x:v>Core</x:v>
      </x:c>
      <x:c r="L13" s="34" t="str">
        <x:v>Hora de Fin; Fecha Fin</x:v>
      </x:c>
      <x:c r="M13" s="34" t="str">
        <x:v>Provisional</x:v>
      </x:c>
      <x:c r="N13" s="34" t="str">
        <x:v>Validar si puede autocompletarse por acción 'Finalizar'.</x:v>
      </x:c>
      <x:c r="O13" s="34" t="str">
        <x:v>Permite calcular duración y evita horas tipeadas.</x:v>
      </x:c>
      <x:c r="P13" s="34" t="str">
        <x:v>Homologación + muestra</x:v>
      </x:c>
    </x:row>
    <x:row r="14">
      <x:c r="A14" s="34" t="str">
        <x:v>V0-013</x:v>
      </x:c>
      <x:c r="B14" s="34" t="str">
        <x:v>Tiempo</x:v>
      </x:c>
      <x:c r="C14" s="34" t="str">
        <x:v>duracion_ejecucion</x:v>
      </x:c>
      <x:c r="D14" s="34" t="str">
        <x:v>Duración calculada entre inicio y fin de una unidad.</x:v>
      </x:c>
      <x:c r="E14" s="34" t="str">
        <x:v>UnidadEjecución</x:v>
      </x:c>
      <x:c r="F14" s="34" t="str">
        <x:v>Núcleo Parte</x:v>
      </x:c>
      <x:c r="G14" s="34" t="str">
        <x:v>Calculado</x:v>
      </x:c>
      <x:c r="H14" s="34" t="str">
        <x:v>Sistema</x:v>
      </x:c>
      <x:c r="I14" s="34" t="str">
        <x:v>Calculado</x:v>
      </x:c>
      <x:c r="J14" s="34" t="str">
        <x:v>No</x:v>
      </x:c>
      <x:c r="K14" s="34" t="str">
        <x:v>Core</x:v>
      </x:c>
      <x:c r="L14" s="34" t="str">
        <x:v>Cantidad de Horas</x:v>
      </x:c>
      <x:c r="M14" s="34" t="str">
        <x:v>Base sólida</x:v>
      </x:c>
      <x:c r="N14" s="34" t="str">
        <x:v>Definir tratamiento de pausas si deben excluirse.</x:v>
      </x:c>
      <x:c r="O14" s="34" t="str">
        <x:v>No capturar cantidad de horas si puede calcularse.</x:v>
      </x:c>
      <x:c r="P14" s="34" t="str">
        <x:v>Homologación</x:v>
      </x:c>
    </x:row>
    <x:row r="15">
      <x:c r="A15" s="34" t="str">
        <x:v>V0-014</x:v>
      </x:c>
      <x:c r="B15" s="34" t="str">
        <x:v>Tiempo</x:v>
      </x:c>
      <x:c r="C15" s="34" t="str">
        <x:v>tipo_evento_tiempo_id</x:v>
      </x:c>
      <x:c r="D15" s="34" t="str">
        <x:v>Clasifica intervalos relevantes: traslado, espera, reparación, carga/descarga u otros.</x:v>
      </x:c>
      <x:c r="E15" s="34" t="str">
        <x:v>EventoTiempo</x:v>
      </x:c>
      <x:c r="F15" s="34" t="str">
        <x:v>Extensión operativa</x:v>
      </x:c>
      <x:c r="G15" s="34" t="str">
        <x:v>Catálogo</x:v>
      </x:c>
      <x:c r="H15" s="34" t="str">
        <x:v>Catálogo maestro</x:v>
      </x:c>
      <x:c r="I15" s="34" t="str">
        <x:v>Selección condicional</x:v>
      </x:c>
      <x:c r="J15" s="34" t="str">
        <x:v>Condicional</x:v>
      </x:c>
      <x:c r="K15" s="34" t="str">
        <x:v>Condicional</x:v>
      </x:c>
      <x:c r="L15" s="34" t="str">
        <x:v>Tiempo viaje; Tiempo reparación; Tiempos varios</x:v>
      </x:c>
      <x:c r="M15" s="34" t="str">
        <x:v>Provisional</x:v>
      </x:c>
      <x:c r="N15" s="34" t="str">
        <x:v>Validar qué categorías aportan valor real a control operativo.</x:v>
      </x:c>
      <x:c r="O15" s="34" t="str">
        <x:v>Evitar categorías heredadas sin uso.</x:v>
      </x:c>
      <x:c r="P15" s="34" t="str">
        <x:v>Homologación</x:v>
      </x:c>
    </x:row>
    <x:row r="16">
      <x:c r="A16" s="34" t="str">
        <x:v>V0-015</x:v>
      </x:c>
      <x:c r="B16" s="34" t="str">
        <x:v>Tiempo</x:v>
      </x:c>
      <x:c r="C16" s="34" t="str">
        <x:v>evento_tiempo_inicio_at</x:v>
      </x:c>
      <x:c r="D16" s="34" t="str">
        <x:v>Inicio real de un intervalo operacional adicional.</x:v>
      </x:c>
      <x:c r="E16" s="34" t="str">
        <x:v>EventoTiempo</x:v>
      </x:c>
      <x:c r="F16" s="34" t="str">
        <x:v>Extensión operativa</x:v>
      </x:c>
      <x:c r="G16" s="34" t="str">
        <x:v>Timestamp</x:v>
      </x:c>
      <x:c r="H16" s="34" t="str">
        <x:v>Campo / dispositivo</x:v>
      </x:c>
      <x:c r="I16" s="34" t="str">
        <x:v>Captura por evento</x:v>
      </x:c>
      <x:c r="J16" s="34" t="str">
        <x:v>Condicional</x:v>
      </x:c>
      <x:c r="K16" s="34" t="str">
        <x:v>Condicional</x:v>
      </x:c>
      <x:c r="L16" s="34" t="str">
        <x:v>Tiempo viaje; Tiempo reparación</x:v>
      </x:c>
      <x:c r="M16" s="34" t="str">
        <x:v>Provisional</x:v>
      </x:c>
      <x:c r="N16" s="34" t="str">
        <x:v>Validar si se requiere intervalo o solo duración.</x:v>
      </x:c>
      <x:c r="O16" s="34" t="str">
        <x:v>Puede generarse al accionar un estado/evento.</x:v>
      </x:c>
      <x:c r="P16" s="34" t="str">
        <x:v>Homologación</x:v>
      </x:c>
    </x:row>
    <x:row r="17">
      <x:c r="A17" s="34" t="str">
        <x:v>V0-016</x:v>
      </x:c>
      <x:c r="B17" s="34" t="str">
        <x:v>Tiempo</x:v>
      </x:c>
      <x:c r="C17" s="34" t="str">
        <x:v>evento_tiempo_fin_at</x:v>
      </x:c>
      <x:c r="D17" s="34" t="str">
        <x:v>Fin real de un intervalo operacional adicional.</x:v>
      </x:c>
      <x:c r="E17" s="34" t="str">
        <x:v>EventoTiempo</x:v>
      </x:c>
      <x:c r="F17" s="34" t="str">
        <x:v>Extensión operativa</x:v>
      </x:c>
      <x:c r="G17" s="34" t="str">
        <x:v>Timestamp</x:v>
      </x:c>
      <x:c r="H17" s="34" t="str">
        <x:v>Campo / dispositivo</x:v>
      </x:c>
      <x:c r="I17" s="34" t="str">
        <x:v>Captura por evento</x:v>
      </x:c>
      <x:c r="J17" s="34" t="str">
        <x:v>Condicional</x:v>
      </x:c>
      <x:c r="K17" s="34" t="str">
        <x:v>Condicional</x:v>
      </x:c>
      <x:c r="L17" s="34" t="str">
        <x:v>Tiempo viaje; Tiempo reparación</x:v>
      </x:c>
      <x:c r="M17" s="34" t="str">
        <x:v>Provisional</x:v>
      </x:c>
      <x:c r="N17" s="34" t="str">
        <x:v>Validar si se requiere intervalo o solo duración.</x:v>
      </x:c>
      <x:c r="O17" s="34" t="str">
        <x:v>Duración derivada de inicio/fin.</x:v>
      </x:c>
      <x:c r="P17" s="34" t="str">
        <x:v>Homologación</x:v>
      </x:c>
    </x:row>
    <x:row r="18">
      <x:c r="A18" s="34" t="str">
        <x:v>V0-017</x:v>
      </x:c>
      <x:c r="B18" s="34" t="str">
        <x:v>Tiempo</x:v>
      </x:c>
      <x:c r="C18" s="34" t="str">
        <x:v>duracion_evento_tiempo</x:v>
      </x:c>
      <x:c r="D18" s="34" t="str">
        <x:v>Duración calculada de un intervalo operacional adicional.</x:v>
      </x:c>
      <x:c r="E18" s="34" t="str">
        <x:v>EventoTiempo</x:v>
      </x:c>
      <x:c r="F18" s="34" t="str">
        <x:v>Extensión operativa</x:v>
      </x:c>
      <x:c r="G18" s="34" t="str">
        <x:v>Calculado</x:v>
      </x:c>
      <x:c r="H18" s="34" t="str">
        <x:v>Sistema</x:v>
      </x:c>
      <x:c r="I18" s="34" t="str">
        <x:v>Calculado</x:v>
      </x:c>
      <x:c r="J18" s="34" t="str">
        <x:v>No</x:v>
      </x:c>
      <x:c r="K18" s="34" t="str">
        <x:v>Condicional</x:v>
      </x:c>
      <x:c r="L18" s="34" t="str">
        <x:v>Cantidad de Horas; Tiempos varios</x:v>
      </x:c>
      <x:c r="M18" s="34" t="str">
        <x:v>Base sólida</x:v>
      </x:c>
      <x:c r="N18" s="34" t="str">
        <x:v>Ninguna conceptual; sí categorías a usar.</x:v>
      </x:c>
      <x:c r="O18" s="34" t="str">
        <x:v>No debería tipearse si existen timestamps.</x:v>
      </x:c>
      <x:c r="P18" s="34" t="str">
        <x:v>Homologación</x:v>
      </x:c>
    </x:row>
    <x:row r="19">
      <x:c r="A19" s="34" t="str">
        <x:v>V0-018</x:v>
      </x:c>
      <x:c r="B19" s="34" t="str">
        <x:v>Ubicación</x:v>
      </x:c>
      <x:c r="C19" s="34" t="str">
        <x:v>ubicacion_tecnica_id</x:v>
      </x:c>
      <x:c r="D19" s="34" t="str">
        <x:v>Referencia única a la ubicación/instalación donde ocurre una unidad de ejecución.</x:v>
      </x:c>
      <x:c r="E19" s="34" t="str">
        <x:v>UnidadEjecución→UbicacionTecnica</x:v>
      </x:c>
      <x:c r="F19" s="34" t="str">
        <x:v>Núcleo Parte</x:v>
      </x:c>
      <x:c r="G19" s="34" t="str">
        <x:v>Relación FK</x:v>
      </x:c>
      <x:c r="H19" s="34" t="str">
        <x:v>Planificación / catálogo</x:v>
      </x:c>
      <x:c r="I19" s="34" t="str">
        <x:v>Heredado, selección o confirmación</x:v>
      </x:c>
      <x:c r="J19" s="34" t="str">
        <x:v>Confirmación</x:v>
      </x:c>
      <x:c r="K19" s="34" t="str">
        <x:v>Core</x:v>
      </x:c>
      <x:c r="L19" s="34" t="str">
        <x:v>Instalación / Locación; Pozo; Batería; Planta; Satélite</x:v>
      </x:c>
      <x:c r="M19" s="34" t="str">
        <x:v>Base sólida</x:v>
      </x:c>
      <x:c r="N19" s="34" t="str">
        <x:v>Validar qué tipos son asignables por servicio.</x:v>
      </x:c>
      <x:c r="O19" s="34" t="str">
        <x:v>Reemplaza múltiples campos de ubicación por un árbol tipado.</x:v>
      </x:c>
      <x:c r="P19" s="34" t="str">
        <x:v>Homologación + catálogo</x:v>
      </x:c>
    </x:row>
    <x:row r="20">
      <x:c r="A20" s="34" t="str">
        <x:v>V0-019</x:v>
      </x:c>
      <x:c r="B20" s="34" t="str">
        <x:v>Ubicación</x:v>
      </x:c>
      <x:c r="C20" s="34" t="str">
        <x:v>rol_ubicacion</x:v>
      </x:c>
      <x:c r="D20" s="34" t="str">
        <x:v>Rol que cumple una ubicación en la ejecución: principal, origen, destino, carga, descarga, etc.</x:v>
      </x:c>
      <x:c r="E20" s="34" t="str">
        <x:v>EjecucionUbicacion</x:v>
      </x:c>
      <x:c r="F20" s="34" t="str">
        <x:v>Núcleo/Extensión</x:v>
      </x:c>
      <x:c r="G20" s="34" t="str">
        <x:v>Catálogo de rol</x:v>
      </x:c>
      <x:c r="H20" s="34" t="str">
        <x:v>Servicio / sistema</x:v>
      </x:c>
      <x:c r="I20" s="34" t="str">
        <x:v>Derivado o selección condicional</x:v>
      </x:c>
      <x:c r="J20" s="34" t="str">
        <x:v>Condicional</x:v>
      </x:c>
      <x:c r="K20" s="34" t="str">
        <x:v>Condicional</x:v>
      </x:c>
      <x:c r="L20" s="34" t="str">
        <x:v>Cantera; Descarga (Batería/Equipo); instalación/origen/destino</x:v>
      </x:c>
      <x:c r="M20" s="34" t="str">
        <x:v>Provisional</x:v>
      </x:c>
      <x:c r="N20" s="34" t="str">
        <x:v>Validar roles necesarios por tipo de servicio.</x:v>
      </x:c>
      <x:c r="O20" s="34" t="str">
        <x:v>Permite transporte y movimientos sin agregar columnas nuevas.</x:v>
      </x:c>
      <x:c r="P20" s="34" t="str">
        <x:v>Homologación + arquitectura</x:v>
      </x:c>
    </x:row>
    <x:row r="21">
      <x:c r="A21" s="34" t="str">
        <x:v>V0-020</x:v>
      </x:c>
      <x:c r="B21" s="34" t="str">
        <x:v>Ubicación</x:v>
      </x:c>
      <x:c r="C21" s="34" t="str">
        <x:v>area_id</x:v>
      </x:c>
      <x:c r="D21" s="34" t="str">
        <x:v>Área derivada de la jerarquía de ubicación técnica.</x:v>
      </x:c>
      <x:c r="E21" s="34" t="str">
        <x:v>UbicacionTecnica</x:v>
      </x:c>
      <x:c r="F21" s="34" t="str">
        <x:v>Catálogo maestro</x:v>
      </x:c>
      <x:c r="G21" s="34" t="str">
        <x:v>Relación derivada</x:v>
      </x:c>
      <x:c r="H21" s="34" t="str">
        <x:v>Catálogo</x:v>
      </x:c>
      <x:c r="I21" s="34" t="str">
        <x:v>Derivado</x:v>
      </x:c>
      <x:c r="J21" s="34" t="str">
        <x:v>No</x:v>
      </x:c>
      <x:c r="K21" s="34" t="str">
        <x:v>Referencia</x:v>
      </x:c>
      <x:c r="L21" s="34" t="str">
        <x:v>Área implícita en ubicación</x:v>
      </x:c>
      <x:c r="M21" s="34" t="str">
        <x:v>Base sólida</x:v>
      </x:c>
      <x:c r="N21" s="34" t="str">
        <x:v>Validar fuente maestra del árbol real.</x:v>
      </x:c>
      <x:c r="O21" s="34" t="str">
        <x:v>Nunca debería tipearse en campo.</x:v>
      </x:c>
      <x:c r="P21" s="34" t="str">
        <x:v>Catálogo + arquitectura</x:v>
      </x:c>
    </x:row>
    <x:row r="22">
      <x:c r="A22" s="34" t="str">
        <x:v>V0-021</x:v>
      </x:c>
      <x:c r="B22" s="34" t="str">
        <x:v>Ubicación</x:v>
      </x:c>
      <x:c r="C22" s="34" t="str">
        <x:v>operadora_id</x:v>
      </x:c>
      <x:c r="D22" s="34" t="str">
        <x:v>Operadora asociada al contexto de la ejecución según regla de derivación vigente.</x:v>
      </x:c>
      <x:c r="E22" s="34" t="str">
        <x:v>UnidadEjecución/Ubicación</x:v>
      </x:c>
      <x:c r="F22" s="34" t="str">
        <x:v>Referencia</x:v>
      </x:c>
      <x:c r="G22" s="34" t="str">
        <x:v>Relación derivada</x:v>
      </x:c>
      <x:c r="H22" s="34" t="str">
        <x:v>Catálogo / contrato</x:v>
      </x:c>
      <x:c r="I22" s="34" t="str">
        <x:v>Derivado</x:v>
      </x:c>
      <x:c r="J22" s="34" t="str">
        <x:v>No</x:v>
      </x:c>
      <x:c r="K22" s="34" t="str">
        <x:v>Referencia</x:v>
      </x:c>
      <x:c r="L22" s="34" t="str">
        <x:v>Operadora</x:v>
      </x:c>
      <x:c r="M22" s="34" t="str">
        <x:v>Provisional</x:v>
      </x:c>
      <x:c r="N22" s="34" t="str">
        <x:v>Definir prioridad entre ubicación y contexto contractual; transporte tiene regla especial.</x:v>
      </x:c>
      <x:c r="O22" s="34" t="str">
        <x:v>No debe ser selector independiente salvo excepción controlada.</x:v>
      </x:c>
      <x:c r="P22" s="34" t="str">
        <x:v>Homologación + arquitectura</x:v>
      </x:c>
    </x:row>
    <x:row r="23">
      <x:c r="A23" s="34" t="str">
        <x:v>V0-022</x:v>
      </x:c>
      <x:c r="B23" s="34" t="str">
        <x:v>Ubicación</x:v>
      </x:c>
      <x:c r="C23" s="34" t="str">
        <x:v>zona_id</x:v>
      </x:c>
      <x:c r="D23" s="34" t="str">
        <x:v>Zona geográfica/operativa cuando sea una clasificación distinta del árbol técnico.</x:v>
      </x:c>
      <x:c r="E23" s="34" t="str">
        <x:v>UbicacionTecnica</x:v>
      </x:c>
      <x:c r="F23" s="34" t="str">
        <x:v>Catálogo maestro</x:v>
      </x:c>
      <x:c r="G23" s="34" t="str">
        <x:v>Relación derivada</x:v>
      </x:c>
      <x:c r="H23" s="34" t="str">
        <x:v>Catálogo</x:v>
      </x:c>
      <x:c r="I23" s="34" t="str">
        <x:v>Derivado</x:v>
      </x:c>
      <x:c r="J23" s="34" t="str">
        <x:v>No</x:v>
      </x:c>
      <x:c r="K23" s="34" t="str">
        <x:v>Condicional</x:v>
      </x:c>
      <x:c r="L23" s="34" t="str">
        <x:v>Zona</x:v>
      </x:c>
      <x:c r="M23" s="34" t="str">
        <x:v>Provisional</x:v>
      </x:c>
      <x:c r="N23" s="34" t="str">
        <x:v>Confirmar si Zona agrega información o duplica Área/Yacimiento.</x:v>
      </x:c>
      <x:c r="O23" s="34" t="str">
        <x:v>Si duplica jerarquía, eliminar del modelo.</x:v>
      </x:c>
      <x:c r="P23" s="34" t="str">
        <x:v>Homologación</x:v>
      </x:c>
    </x:row>
    <x:row r="24">
      <x:c r="A24" s="34" t="str">
        <x:v>V0-023</x:v>
      </x:c>
      <x:c r="B24" s="34" t="str">
        <x:v>Ubicación</x:v>
      </x:c>
      <x:c r="C24" s="34" t="str">
        <x:v>activo_intervenido_id</x:v>
      </x:c>
      <x:c r="D24" s="34" t="str">
        <x:v>Activo técnico sobre el que se realiza el trabajo cuando no sea equivalente a una ubicación.</x:v>
      </x:c>
      <x:c r="E24" s="34" t="str">
        <x:v>ActivoCliente</x:v>
      </x:c>
      <x:c r="F24" s="34" t="str">
        <x:v>Extensión operativa</x:v>
      </x:c>
      <x:c r="G24" s="34" t="str">
        <x:v>Relación</x:v>
      </x:c>
      <x:c r="H24" s="34" t="str">
        <x:v>Planificación / catálogo</x:v>
      </x:c>
      <x:c r="I24" s="34" t="str">
        <x:v>Heredado o selección</x:v>
      </x:c>
      <x:c r="J24" s="34" t="str">
        <x:v>Condicional</x:v>
      </x:c>
      <x:c r="K24" s="34" t="str">
        <x:v>Condicional</x:v>
      </x:c>
      <x:c r="L24" s="34" t="str">
        <x:v>Activo (código); Equipo/Locación</x:v>
      </x:c>
      <x:c r="M24" s="34" t="str">
        <x:v>Provisional</x:v>
      </x:c>
      <x:c r="N24" s="34" t="str">
        <x:v>Definir frontera entre Ubicación Técnica y Activo intervenido.</x:v>
      </x:c>
      <x:c r="O24" s="34" t="str">
        <x:v>Evita confundir recurso VDS con activo del cliente.</x:v>
      </x:c>
      <x:c r="P24" s="34" t="str">
        <x:v>Homologación + muestra</x:v>
      </x:c>
    </x:row>
    <x:row r="25">
      <x:c r="A25" s="34" t="str">
        <x:v>V0-024</x:v>
      </x:c>
      <x:c r="B25" s="34" t="str">
        <x:v>Servicio</x:v>
      </x:c>
      <x:c r="C25" s="34" t="str">
        <x:v>servicio_id</x:v>
      </x:c>
      <x:c r="D25" s="34" t="str">
        <x:v>Servicio VDS que enmarca la ejecución y, junto con TipoParte y Contrato, determina reglas/componentes/captura.</x:v>
      </x:c>
      <x:c r="E25" s="34" t="str">
        <x:v>UnidadEjecución</x:v>
      </x:c>
      <x:c r="F25" s="34" t="str">
        <x:v>Núcleo Parte</x:v>
      </x:c>
      <x:c r="G25" s="34" t="str">
        <x:v>Relación FK a catálogo</x:v>
      </x:c>
      <x:c r="H25" s="34" t="str">
        <x:v>Planificación / catálogo</x:v>
      </x:c>
      <x:c r="I25" s="34" t="str">
        <x:v>Heredado o confirmación</x:v>
      </x:c>
      <x:c r="J25" s="34" t="str">
        <x:v>Confirmación</x:v>
      </x:c>
      <x:c r="K25" s="34" t="str">
        <x:v>Core</x:v>
      </x:c>
      <x:c r="L25" s="34" t="str">
        <x:v>Obra / Servicio; Trabajo Solicitado; Tipo de Trabajo del Equipo</x:v>
      </x:c>
      <x:c r="M25" s="34" t="str">
        <x:v>Provisional</x:v>
      </x:c>
      <x:c r="N25" s="34" t="str">
        <x:v>Validar taxonomía de servicios y diferencia con actividad.</x:v>
      </x:c>
      <x:c r="O25" s="34" t="str">
        <x:v>El formulario resultante no depende solo del servicio: surge de TipoParte + Servicio + Contrato/contexto.</x:v>
      </x:c>
      <x:c r="P25" s="34" t="str">
        <x:v>Homologación + arquitectura</x:v>
      </x:c>
    </x:row>
    <x:row r="26">
      <x:c r="A26" s="34" t="str">
        <x:v>V0-025</x:v>
      </x:c>
      <x:c r="B26" s="34" t="str">
        <x:v>Servicio</x:v>
      </x:c>
      <x:c r="C26" s="34" t="str">
        <x:v>actividad_id</x:v>
      </x:c>
      <x:c r="D26" s="34" t="str">
        <x:v>Actividad concreta ejecutada dentro de un servicio, si el negocio necesita un nivel más granular.</x:v>
      </x:c>
      <x:c r="E26" s="34" t="str">
        <x:v>UnidadEjecución</x:v>
      </x:c>
      <x:c r="F26" s="34" t="str">
        <x:v>Núcleo/Extensión</x:v>
      </x:c>
      <x:c r="G26" s="34" t="str">
        <x:v>Relación FK a catálogo</x:v>
      </x:c>
      <x:c r="H26" s="34" t="str">
        <x:v>Planificación / campo</x:v>
      </x:c>
      <x:c r="I26" s="34" t="str">
        <x:v>Heredado/selección</x:v>
      </x:c>
      <x:c r="J26" s="34" t="str">
        <x:v>Condicional</x:v>
      </x:c>
      <x:c r="K26" s="34" t="str">
        <x:v>Condicional</x:v>
      </x:c>
      <x:c r="L26" s="34" t="str">
        <x:v>Descripción de la Tarea; Tipo de Trabajo del Equipo</x:v>
      </x:c>
      <x:c r="M26" s="34" t="str">
        <x:v>Provisional</x:v>
      </x:c>
      <x:c r="N26" s="34" t="str">
        <x:v>Validar si Servicio y Actividad son niveles realmente distintos.</x:v>
      </x:c>
      <x:c r="O26" s="34" t="str">
        <x:v>No crear catálogo adicional si no aporta discriminación.</x:v>
      </x:c>
      <x:c r="P26" s="34" t="str">
        <x:v>Homologación</x:v>
      </x:c>
    </x:row>
    <x:row r="27">
      <x:c r="A27" s="34" t="str">
        <x:v>V0-026</x:v>
      </x:c>
      <x:c r="B27" s="34" t="str">
        <x:v>Servicio</x:v>
      </x:c>
      <x:c r="C27" s="34" t="str">
        <x:v>obra_proyecto_id</x:v>
      </x:c>
      <x:c r="D27" s="34" t="str">
        <x:v>Obra/proyecto contractual u operativo al que puede pertenecer una ejecución.</x:v>
      </x:c>
      <x:c r="E27" s="34" t="str">
        <x:v>Parte/UnidadEjecución</x:v>
      </x:c>
      <x:c r="F27" s="34" t="str">
        <x:v>Referencia upstream</x:v>
      </x:c>
      <x:c r="G27" s="34" t="str">
        <x:v>Relación</x:v>
      </x:c>
      <x:c r="H27" s="34" t="str">
        <x:v>Planificación</x:v>
      </x:c>
      <x:c r="I27" s="34" t="str">
        <x:v>Heredado</x:v>
      </x:c>
      <x:c r="J27" s="34" t="str">
        <x:v>No</x:v>
      </x:c>
      <x:c r="K27" s="34" t="str">
        <x:v>Condicional</x:v>
      </x:c>
      <x:c r="L27" s="34" t="str">
        <x:v>Obra / Servicio</x:v>
      </x:c>
      <x:c r="M27" s="34" t="str">
        <x:v>Provisional</x:v>
      </x:c>
      <x:c r="N27" s="34" t="str">
        <x:v>Confirmar si 'Obra' es concepto distinto de Servicio en clientes objetivo.</x:v>
      </x:c>
      <x:c r="O27" s="34" t="str">
        <x:v>No exigir en campo.</x:v>
      </x:c>
      <x:c r="P27" s="34" t="str">
        <x:v>Homologación</x:v>
      </x:c>
    </x:row>
    <x:row r="28">
      <x:c r="A28" s="34" t="str">
        <x:v>V0-027</x:v>
      </x:c>
      <x:c r="B28" s="34" t="str">
        <x:v>Personas</x:v>
      </x:c>
      <x:c r="C28" s="34" t="str">
        <x:v>persona_id</x:v>
      </x:c>
      <x:c r="D28" s="34" t="str">
        <x:v>Identificador maestro de una persona que participa o valida una ejecución.</x:v>
      </x:c>
      <x:c r="E28" s="34" t="str">
        <x:v>Persona</x:v>
      </x:c>
      <x:c r="F28" s="34" t="str">
        <x:v>Catálogo maestro</x:v>
      </x:c>
      <x:c r="G28" s="34" t="str">
        <x:v>Identificador</x:v>
      </x:c>
      <x:c r="H28" s="34" t="str">
        <x:v>Maestro RRHH</x:v>
      </x:c>
      <x:c r="I28" s="34" t="str">
        <x:v>Heredado/selección</x:v>
      </x:c>
      <x:c r="J28" s="34" t="str">
        <x:v>No</x:v>
      </x:c>
      <x:c r="K28" s="34" t="str">
        <x:v>Referencia</x:v>
      </x:c>
      <x:c r="L28" s="34" t="str">
        <x:v>Nombre del Personal; Ejecutó; Nombre del Firmante/Aprobador; Solicitó</x:v>
      </x:c>
      <x:c r="M28" s="34" t="str">
        <x:v>Base sólida</x:v>
      </x:c>
      <x:c r="N28" s="34" t="str">
        <x:v>Definir integración/fuente maestra de personas VDS y externas.</x:v>
      </x:c>
      <x:c r="O28" s="34" t="str">
        <x:v>El nombre no es la identidad.</x:v>
      </x:c>
      <x:c r="P28" s="34" t="str">
        <x:v>Homologación</x:v>
      </x:c>
    </x:row>
    <x:row r="29">
      <x:c r="A29" s="34" t="str">
        <x:v>V0-028</x:v>
      </x:c>
      <x:c r="B29" s="34" t="str">
        <x:v>Personas</x:v>
      </x:c>
      <x:c r="C29" s="34" t="str">
        <x:v>legajo_persona</x:v>
      </x:c>
      <x:c r="D29" s="34" t="str">
        <x:v>Código interno del empleado VDS, atributo de Persona.</x:v>
      </x:c>
      <x:c r="E29" s="34" t="str">
        <x:v>Persona</x:v>
      </x:c>
      <x:c r="F29" s="34" t="str">
        <x:v>Catálogo maestro</x:v>
      </x:c>
      <x:c r="G29" s="34" t="str">
        <x:v>Atributo</x:v>
      </x:c>
      <x:c r="H29" s="34" t="str">
        <x:v>Maestro RRHH</x:v>
      </x:c>
      <x:c r="I29" s="34" t="str">
        <x:v>Heredado</x:v>
      </x:c>
      <x:c r="J29" s="34" t="str">
        <x:v>No</x:v>
      </x:c>
      <x:c r="K29" s="34" t="str">
        <x:v>Referencia</x:v>
      </x:c>
      <x:c r="L29" s="34" t="str">
        <x:v>Legajo; Interno (cuando refiere a persona)</x:v>
      </x:c>
      <x:c r="M29" s="34" t="str">
        <x:v>Base sólida</x:v>
      </x:c>
      <x:c r="N29" s="34" t="str">
        <x:v>Validar unicidad y tratamiento de personal externo.</x:v>
      </x:c>
      <x:c r="O29" s="34" t="str">
        <x:v>Nunca capturarlo repetidamente en Parte.</x:v>
      </x:c>
      <x:c r="P29" s="34" t="str">
        <x:v>Homologación</x:v>
      </x:c>
    </x:row>
    <x:row r="30">
      <x:c r="A30" s="34" t="str">
        <x:v>V0-029</x:v>
      </x:c>
      <x:c r="B30" s="34" t="str">
        <x:v>Personas</x:v>
      </x:c>
      <x:c r="C30" s="34" t="str">
        <x:v>rol_persona_ejecucion_id</x:v>
      </x:c>
      <x:c r="D30" s="34" t="str">
        <x:v>Rol que una persona cumple en un Parte/unidad: encargado, chofer, operario, supervisor, solicitante, etc.</x:v>
      </x:c>
      <x:c r="E30" s="34" t="str">
        <x:v>AsignacionPersona</x:v>
      </x:c>
      <x:c r="F30" s="34" t="str">
        <x:v>Núcleo Parte</x:v>
      </x:c>
      <x:c r="G30" s="34" t="str">
        <x:v>Relación + catálogo de rol</x:v>
      </x:c>
      <x:c r="H30" s="34" t="str">
        <x:v>Planificación / campo</x:v>
      </x:c>
      <x:c r="I30" s="34" t="str">
        <x:v>Heredado o selección condicional</x:v>
      </x:c>
      <x:c r="J30" s="34" t="str">
        <x:v>Confirmación</x:v>
      </x:c>
      <x:c r="K30" s="34" t="str">
        <x:v>Core/Condicional</x:v>
      </x:c>
      <x:c r="L30" s="34" t="str">
        <x:v>Nombre del Personal; Encargado de Cuadrilla; Solicitó; Ejecutó</x:v>
      </x:c>
      <x:c r="M30" s="34" t="str">
        <x:v>Provisional</x:v>
      </x:c>
      <x:c r="N30" s="34" t="str">
        <x:v>Validar roles mínimos que cambian reglas/evidencias.</x:v>
      </x:c>
      <x:c r="O30" s="34" t="str">
        <x:v>Evita columnas separadas por cada actor.</x:v>
      </x:c>
      <x:c r="P30" s="34" t="str">
        <x:v>Homologación + muestra</x:v>
      </x:c>
    </x:row>
    <x:row r="31">
      <x:c r="A31" s="34" t="str">
        <x:v>V0-030</x:v>
      </x:c>
      <x:c r="B31" s="34" t="str">
        <x:v>Personas</x:v>
      </x:c>
      <x:c r="C31" s="34" t="str">
        <x:v>cuadrilla_id</x:v>
      </x:c>
      <x:c r="D31" s="34" t="str">
        <x:v>Identidad de la conformación/equipo de trabajo cuando tenga valor operativo propio.</x:v>
      </x:c>
      <x:c r="E31" s="34" t="str">
        <x:v>Cuadrilla</x:v>
      </x:c>
      <x:c r="F31" s="34" t="str">
        <x:v>Referencia upstream</x:v>
      </x:c>
      <x:c r="G31" s="34" t="str">
        <x:v>Relación</x:v>
      </x:c>
      <x:c r="H31" s="34" t="str">
        <x:v>Planificación</x:v>
      </x:c>
      <x:c r="I31" s="34" t="str">
        <x:v>Heredado</x:v>
      </x:c>
      <x:c r="J31" s="34" t="str">
        <x:v>No</x:v>
      </x:c>
      <x:c r="K31" s="34" t="str">
        <x:v>Condicional</x:v>
      </x:c>
      <x:c r="L31" s="34" t="str">
        <x:v>Encargado de Cuadrilla; N° de Cuadrilla (PAE benchmark)</x:v>
      </x:c>
      <x:c r="M31" s="34" t="str">
        <x:v>Provisional</x:v>
      </x:c>
      <x:c r="N31" s="34" t="str">
        <x:v>Validar si la cuadrilla es entidad estable o composición temporal.</x:v>
      </x:c>
      <x:c r="O31" s="34" t="str">
        <x:v>No asumir que el encargado identifica siempre la cuadrilla.</x:v>
      </x:c>
      <x:c r="P31" s="34" t="str">
        <x:v>Arquitectura + benchmark</x:v>
      </x:c>
    </x:row>
    <x:row r="32">
      <x:c r="A32" s="34" t="str">
        <x:v>V0-031</x:v>
      </x:c>
      <x:c r="B32" s="34" t="str">
        <x:v>Recursos</x:v>
      </x:c>
      <x:c r="C32" s="34" t="str">
        <x:v>recurso_id</x:v>
      </x:c>
      <x:c r="D32" s="34" t="str">
        <x:v>Identificador maestro de un recurso físico VDS utilizado en la ejecución.</x:v>
      </x:c>
      <x:c r="E32" s="34" t="str">
        <x:v>Recurso</x:v>
      </x:c>
      <x:c r="F32" s="34" t="str">
        <x:v>Catálogo maestro</x:v>
      </x:c>
      <x:c r="G32" s="34" t="str">
        <x:v>Identificador</x:v>
      </x:c>
      <x:c r="H32" s="34" t="str">
        <x:v>Maestro de flota/equipos</x:v>
      </x:c>
      <x:c r="I32" s="34" t="str">
        <x:v>Heredado/selección</x:v>
      </x:c>
      <x:c r="J32" s="34" t="str">
        <x:v>Confirmación</x:v>
      </x:c>
      <x:c r="K32" s="34" t="str">
        <x:v>Core/Condicional</x:v>
      </x:c>
      <x:c r="L32" s="34" t="str">
        <x:v>Equipo / Equipamiento; Vehículo / Móvil; Batea; Otros (Flota)</x:v>
      </x:c>
      <x:c r="M32" s="34" t="str">
        <x:v>Base sólida</x:v>
      </x:c>
      <x:c r="N32" s="34" t="str">
        <x:v>Definir taxonomía de recursos y fuente maestra.</x:v>
      </x:c>
      <x:c r="O32" s="34" t="str">
        <x:v>Unifica vehículo/equipo sin perder tipo.</x:v>
      </x:c>
      <x:c r="P32" s="34" t="str">
        <x:v>Homologación + muestra</x:v>
      </x:c>
    </x:row>
    <x:row r="33">
      <x:c r="A33" s="34" t="str">
        <x:v>V0-032</x:v>
      </x:c>
      <x:c r="B33" s="34" t="str">
        <x:v>Recursos</x:v>
      </x:c>
      <x:c r="C33" s="34" t="str">
        <x:v>tipo_recurso_id</x:v>
      </x:c>
      <x:c r="D33" s="34" t="str">
        <x:v>Clasificación del recurso: vehículo, camión, acoplado, minipala, vactor, batea, etc.</x:v>
      </x:c>
      <x:c r="E33" s="34" t="str">
        <x:v>Recurso</x:v>
      </x:c>
      <x:c r="F33" s="34" t="str">
        <x:v>Catálogo maestro</x:v>
      </x:c>
      <x:c r="G33" s="34" t="str">
        <x:v>Relación a catálogo</x:v>
      </x:c>
      <x:c r="H33" s="34" t="str">
        <x:v>Maestro de flota/equipos</x:v>
      </x:c>
      <x:c r="I33" s="34" t="str">
        <x:v>Heredado</x:v>
      </x:c>
      <x:c r="J33" s="34" t="str">
        <x:v>No</x:v>
      </x:c>
      <x:c r="K33" s="34" t="str">
        <x:v>Referencia</x:v>
      </x:c>
      <x:c r="L33" s="34" t="str">
        <x:v>Equipo / Equipamiento; Vehículo; Batea</x:v>
      </x:c>
      <x:c r="M33" s="34" t="str">
        <x:v>Base sólida</x:v>
      </x:c>
      <x:c r="N33" s="34" t="str">
        <x:v>Validar jerarquía de tipos.</x:v>
      </x:c>
      <x:c r="O33" s="34" t="str">
        <x:v>Filtra elegibilidad por servicio.</x:v>
      </x:c>
      <x:c r="P33" s="34" t="str">
        <x:v>Homologación</x:v>
      </x:c>
    </x:row>
    <x:row r="34">
      <x:c r="A34" s="34" t="str">
        <x:v>V0-033</x:v>
      </x:c>
      <x:c r="B34" s="34" t="str">
        <x:v>Recursos</x:v>
      </x:c>
      <x:c r="C34" s="34" t="str">
        <x:v>codigo_interno_recurso</x:v>
      </x:c>
      <x:c r="D34" s="34" t="str">
        <x:v>Interno/código/patente que identifica al recurso, según clase.</x:v>
      </x:c>
      <x:c r="E34" s="34" t="str">
        <x:v>Recurso</x:v>
      </x:c>
      <x:c r="F34" s="34" t="str">
        <x:v>Catálogo maestro</x:v>
      </x:c>
      <x:c r="G34" s="34" t="str">
        <x:v>Atributo</x:v>
      </x:c>
      <x:c r="H34" s="34" t="str">
        <x:v>Maestro de flota/equipos</x:v>
      </x:c>
      <x:c r="I34" s="34" t="str">
        <x:v>Heredado</x:v>
      </x:c>
      <x:c r="J34" s="34" t="str">
        <x:v>No</x:v>
      </x:c>
      <x:c r="K34" s="34" t="str">
        <x:v>Referencia</x:v>
      </x:c>
      <x:c r="L34" s="34" t="str">
        <x:v>Interno (cuando refiere a unidad); Vehículo/Móvil</x:v>
      </x:c>
      <x:c r="M34" s="34" t="str">
        <x:v>Base sólida</x:v>
      </x:c>
      <x:c r="N34" s="34" t="str">
        <x:v>Definir identificadores alternativos (interno, patente, serie).</x:v>
      </x:c>
      <x:c r="O34" s="34" t="str">
        <x:v>Separado del legajo de persona.</x:v>
      </x:c>
      <x:c r="P34" s="34" t="str">
        <x:v>Homologación</x:v>
      </x:c>
    </x:row>
    <x:row r="35">
      <x:c r="A35" s="34" t="str">
        <x:v>V0-034</x:v>
      </x:c>
      <x:c r="B35" s="34" t="str">
        <x:v>Recursos</x:v>
      </x:c>
      <x:c r="C35" s="34" t="str">
        <x:v>asignacion_recurso_ejecucion</x:v>
      </x:c>
      <x:c r="D35" s="34" t="str">
        <x:v>Relación que registra qué recurso participó realmente y en qué unidad/intervalo.</x:v>
      </x:c>
      <x:c r="E35" s="34" t="str">
        <x:v>ParteRecurso/UnidadRecurso</x:v>
      </x:c>
      <x:c r="F35" s="34" t="str">
        <x:v>Núcleo Parte</x:v>
      </x:c>
      <x:c r="G35" s="34" t="str">
        <x:v>Relación transaccional</x:v>
      </x:c>
      <x:c r="H35" s="34" t="str">
        <x:v>Planificación / campo</x:v>
      </x:c>
      <x:c r="I35" s="34" t="str">
        <x:v>Heredado + confirmación/excepción</x:v>
      </x:c>
      <x:c r="J35" s="34" t="str">
        <x:v>Confirmación</x:v>
      </x:c>
      <x:c r="K35" s="34" t="str">
        <x:v>Core/Condicional</x:v>
      </x:c>
      <x:c r="L35" s="34" t="str">
        <x:v>Equipo / Equipamiento; Vehículo/Móvil; Batea; Otros</x:v>
      </x:c>
      <x:c r="M35" s="34" t="str">
        <x:v>Provisional</x:v>
      </x:c>
      <x:c r="N35" s="34" t="str">
        <x:v>Validar si los cambios de recurso requieren timestamp.</x:v>
      </x:c>
      <x:c r="O35" s="34" t="str">
        <x:v>Preserva diferencia entre recurso planificado y real.</x:v>
      </x:c>
      <x:c r="P35" s="34" t="str">
        <x:v>Homologación + muestra</x:v>
      </x:c>
    </x:row>
    <x:row r="36">
      <x:c r="A36" s="34" t="str">
        <x:v>V0-035</x:v>
      </x:c>
      <x:c r="B36" s="34" t="str">
        <x:v>Comercial</x:v>
      </x:c>
      <x:c r="C36" s="34" t="str">
        <x:v>cliente_id</x:v>
      </x:c>
      <x:c r="D36" s="34" t="str">
        <x:v>Cliente/contraparte para quien se ejecuta el trabajo.</x:v>
      </x:c>
      <x:c r="E36" s="34" t="str">
        <x:v>Cliente</x:v>
      </x:c>
      <x:c r="F36" s="34" t="str">
        <x:v>Catálogo maestro</x:v>
      </x:c>
      <x:c r="G36" s="34" t="str">
        <x:v>Relación</x:v>
      </x:c>
      <x:c r="H36" s="34" t="str">
        <x:v>Planificación / contrato</x:v>
      </x:c>
      <x:c r="I36" s="34" t="str">
        <x:v>Heredado/derivado</x:v>
      </x:c>
      <x:c r="J36" s="34" t="str">
        <x:v>No</x:v>
      </x:c>
      <x:c r="K36" s="34" t="str">
        <x:v>Referencia</x:v>
      </x:c>
      <x:c r="L36" s="34" t="str">
        <x:v>Cliente; Solicitó (empresa); Operadora</x:v>
      </x:c>
      <x:c r="M36" s="34" t="str">
        <x:v>Provisional</x:v>
      </x:c>
      <x:c r="N36" s="34" t="str">
        <x:v>Separar Cliente de Operadora cuando no sean la misma entidad.</x:v>
      </x:c>
      <x:c r="O36" s="34" t="str">
        <x:v>No pedirlo si se deriva del contexto.</x:v>
      </x:c>
      <x:c r="P36" s="34" t="str">
        <x:v>Homologación</x:v>
      </x:c>
    </x:row>
    <x:row r="37">
      <x:c r="A37" s="34" t="str">
        <x:v>V0-036</x:v>
      </x:c>
      <x:c r="B37" s="34" t="str">
        <x:v>Comercial</x:v>
      </x:c>
      <x:c r="C37" s="34" t="str">
        <x:v>contrato_id</x:v>
      </x:c>
      <x:c r="D37" s="34" t="str">
        <x:v>Contrato real/acuerdo comercial aplicable a la ejecución. Debe mantenerse separado de Centro de Costo, Servicio y etiquetas históricas combinadas.</x:v>
      </x:c>
      <x:c r="E37" s="34" t="str">
        <x:v>Contrato</x:v>
      </x:c>
      <x:c r="F37" s="34" t="str">
        <x:v>Referencia upstream/downstream</x:v>
      </x:c>
      <x:c r="G37" s="34" t="str">
        <x:v>Relación</x:v>
      </x:c>
      <x:c r="H37" s="34" t="str">
        <x:v>Planificación / catálogo contractual</x:v>
      </x:c>
      <x:c r="I37" s="34" t="str">
        <x:v>Heredado/derivado</x:v>
      </x:c>
      <x:c r="J37" s="34" t="str">
        <x:v>No</x:v>
      </x:c>
      <x:c r="K37" s="34" t="str">
        <x:v>Referencia</x:v>
      </x:c>
      <x:c r="L37" s="34" t="str">
        <x:v>Contrato Marco N°</x:v>
      </x:c>
      <x:c r="M37" s="34" t="str">
        <x:v>Provisional</x:v>
      </x:c>
      <x:c r="N37" s="34" t="str">
        <x:v>Pendiente recibir contratos específicos, vigencias y estructura formal.</x:v>
      </x:c>
      <x:c r="O37" s="34" t="str">
        <x:v>Los archivos actuales describen contextos/servicios y circuitos, pero no alcanzan para identificar de forma confiable cada Contrato real.</x:v>
      </x:c>
      <x:c r="P37" s="34" t="str">
        <x:v>Homologación</x:v>
      </x:c>
    </x:row>
    <x:row r="38">
      <x:c r="A38" s="34" t="str">
        <x:v>V0-037</x:v>
      </x:c>
      <x:c r="B38" s="34" t="str">
        <x:v>Comercial</x:v>
      </x:c>
      <x:c r="C38" s="34" t="str">
        <x:v>posicion_contrato_id</x:v>
      </x:c>
      <x:c r="D38" s="34" t="str">
        <x:v>Posición/ítem contractual asociado a una unidad de ejecución para medición/imputación/certificación posterior.</x:v>
      </x:c>
      <x:c r="E38" s="34" t="str">
        <x:v>UnidadEjecución</x:v>
      </x:c>
      <x:c r="F38" s="34" t="str">
        <x:v>Interfaz downstream</x:v>
      </x:c>
      <x:c r="G38" s="34" t="str">
        <x:v>Relación</x:v>
      </x:c>
      <x:c r="H38" s="34" t="str">
        <x:v>Motor contractual</x:v>
      </x:c>
      <x:c r="I38" s="34" t="str">
        <x:v>Derivado</x:v>
      </x:c>
      <x:c r="J38" s="34" t="str">
        <x:v>No</x:v>
      </x:c>
      <x:c r="K38" s="34" t="str">
        <x:v>Referencia</x:v>
      </x:c>
      <x:c r="L38" s="34" t="str">
        <x:v>Arquitectura: posición_contrato</x:v>
      </x:c>
      <x:c r="M38" s="34" t="str">
        <x:v>Provisional</x:v>
      </x:c>
      <x:c r="N38" s="34" t="str">
        <x:v>Ya no se considera compuerta global de split; validar relación exacta con ItemContrato.</x:v>
      </x:c>
      <x:c r="O38" s="34" t="str">
        <x:v>Una diferencia contractual puede convivir dentro del mismo Parte si el Tipo de Parte lo permite.</x:v>
      </x:c>
      <x:c r="P38" s="34" t="str">
        <x:v>Arquitectura</x:v>
      </x:c>
    </x:row>
    <x:row r="39">
      <x:c r="A39" s="34" t="str">
        <x:v>V0-038</x:v>
      </x:c>
      <x:c r="B39" s="34" t="str">
        <x:v>Comercial</x:v>
      </x:c>
      <x:c r="C39" s="34" t="str">
        <x:v>centro_costo_imputacion_id</x:v>
      </x:c>
      <x:c r="D39" s="34" t="str">
        <x:v>Referencia al Centro de Costo / imputación económica aplicable. CC26, CC27 y CC80 son códigos de Centro de Costo según validación del negocio.</x:v>
      </x:c>
      <x:c r="E39" s="34" t="str">
        <x:v>Parte/UnidadEjecución</x:v>
      </x:c>
      <x:c r="F39" s="34" t="str">
        <x:v>Interfaz administrativa</x:v>
      </x:c>
      <x:c r="G39" s="34" t="str">
        <x:v>Relación/código</x:v>
      </x:c>
      <x:c r="H39" s="34" t="str">
        <x:v>Planificación / ERP</x:v>
      </x:c>
      <x:c r="I39" s="34" t="str">
        <x:v>Heredado/derivado</x:v>
      </x:c>
      <x:c r="J39" s="34" t="str">
        <x:v>No</x:v>
      </x:c>
      <x:c r="K39" s="34" t="str">
        <x:v>Condicional</x:v>
      </x:c>
      <x:c r="L39" s="34" t="str">
        <x:v>Imputación (Centro de Costo)</x:v>
      </x:c>
      <x:c r="M39" s="34" t="str">
        <x:v>Provisional</x:v>
      </x:c>
      <x:c r="N39" s="34" t="str">
        <x:v>Mapear la tabla maestra que relaciona centrocosto_id con código/nombre de Centro de Costo. La fuente actual no es 1:1 de forma evidente.</x:v>
      </x:c>
      <x:c r="O39" s="34" t="str">
        <x:v>No confundir Centro de Costo con Contrato. Registros rotulados CC80 aparecen con distintos centrocosto_id en Info VDS.</x:v>
      </x:c>
      <x:c r="P39" s="34" t="str">
        <x:v>Homologación</x:v>
      </x:c>
    </x:row>
    <x:row r="40">
      <x:c r="A40" s="34" t="str">
        <x:v>V0-039</x:v>
      </x:c>
      <x:c r="B40" s="34" t="str">
        <x:v>Comercial</x:v>
      </x:c>
      <x:c r="C40" s="34" t="str">
        <x:v>reserva_externa</x:v>
      </x:c>
      <x:c r="D40" s="34" t="str">
        <x:v>Código de reserva u otra referencia administrativa del cliente.</x:v>
      </x:c>
      <x:c r="E40" s="34" t="str">
        <x:v>Parte/UnidadEjecución</x:v>
      </x:c>
      <x:c r="F40" s="34" t="str">
        <x:v>Interfaz externa</x:v>
      </x:c>
      <x:c r="G40" s="34" t="str">
        <x:v>Referencia</x:v>
      </x:c>
      <x:c r="H40" s="34" t="str">
        <x:v>Planificación / integración</x:v>
      </x:c>
      <x:c r="I40" s="34" t="str">
        <x:v>Heredado</x:v>
      </x:c>
      <x:c r="J40" s="34" t="str">
        <x:v>No</x:v>
      </x:c>
      <x:c r="K40" s="34" t="str">
        <x:v>Condicional</x:v>
      </x:c>
      <x:c r="L40" s="34" t="str">
        <x:v>Reserva (N°/código)</x:v>
      </x:c>
      <x:c r="M40" s="34" t="str">
        <x:v>Provisional</x:v>
      </x:c>
      <x:c r="N40" s="34" t="str">
        <x:v>Confirmar clientes objetivo que la requieren.</x:v>
      </x:c>
      <x:c r="O40" s="34" t="str">
        <x:v>Debe ser metadata, no identidad del Parte.</x:v>
      </x:c>
      <x:c r="P40" s="34" t="str">
        <x:v>Homologación</x:v>
      </x:c>
    </x:row>
    <x:row r="41">
      <x:c r="A41" s="34" t="str">
        <x:v>V0-040</x:v>
      </x:c>
      <x:c r="B41" s="34" t="str">
        <x:v>Comercial</x:v>
      </x:c>
      <x:c r="C41" s="34" t="str">
        <x:v>empresa_ejecutora_id</x:v>
      </x:c>
      <x:c r="D41" s="34" t="str">
        <x:v>Empresa que ejecuta la operación; en el sistema VDS debería resolverse automáticamente.</x:v>
      </x:c>
      <x:c r="E41" s="34" t="str">
        <x:v>Parte</x:v>
      </x:c>
      <x:c r="F41" s="34" t="str">
        <x:v>Contexto sistema</x:v>
      </x:c>
      <x:c r="G41" s="34" t="str">
        <x:v>Relación</x:v>
      </x:c>
      <x:c r="H41" s="34" t="str">
        <x:v>Configuración</x:v>
      </x:c>
      <x:c r="I41" s="34" t="str">
        <x:v>Derivado</x:v>
      </x:c>
      <x:c r="J41" s="34" t="str">
        <x:v>No</x:v>
      </x:c>
      <x:c r="K41" s="34" t="str">
        <x:v>Referencia</x:v>
      </x:c>
      <x:c r="L41" s="34" t="str">
        <x:v>Empresa Contratista</x:v>
      </x:c>
      <x:c r="M41" s="34" t="str">
        <x:v>Base sólida</x:v>
      </x:c>
      <x:c r="N41" s="34" t="str">
        <x:v>Validar si existirán subcontratistas ejecutores.</x:v>
      </x:c>
      <x:c r="O41" s="34" t="str">
        <x:v>No pedir 'Vientos del Sur' en cada Parte.</x:v>
      </x:c>
      <x:c r="P41" s="34" t="str">
        <x:v>Homologación</x:v>
      </x:c>
    </x:row>
    <x:row r="42">
      <x:c r="A42" s="34" t="str">
        <x:v>V0-041</x:v>
      </x:c>
      <x:c r="B42" s="34" t="str">
        <x:v>Evidencia</x:v>
      </x:c>
      <x:c r="C42" s="34" t="str">
        <x:v>evidencia_id</x:v>
      </x:c>
      <x:c r="D42" s="34" t="str">
        <x:v>Identificador de cada evidencia o acto de validación asociado a un Parte o unidad.</x:v>
      </x:c>
      <x:c r="E42" s="34" t="str">
        <x:v>Evidencia</x:v>
      </x:c>
      <x:c r="F42" s="34" t="str">
        <x:v>Núcleo/Interfaz</x:v>
      </x:c>
      <x:c r="G42" s="34" t="str">
        <x:v>Identificador</x:v>
      </x:c>
      <x:c r="H42" s="34" t="str">
        <x:v>Sistema</x:v>
      </x:c>
      <x:c r="I42" s="34" t="str">
        <x:v>Generado automático</x:v>
      </x:c>
      <x:c r="J42" s="34" t="str">
        <x:v>No</x:v>
      </x:c>
      <x:c r="K42" s="34" t="str">
        <x:v>Condicional</x:v>
      </x:c>
      <x:c r="L42" s="34" t="str">
        <x:v>Firmas múltiples; Firma digital</x:v>
      </x:c>
      <x:c r="M42" s="34" t="str">
        <x:v>Base sólida</x:v>
      </x:c>
      <x:c r="N42" s="34" t="str">
        <x:v>Definir qué objetos requieren evidencia.</x:v>
      </x:c>
      <x:c r="O42" s="34" t="str">
        <x:v>La evidencia es entidad/evento, no columna.</x:v>
      </x:c>
      <x:c r="P42" s="34" t="str">
        <x:v>Homologación + arquitectura</x:v>
      </x:c>
    </x:row>
    <x:row r="43">
      <x:c r="A43" s="34" t="str">
        <x:v>V0-042</x:v>
      </x:c>
      <x:c r="B43" s="34" t="str">
        <x:v>Evidencia</x:v>
      </x:c>
      <x:c r="C43" s="34" t="str">
        <x:v>tipo_evidencia_id</x:v>
      </x:c>
      <x:c r="D43" s="34" t="str">
        <x:v>Clasifica la evidencia: firma, foto, medición, aceptación, rechazo u otro tipo habilitado.</x:v>
      </x:c>
      <x:c r="E43" s="34" t="str">
        <x:v>Evidencia</x:v>
      </x:c>
      <x:c r="F43" s="34" t="str">
        <x:v>Núcleo/Interfaz</x:v>
      </x:c>
      <x:c r="G43" s="34" t="str">
        <x:v>Catálogo</x:v>
      </x:c>
      <x:c r="H43" s="34" t="str">
        <x:v>Catálogo maestro</x:v>
      </x:c>
      <x:c r="I43" s="34" t="str">
        <x:v>Derivado/selección</x:v>
      </x:c>
      <x:c r="J43" s="34" t="str">
        <x:v>Condicional</x:v>
      </x:c>
      <x:c r="K43" s="34" t="str">
        <x:v>Condicional</x:v>
      </x:c>
      <x:c r="L43" s="34" t="str">
        <x:v>Firma aprobador; Firma solicitante; firma digital</x:v>
      </x:c>
      <x:c r="M43" s="34" t="str">
        <x:v>Provisional</x:v>
      </x:c>
      <x:c r="N43" s="34" t="str">
        <x:v>Validar tipos mínimos por servicio/cliente.</x:v>
      </x:c>
      <x:c r="O43" s="34" t="str">
        <x:v>Permite crecer sin agregar columnas.</x:v>
      </x:c>
      <x:c r="P43" s="34" t="str">
        <x:v>Homologación</x:v>
      </x:c>
    </x:row>
    <x:row r="44">
      <x:c r="A44" s="34" t="str">
        <x:v>V0-043</x:v>
      </x:c>
      <x:c r="B44" s="34" t="str">
        <x:v>Evidencia</x:v>
      </x:c>
      <x:c r="C44" s="34" t="str">
        <x:v>actor_evidencia_id</x:v>
      </x:c>
      <x:c r="D44" s="34" t="str">
        <x:v>Persona/actor que genera o valida la evidencia.</x:v>
      </x:c>
      <x:c r="E44" s="34" t="str">
        <x:v>Evidencia</x:v>
      </x:c>
      <x:c r="F44" s="34" t="str">
        <x:v>Núcleo/Interfaz</x:v>
      </x:c>
      <x:c r="G44" s="34" t="str">
        <x:v>Relación</x:v>
      </x:c>
      <x:c r="H44" s="34" t="str">
        <x:v>Identidad / campo</x:v>
      </x:c>
      <x:c r="I44" s="34" t="str">
        <x:v>Autenticado o selección</x:v>
      </x:c>
      <x:c r="J44" s="34" t="str">
        <x:v>Condicional</x:v>
      </x:c>
      <x:c r="K44" s="34" t="str">
        <x:v>Condicional</x:v>
      </x:c>
      <x:c r="L44" s="34" t="str">
        <x:v>Ejecutó; Nombre del Firmante/Aprobador; Firma solicitante</x:v>
      </x:c>
      <x:c r="M44" s="34" t="str">
        <x:v>Base sólida</x:v>
      </x:c>
      <x:c r="N44" s="34" t="str">
        <x:v>Resolver actores externos sin legajo VDS.</x:v>
      </x:c>
      <x:c r="O44" s="34" t="str">
        <x:v>Separar identidad del contenido de firma.</x:v>
      </x:c>
      <x:c r="P44" s="34" t="str">
        <x:v>Homologación</x:v>
      </x:c>
    </x:row>
    <x:row r="45">
      <x:c r="A45" s="34" t="str">
        <x:v>V0-044</x:v>
      </x:c>
      <x:c r="B45" s="34" t="str">
        <x:v>Evidencia</x:v>
      </x:c>
      <x:c r="C45" s="34" t="str">
        <x:v>rol_actor_evidencia_id</x:v>
      </x:c>
      <x:c r="D45" s="34" t="str">
        <x:v>Rol con el que el actor valida: solicitante, supervisor, cliente, chofer, etc.</x:v>
      </x:c>
      <x:c r="E45" s="34" t="str">
        <x:v>Evidencia</x:v>
      </x:c>
      <x:c r="F45" s="34" t="str">
        <x:v>Núcleo/Interfaz</x:v>
      </x:c>
      <x:c r="G45" s="34" t="str">
        <x:v>Relación + catálogo</x:v>
      </x:c>
      <x:c r="H45" s="34" t="str">
        <x:v>Regla de servicio</x:v>
      </x:c>
      <x:c r="I45" s="34" t="str">
        <x:v>Derivado/selección</x:v>
      </x:c>
      <x:c r="J45" s="34" t="str">
        <x:v>Condicional</x:v>
      </x:c>
      <x:c r="K45" s="34" t="str">
        <x:v>Condicional</x:v>
      </x:c>
      <x:c r="L45" s="34" t="str">
        <x:v>Firma aprobador; Firma solicitante; Ejecutó</x:v>
      </x:c>
      <x:c r="M45" s="34" t="str">
        <x:v>Base sólida</x:v>
      </x:c>
      <x:c r="N45" s="34" t="str">
        <x:v>Validar qué roles tienen valor legal/operativo.</x:v>
      </x:c>
      <x:c r="O45" s="34" t="str">
        <x:v>Una misma persona puede tener roles diferentes.</x:v>
      </x:c>
      <x:c r="P45" s="34" t="str">
        <x:v>Homologación</x:v>
      </x:c>
    </x:row>
    <x:row r="46">
      <x:c r="A46" s="34" t="str">
        <x:v>V0-045</x:v>
      </x:c>
      <x:c r="B46" s="34" t="str">
        <x:v>Evidencia</x:v>
      </x:c>
      <x:c r="C46" s="34" t="str">
        <x:v>evidencia_at</x:v>
      </x:c>
      <x:c r="D46" s="34" t="str">
        <x:v>Fecha-hora exacta en que se genera la evidencia.</x:v>
      </x:c>
      <x:c r="E46" s="34" t="str">
        <x:v>Evidencia</x:v>
      </x:c>
      <x:c r="F46" s="34" t="str">
        <x:v>Núcleo/Interfaz</x:v>
      </x:c>
      <x:c r="G46" s="34" t="str">
        <x:v>Timestamp</x:v>
      </x:c>
      <x:c r="H46" s="34" t="str">
        <x:v>Sistema/dispositivo</x:v>
      </x:c>
      <x:c r="I46" s="34" t="str">
        <x:v>Automático</x:v>
      </x:c>
      <x:c r="J46" s="34" t="str">
        <x:v>No</x:v>
      </x:c>
      <x:c r="K46" s="34" t="str">
        <x:v>Condicional</x:v>
      </x:c>
      <x:c r="L46" s="34" t="str">
        <x:v>Fecha de Firma/Aprobación; Firma Digital (metadato)</x:v>
      </x:c>
      <x:c r="M46" s="34" t="str">
        <x:v>Base sólida</x:v>
      </x:c>
      <x:c r="N46" s="34" t="str">
        <x:v>Ninguna conceptual.</x:v>
      </x:c>
      <x:c r="O46" s="34" t="str">
        <x:v>Evitar fecha tipeada si el evento la puede sellar.</x:v>
      </x:c>
      <x:c r="P46" s="34" t="str">
        <x:v>Homologación</x:v>
      </x:c>
    </x:row>
    <x:row r="47">
      <x:c r="A47" s="34" t="str">
        <x:v>V0-046</x:v>
      </x:c>
      <x:c r="B47" s="34" t="str">
        <x:v>Evidencia</x:v>
      </x:c>
      <x:c r="C47" s="34" t="str">
        <x:v>modo_evidencia</x:v>
      </x:c>
      <x:c r="D47" s="34" t="str">
        <x:v>Modo de captura: campo, remota, importada/integrada u otro.</x:v>
      </x:c>
      <x:c r="E47" s="34" t="str">
        <x:v>Evidencia</x:v>
      </x:c>
      <x:c r="F47" s="34" t="str">
        <x:v>Núcleo/Interfaz</x:v>
      </x:c>
      <x:c r="G47" s="34" t="str">
        <x:v>Catálogo</x:v>
      </x:c>
      <x:c r="H47" s="34" t="str">
        <x:v>Sistema</x:v>
      </x:c>
      <x:c r="I47" s="34" t="str">
        <x:v>Derivado</x:v>
      </x:c>
      <x:c r="J47" s="34" t="str">
        <x:v>No</x:v>
      </x:c>
      <x:c r="K47" s="34" t="str">
        <x:v>Condicional</x:v>
      </x:c>
      <x:c r="L47" s="34" t="str">
        <x:v>Firma digital (metadato); firma_modo campo/remota</x:v>
      </x:c>
      <x:c r="M47" s="34" t="str">
        <x:v>Provisional</x:v>
      </x:c>
      <x:c r="N47" s="34" t="str">
        <x:v>Cerrar modos realmente necesarios.</x:v>
      </x:c>
      <x:c r="O47" s="34" t="str">
        <x:v>Útil para trazabilidad y auditoría.</x:v>
      </x:c>
      <x:c r="P47" s="34" t="str">
        <x:v>Homologación + arquitectura</x:v>
      </x:c>
    </x:row>
    <x:row r="48">
      <x:c r="A48" s="34" t="str">
        <x:v>V0-047</x:v>
      </x:c>
      <x:c r="B48" s="34" t="str">
        <x:v>Evidencia</x:v>
      </x:c>
      <x:c r="C48" s="34" t="str">
        <x:v>contenido_evidencia</x:v>
      </x:c>
      <x:c r="D48" s="34" t="str">
        <x:v>Contenido verificable de la evidencia: firma, archivo, foto, hash/referencia documental.</x:v>
      </x:c>
      <x:c r="E48" s="34" t="str">
        <x:v>Evidencia</x:v>
      </x:c>
      <x:c r="F48" s="34" t="str">
        <x:v>Núcleo/Interfaz</x:v>
      </x:c>
      <x:c r="G48" s="34" t="str">
        <x:v>Blob/referencia</x:v>
      </x:c>
      <x:c r="H48" s="34" t="str">
        <x:v>Dispositivo/integración</x:v>
      </x:c>
      <x:c r="I48" s="34" t="str">
        <x:v>Captura</x:v>
      </x:c>
      <x:c r="J48" s="34" t="str">
        <x:v>Condicional</x:v>
      </x:c>
      <x:c r="K48" s="34" t="str">
        <x:v>Condicional</x:v>
      </x:c>
      <x:c r="L48" s="34" t="str">
        <x:v>Firma (imagen) del Aprobador; Firma del Solicitante</x:v>
      </x:c>
      <x:c r="M48" s="34" t="str">
        <x:v>Provisional</x:v>
      </x:c>
      <x:c r="N48" s="34" t="str">
        <x:v>Definir requerimientos legales y almacenamiento.</x:v>
      </x:c>
      <x:c r="O48" s="34" t="str">
        <x:v>No confundir firma con nombre del actor.</x:v>
      </x:c>
      <x:c r="P48" s="34" t="str">
        <x:v>Homologación</x:v>
      </x:c>
    </x:row>
    <x:row r="49">
      <x:c r="A49" s="34" t="str">
        <x:v>V0-048</x:v>
      </x:c>
      <x:c r="B49" s="34" t="str">
        <x:v>Mediciones</x:v>
      </x:c>
      <x:c r="C49" s="34" t="str">
        <x:v>metrica_id</x:v>
      </x:c>
      <x:c r="D49" s="34" t="str">
        <x:v>Tipo de medición específica de servicio registrada durante la ejecución.</x:v>
      </x:c>
      <x:c r="E49" s="34" t="str">
        <x:v>EjecucionMedicion</x:v>
      </x:c>
      <x:c r="F49" s="34" t="str">
        <x:v>Extensión de servicio</x:v>
      </x:c>
      <x:c r="G49" s="34" t="str">
        <x:v>Catálogo</x:v>
      </x:c>
      <x:c r="H49" s="34" t="str">
        <x:v>Servicio</x:v>
      </x:c>
      <x:c r="I49" s="34" t="str">
        <x:v>Derivado/selección</x:v>
      </x:c>
      <x:c r="J49" s="34" t="str">
        <x:v>Condicional</x:v>
      </x:c>
      <x:c r="K49" s="34" t="str">
        <x:v>Específica de servicio</x:v>
      </x:c>
      <x:c r="L49" s="34" t="str">
        <x:v>Cargadero m³; Viajes; Contenedores; Cantidades</x:v>
      </x:c>
      <x:c r="M49" s="34" t="str">
        <x:v>Patrón de extensión</x:v>
      </x:c>
      <x:c r="N49" s="34" t="str">
        <x:v>Definir métricas por servicio durante Diccionario v1.</x:v>
      </x:c>
      <x:c r="O49" s="34" t="str">
        <x:v>Patrón lógico, no decisión de esquema EAV final.</x:v>
      </x:c>
      <x:c r="P49" s="34" t="str">
        <x:v>Homologación</x:v>
      </x:c>
    </x:row>
    <x:row r="50">
      <x:c r="A50" s="34" t="str">
        <x:v>V0-049</x:v>
      </x:c>
      <x:c r="B50" s="34" t="str">
        <x:v>Mediciones</x:v>
      </x:c>
      <x:c r="C50" s="34" t="str">
        <x:v>valor_medicion</x:v>
      </x:c>
      <x:c r="D50" s="34" t="str">
        <x:v>Valor numérico/categórico de una métrica específica.</x:v>
      </x:c>
      <x:c r="E50" s="34" t="str">
        <x:v>EjecucionMedicion</x:v>
      </x:c>
      <x:c r="F50" s="34" t="str">
        <x:v>Extensión de servicio</x:v>
      </x:c>
      <x:c r="G50" s="34" t="str">
        <x:v>Valor</x:v>
      </x:c>
      <x:c r="H50" s="34" t="str">
        <x:v>Campo / dispositivo</x:v>
      </x:c>
      <x:c r="I50" s="34" t="str">
        <x:v>Manual o automático</x:v>
      </x:c>
      <x:c r="J50" s="34" t="str">
        <x:v>Condicional</x:v>
      </x:c>
      <x:c r="K50" s="34" t="str">
        <x:v>Específica de servicio</x:v>
      </x:c>
      <x:c r="L50" s="34" t="str">
        <x:v>Cargadero (m³); Contenedores; Contenedores Adicionales; Viajes Diurnos/Nocturnos</x:v>
      </x:c>
      <x:c r="M50" s="34" t="str">
        <x:v>Patrón de extensión</x:v>
      </x:c>
      <x:c r="N50" s="34" t="str">
        <x:v>Validar qué mediciones son obligatorias por servicio.</x:v>
      </x:c>
      <x:c r="O50" s="34" t="str">
        <x:v>Debe estar tipado según métrica.</x:v>
      </x:c>
      <x:c r="P50" s="34" t="str">
        <x:v>Homologación</x:v>
      </x:c>
    </x:row>
    <x:row r="51">
      <x:c r="A51" s="34" t="str">
        <x:v>V0-050</x:v>
      </x:c>
      <x:c r="B51" s="34" t="str">
        <x:v>Mediciones</x:v>
      </x:c>
      <x:c r="C51" s="34" t="str">
        <x:v>unidad_medida_id</x:v>
      </x:c>
      <x:c r="D51" s="34" t="str">
        <x:v>Unidad asociada a la métrica cuando corresponda.</x:v>
      </x:c>
      <x:c r="E51" s="34" t="str">
        <x:v>EjecucionMedicion</x:v>
      </x:c>
      <x:c r="F51" s="34" t="str">
        <x:v>Extensión de servicio</x:v>
      </x:c>
      <x:c r="G51" s="34" t="str">
        <x:v>Relación catálogo</x:v>
      </x:c>
      <x:c r="H51" s="34" t="str">
        <x:v>Catálogo de métricas</x:v>
      </x:c>
      <x:c r="I51" s="34" t="str">
        <x:v>Derivado</x:v>
      </x:c>
      <x:c r="J51" s="34" t="str">
        <x:v>No</x:v>
      </x:c>
      <x:c r="K51" s="34" t="str">
        <x:v>Específica de servicio</x:v>
      </x:c>
      <x:c r="L51" s="34" t="str">
        <x:v>m³; cantidad; días; Unidad de Medida (PAE benchmark)</x:v>
      </x:c>
      <x:c r="M51" s="34" t="str">
        <x:v>Patrón de extensión</x:v>
      </x:c>
      <x:c r="N51" s="34" t="str">
        <x:v>Definir catálogo de unidades necesarias.</x:v>
      </x:c>
      <x:c r="O51" s="34" t="str">
        <x:v>No pedir unidad si la métrica ya la define.</x:v>
      </x:c>
      <x:c r="P51" s="34" t="str">
        <x:v>Homologación + benchmark</x:v>
      </x:c>
    </x:row>
    <x:row r="52">
      <x:c r="A52" s="34" t="str">
        <x:v>V0-051</x:v>
      </x:c>
      <x:c r="B52" s="34" t="str">
        <x:v>Mediciones</x:v>
      </x:c>
      <x:c r="C52" s="34" t="str">
        <x:v>calificador_medicion_id</x:v>
      </x:c>
      <x:c r="D52" s="34" t="str">
        <x:v>Dimensión que diferencia la misma métrica: diurno/nocturno, normal/adicional, etc.</x:v>
      </x:c>
      <x:c r="E52" s="34" t="str">
        <x:v>EjecucionMedicion</x:v>
      </x:c>
      <x:c r="F52" s="34" t="str">
        <x:v>Extensión de servicio</x:v>
      </x:c>
      <x:c r="G52" s="34" t="str">
        <x:v>Catálogo</x:v>
      </x:c>
      <x:c r="H52" s="34" t="str">
        <x:v>Servicio</x:v>
      </x:c>
      <x:c r="I52" s="34" t="str">
        <x:v>Derivado/selección</x:v>
      </x:c>
      <x:c r="J52" s="34" t="str">
        <x:v>Condicional</x:v>
      </x:c>
      <x:c r="K52" s="34" t="str">
        <x:v>Específica de servicio</x:v>
      </x:c>
      <x:c r="L52" s="34" t="str">
        <x:v>Viajes Diurnos; Viajes Nocturnos; Contenedores Adicionales</x:v>
      </x:c>
      <x:c r="M52" s="34" t="str">
        <x:v>Patrón de extensión</x:v>
      </x:c>
      <x:c r="N52" s="34" t="str">
        <x:v>Validar si conviene métrica separada o calificador por caso.</x:v>
      </x:c>
      <x:c r="O52" s="34" t="str">
        <x:v>Evita columnas nuevas por variante cuando semánticamente es la misma métrica.</x:v>
      </x:c>
      <x:c r="P52" s="34" t="str">
        <x:v>Homologación</x:v>
      </x:c>
    </x:row>
    <x:row r="53">
      <x:c r="A53" s="34" t="str">
        <x:v>V0-052</x:v>
      </x:c>
      <x:c r="B53" s="34" t="str">
        <x:v>Mediciones</x:v>
      </x:c>
      <x:c r="C53" s="34" t="str">
        <x:v>periodo_medicion_desde_at</x:v>
      </x:c>
      <x:c r="D53" s="34" t="str">
        <x:v>Inicio de un período específico asociado a una medición/servicio continuo.</x:v>
      </x:c>
      <x:c r="E53" s="34" t="str">
        <x:v>EjecucionMedicion</x:v>
      </x:c>
      <x:c r="F53" s="34" t="str">
        <x:v>Extensión de servicio</x:v>
      </x:c>
      <x:c r="G53" s="34" t="str">
        <x:v>Timestamp/fecha</x:v>
      </x:c>
      <x:c r="H53" s="34" t="str">
        <x:v>Campo / planificación</x:v>
      </x:c>
      <x:c r="I53" s="34" t="str">
        <x:v>Heredado o captura</x:v>
      </x:c>
      <x:c r="J53" s="34" t="str">
        <x:v>Condicional</x:v>
      </x:c>
      <x:c r="K53" s="34" t="str">
        <x:v>Específica de servicio</x:v>
      </x:c>
      <x:c r="L53" s="34" t="str">
        <x:v>Variante Alquiler de Volquetes - Desde</x:v>
      </x:c>
      <x:c r="M53" s="34" t="str">
        <x:v>Provisional</x:v>
      </x:c>
      <x:c r="N53" s="34" t="str">
        <x:v>Validar si el alquiler diario pertenece al Parte o a otro proceso.</x:v>
      </x:c>
      <x:c r="O53" s="34" t="str">
        <x:v>No confundir con fecha operativa del Parte.</x:v>
      </x:c>
      <x:c r="P53" s="34" t="str">
        <x:v>Homologación</x:v>
      </x:c>
    </x:row>
    <x:row r="54">
      <x:c r="A54" s="34" t="str">
        <x:v>V0-053</x:v>
      </x:c>
      <x:c r="B54" s="34" t="str">
        <x:v>Mediciones</x:v>
      </x:c>
      <x:c r="C54" s="34" t="str">
        <x:v>periodo_medicion_hasta_at</x:v>
      </x:c>
      <x:c r="D54" s="34" t="str">
        <x:v>Fin de un período específico asociado a una medición/servicio continuo.</x:v>
      </x:c>
      <x:c r="E54" s="34" t="str">
        <x:v>EjecucionMedicion</x:v>
      </x:c>
      <x:c r="F54" s="34" t="str">
        <x:v>Extensión de servicio</x:v>
      </x:c>
      <x:c r="G54" s="34" t="str">
        <x:v>Timestamp/fecha</x:v>
      </x:c>
      <x:c r="H54" s="34" t="str">
        <x:v>Campo / planificación</x:v>
      </x:c>
      <x:c r="I54" s="34" t="str">
        <x:v>Heredado o captura</x:v>
      </x:c>
      <x:c r="J54" s="34" t="str">
        <x:v>Condicional</x:v>
      </x:c>
      <x:c r="K54" s="34" t="str">
        <x:v>Específica de servicio</x:v>
      </x:c>
      <x:c r="L54" s="34" t="str">
        <x:v>Variante Alquiler de Volquetes - Hasta</x:v>
      </x:c>
      <x:c r="M54" s="34" t="str">
        <x:v>Provisional</x:v>
      </x:c>
      <x:c r="N54" s="34" t="str">
        <x:v>Validar si el alquiler diario pertenece al Parte o a otro proceso.</x:v>
      </x:c>
      <x:c r="O54" s="34" t="str">
        <x:v>Permite calcular días.</x:v>
      </x:c>
      <x:c r="P54" s="34" t="str">
        <x:v>Homologación</x:v>
      </x:c>
    </x:row>
    <x:row r="55">
      <x:c r="A55" s="53" t="str">
        <x:v>V0-054</x:v>
      </x:c>
      <x:c r="B55" s="53" t="str">
        <x:v>Mediciones</x:v>
      </x:c>
      <x:c r="C55" s="53" t="str">
        <x:v>cantidad_dias_medicion</x:v>
      </x:c>
      <x:c r="D55" s="53" t="str">
        <x:v>Cantidad de días derivada de un período cuando la métrica lo requiera.</x:v>
      </x:c>
      <x:c r="E55" s="53" t="str">
        <x:v>EjecucionMedicion</x:v>
      </x:c>
      <x:c r="F55" s="53" t="str">
        <x:v>Extensión de servicio</x:v>
      </x:c>
      <x:c r="G55" s="53" t="str">
        <x:v>Calculado</x:v>
      </x:c>
      <x:c r="H55" s="53" t="str">
        <x:v>Sistema</x:v>
      </x:c>
      <x:c r="I55" s="53" t="str">
        <x:v>Calculado</x:v>
      </x:c>
      <x:c r="J55" s="53" t="str">
        <x:v>No</x:v>
      </x:c>
      <x:c r="K55" s="53" t="str">
        <x:v>Específica de servicio</x:v>
      </x:c>
      <x:c r="L55" s="53" t="str">
        <x:v>Variante Alquiler de Volquetes - Cant. de días / Total de días</x:v>
      </x:c>
      <x:c r="M55" s="53" t="str">
        <x:v>Provisional</x:v>
      </x:c>
      <x:c r="N55" s="53" t="str">
        <x:v>Validar reglas de cómputo contractual.</x:v>
      </x:c>
      <x:c r="O55" s="53" t="str">
        <x:v>No capturar si puede calcularse.</x:v>
      </x:c>
      <x:c r="P55" s="53" t="str">
        <x:v>Homologación</x:v>
      </x:c>
    </x:row>
    <x:row r="56">
      <x:c r="A56" s="20" t="str">
        <x:v>V0-055</x:v>
      </x:c>
      <x:c r="B56" s="20" t="str">
        <x:v>Tipo de Parte</x:v>
      </x:c>
      <x:c r="C56" s="20" t="str">
        <x:v>tipo_parte_id</x:v>
      </x:c>
      <x:c r="D56" s="20" t="str">
        <x:v>Tipo operacional de Parte que define propósito, estructura y reglas de comportamiento.</x:v>
      </x:c>
      <x:c r="E56" s="20" t="str">
        <x:v>TipoParte</x:v>
      </x:c>
      <x:c r="F56" s="20" t="str">
        <x:v>Gobernanza del sistema</x:v>
      </x:c>
      <x:c r="G56" s="20" t="str">
        <x:v>Relación FK a catálogo</x:v>
      </x:c>
      <x:c r="H56" s="20" t="str">
        <x:v>Planificación / motor de reglas</x:v>
      </x:c>
      <x:c r="I56" s="20" t="str">
        <x:v>Derivado</x:v>
      </x:c>
      <x:c r="J56" s="20" t="str">
        <x:v>No</x:v>
      </x:c>
      <x:c r="K56" s="20" t="str">
        <x:v>Core</x:v>
      </x:c>
      <x:c r="L56" s="20" t="str">
        <x:v>Familias T2+T6; T3+T4; T5+T7</x:v>
      </x:c>
      <x:c r="M56" s="20" t="str">
        <x:v>Base sólida</x:v>
      </x:c>
      <x:c r="N56" s="20" t="str">
        <x:v>Cerrar catálogo inicial y reglas de corte por tipo.</x:v>
      </x:c>
      <x:c r="O56" s="20" t="str">
        <x:v>El trabajador no debería elegirlo libremente; el sistema lo resuelve por contexto.</x:v>
      </x:c>
      <x:c r="P56" s="20" t="str">
        <x:v>Arquitectura revisada + respuestas operación</x:v>
      </x:c>
    </x:row>
    <x:row r="57">
      <x:c r="A57" s="20" t="str">
        <x:v>V0-056</x:v>
      </x:c>
      <x:c r="B57" s="20" t="str">
        <x:v>Tipo de Parte</x:v>
      </x:c>
      <x:c r="C57" s="20" t="str">
        <x:v>formulario_origen_codigo</x:v>
      </x:c>
      <x:c r="D57" s="20" t="str">
        <x:v>Código histórico del formulario que ayudó a descubrir una familia/tipo de Parte.</x:v>
      </x:c>
      <x:c r="E57" s="20" t="str">
        <x:v>TipoParte/FormularioOrigen</x:v>
      </x:c>
      <x:c r="F57" s="20" t="str">
        <x:v>Trazabilidad histórica</x:v>
      </x:c>
      <x:c r="G57" s="20" t="str">
        <x:v>Referencia</x:v>
      </x:c>
      <x:c r="H57" s="20" t="str">
        <x:v>Catálogo histórico</x:v>
      </x:c>
      <x:c r="I57" s="20" t="str">
        <x:v>Heredado</x:v>
      </x:c>
      <x:c r="J57" s="20" t="str">
        <x:v>No</x:v>
      </x:c>
      <x:c r="K57" s="20" t="str">
        <x:v>Referencia</x:v>
      </x:c>
      <x:c r="L57" s="20" t="str">
        <x:v>T2; T3; T4; T5; T6; T7</x:v>
      </x:c>
      <x:c r="M57" s="20" t="str">
        <x:v>Base sólida</x:v>
      </x:c>
      <x:c r="N57" s="20" t="str">
        <x:v>Ninguna conceptual.</x:v>
      </x:c>
      <x:c r="O57" s="20" t="str">
        <x:v>No condiciona la arquitectura futura; sirve para trazabilidad y migración.</x:v>
      </x:c>
      <x:c r="P57" s="20" t="str">
        <x:v>Muestra + diagramas</x:v>
      </x:c>
    </x:row>
    <x:row r="58">
      <x:c r="A58" s="20" t="str">
        <x:v>V0-057</x:v>
      </x:c>
      <x:c r="B58" s="20" t="str">
        <x:v>Tipo de Parte</x:v>
      </x:c>
      <x:c r="C58" s="20" t="str">
        <x:v>componente_parte_id</x:v>
      </x:c>
      <x:c r="D58" s="20" t="str">
        <x:v>Componente funcional reutilizable: tarea, personal, recurso, firma/evidencia, medición, transporte, etc.</x:v>
      </x:c>
      <x:c r="E58" s="20" t="str">
        <x:v>ComponenteParte</x:v>
      </x:c>
      <x:c r="F58" s="20" t="str">
        <x:v>Gobernanza del sistema</x:v>
      </x:c>
      <x:c r="G58" s="20" t="str">
        <x:v>Catálogo</x:v>
      </x:c>
      <x:c r="H58" s="20" t="str">
        <x:v>Modelo</x:v>
      </x:c>
      <x:c r="I58" s="20" t="str">
        <x:v>Configurado</x:v>
      </x:c>
      <x:c r="J58" s="20" t="str">
        <x:v>No</x:v>
      </x:c>
      <x:c r="K58" s="20" t="str">
        <x:v>Referencia</x:v>
      </x:c>
      <x:c r="L58" s="20" t="str">
        <x:v>PARTE_TAREA; PARTE_PERSONAL; PARTE_FIRMA; ramas específicas</x:v>
      </x:c>
      <x:c r="M58" s="20" t="str">
        <x:v>Base sólida</x:v>
      </x:c>
      <x:c r="N58" s="20" t="str">
        <x:v>Cerrar catálogo mínimo de componentes.</x:v>
      </x:c>
      <x:c r="O58" s="20" t="str">
        <x:v>Permite reutilizar piezas sin construir un Parte universal con campos opcionales.</x:v>
      </x:c>
      <x:c r="P58" s="20" t="str">
        <x:v>Diagramas + análisis</x:v>
      </x:c>
    </x:row>
    <x:row r="59">
      <x:c r="A59" s="20" t="str">
        <x:v>V0-058</x:v>
      </x:c>
      <x:c r="B59" s="20" t="str">
        <x:v>Tipo de Parte</x:v>
      </x:c>
      <x:c r="C59" s="20" t="str">
        <x:v>tipo_parte_componente_id</x:v>
      </x:c>
      <x:c r="D59" s="20" t="str">
        <x:v>Relación que determina qué componentes utiliza cada Tipo de Parte y bajo qué condición.</x:v>
      </x:c>
      <x:c r="E59" s="20" t="str">
        <x:v>TipoParteComponente</x:v>
      </x:c>
      <x:c r="F59" s="20" t="str">
        <x:v>Gobernanza del sistema</x:v>
      </x:c>
      <x:c r="G59" s="20" t="str">
        <x:v>Relación de configuración</x:v>
      </x:c>
      <x:c r="H59" s="20" t="str">
        <x:v>Modelo / reglas</x:v>
      </x:c>
      <x:c r="I59" s="20" t="str">
        <x:v>Configurado</x:v>
      </x:c>
      <x:c r="J59" s="20" t="str">
        <x:v>No</x:v>
      </x:c>
      <x:c r="K59" s="20" t="str">
        <x:v>Core</x:v>
      </x:c>
      <x:c r="L59" s="20" t="str">
        <x:v>Común a familia / solo T3 / solo T4 / etc.</x:v>
      </x:c>
      <x:c r="M59" s="20" t="str">
        <x:v>Base sólida</x:v>
      </x:c>
      <x:c r="N59" s="20" t="str">
        <x:v>Definir obligatoriedad y condición por componente.</x:v>
      </x:c>
      <x:c r="O59" s="20" t="str">
        <x:v>La experiencia de captura se compone dinámicamente según el Tipo de Parte.</x:v>
      </x:c>
      <x:c r="P59" s="20" t="str">
        <x:v>Diagramas + análisis</x:v>
      </x:c>
    </x:row>
    <x:row r="60">
      <x:c r="A60" s="20" t="str">
        <x:v>V0-059</x:v>
      </x:c>
      <x:c r="B60" s="20" t="str">
        <x:v>Tipo de Parte</x:v>
      </x:c>
      <x:c r="C60" s="20" t="str">
        <x:v>regla_corte_tipo_parte_id</x:v>
      </x:c>
      <x:c r="D60" s="20" t="str">
        <x:v>Regla que determina qué cambios generan un nuevo Parte para un tipo específico.</x:v>
      </x:c>
      <x:c r="E60" s="20" t="str">
        <x:v>ReglaCorteTipoParte</x:v>
      </x:c>
      <x:c r="F60" s="20" t="str">
        <x:v>Gobernanza del sistema</x:v>
      </x:c>
      <x:c r="G60" s="20" t="str">
        <x:v>Regla</x:v>
      </x:c>
      <x:c r="H60" s="20" t="str">
        <x:v>TipoParte</x:v>
      </x:c>
      <x:c r="I60" s="20" t="str">
        <x:v>Derivado</x:v>
      </x:c>
      <x:c r="J60" s="20" t="str">
        <x:v>No</x:v>
      </x:c>
      <x:c r="K60" s="20" t="str">
        <x:v>Core</x:v>
      </x:c>
      <x:c r="L60" s="20" t="str">
        <x:v>Cambio de ubicación/servicio/cliente/equipo/turno; incidente; certificación puntual</x:v>
      </x:c>
      <x:c r="M60" s="20" t="str">
        <x:v>Provisional</x:v>
      </x:c>
      <x:c r="N60" s="20" t="str">
        <x:v>Validar regla exacta por TipoParte.</x:v>
      </x:c>
      <x:c r="O60" s="20" t="str">
        <x:v>No existe una única regla global de split para todo el sistema.</x:v>
      </x:c>
      <x:c r="P60" s="20" t="str">
        <x:v>Respuestas operación 1-2</x:v>
      </x:c>
    </x:row>
    <x:row r="61">
      <x:c r="A61" s="20" t="str">
        <x:v>V0-060</x:v>
      </x:c>
      <x:c r="B61" s="20" t="str">
        <x:v>Perfil / Ruteo</x:v>
      </x:c>
      <x:c r="C61" s="20" t="str">
        <x:v>perfil_operativo_id</x:v>
      </x:c>
      <x:c r="D61" s="20" t="str">
        <x:v>Perfil operativo del trabajador autenticado usado para acotar la ruta de Parte y acciones disponibles.</x:v>
      </x:c>
      <x:c r="E61" s="20" t="str">
        <x:v>PerfilOperativo</x:v>
      </x:c>
      <x:c r="F61" s="20" t="str">
        <x:v>Identidad y acceso</x:v>
      </x:c>
      <x:c r="G61" s="20" t="str">
        <x:v>Relación catálogo</x:v>
      </x:c>
      <x:c r="H61" s="20" t="str">
        <x:v>RRHH / seguridad</x:v>
      </x:c>
      <x:c r="I61" s="20" t="str">
        <x:v>Heredado por sesión</x:v>
      </x:c>
      <x:c r="J61" s="20" t="str">
        <x:v>No</x:v>
      </x:c>
      <x:c r="K61" s="20" t="str">
        <x:v>Core</x:v>
      </x:c>
      <x:c r="L61" s="20" t="str">
        <x:v>Rol/función del trabajador</x:v>
      </x:c>
      <x:c r="M61" s="20" t="str">
        <x:v>Provisional</x:v>
      </x:c>
      <x:c r="N61" s="20" t="str">
        <x:v>Construir catálogo real de perfiles y capacidades.</x:v>
      </x:c>
      <x:c r="O61" s="20" t="str">
        <x:v>No equivale solo a cargo; debe representar qué cursos/rutas operativas puede iniciar.</x:v>
      </x:c>
      <x:c r="P61" s="20" t="str">
        <x:v>Requisito usuario 30/09</x:v>
      </x:c>
    </x:row>
    <x:row r="62">
      <x:c r="A62" s="20" t="str">
        <x:v>V0-061</x:v>
      </x:c>
      <x:c r="B62" s="20" t="str">
        <x:v>Perfil / Ruteo</x:v>
      </x:c>
      <x:c r="C62" s="20" t="str">
        <x:v>perfil_tipo_parte_id</x:v>
      </x:c>
      <x:c r="D62" s="20" t="str">
        <x:v>Relación de elegibilidad/prioridad entre un perfil operativo y los Tipos de Parte que puede iniciar o ejecutar.</x:v>
      </x:c>
      <x:c r="E62" s="20" t="str">
        <x:v>PerfilTipoParte</x:v>
      </x:c>
      <x:c r="F62" s="20" t="str">
        <x:v>Gobernanza del sistema</x:v>
      </x:c>
      <x:c r="G62" s="20" t="str">
        <x:v>Relación de configuración</x:v>
      </x:c>
      <x:c r="H62" s="20" t="str">
        <x:v>Modelo / RRHH</x:v>
      </x:c>
      <x:c r="I62" s="20" t="str">
        <x:v>Derivado</x:v>
      </x:c>
      <x:c r="J62" s="20" t="str">
        <x:v>No</x:v>
      </x:c>
      <x:c r="K62" s="20" t="str">
        <x:v>Core</x:v>
      </x:c>
      <x:c r="L62" s="20" t="str">
        <x:v>Ruta probable por perfil</x:v>
      </x:c>
      <x:c r="M62" s="20" t="str">
        <x:v>Provisional</x:v>
      </x:c>
      <x:c r="N62" s="20" t="str">
        <x:v>Definir matriz Perfil×TipoParte y excepciones.</x:v>
      </x:c>
      <x:c r="O62" s="20" t="str">
        <x:v>Evita presentar un selector general de Partes al trabajador.</x:v>
      </x:c>
      <x:c r="P62" s="20" t="str">
        <x:v>Requisito usuario 30/09</x:v>
      </x:c>
    </x:row>
    <x:row r="63">
      <x:c r="A63" s="20" t="str">
        <x:v>V0-062</x:v>
      </x:c>
      <x:c r="B63" s="20" t="str">
        <x:v>Perfil / Ruteo</x:v>
      </x:c>
      <x:c r="C63" s="20" t="str">
        <x:v>regla_enrutamiento_tipo_parte</x:v>
      </x:c>
      <x:c r="D63" s="20" t="str">
        <x:v>Regla que resuelve automáticamente la ruta de Parte usando perfil + asignación/planificación + servicio + contexto.</x:v>
      </x:c>
      <x:c r="E63" s="20" t="str">
        <x:v>MotorEnrutamiento</x:v>
      </x:c>
      <x:c r="F63" s="20" t="str">
        <x:v>Inicio de Parte</x:v>
      </x:c>
      <x:c r="G63" s="20" t="str">
        <x:v>Regla calculada</x:v>
      </x:c>
      <x:c r="H63" s="20" t="str">
        <x:v>Sistema</x:v>
      </x:c>
      <x:c r="I63" s="20" t="str">
        <x:v>Calculado</x:v>
      </x:c>
      <x:c r="J63" s="20" t="str">
        <x:v>No</x:v>
      </x:c>
      <x:c r="K63" s="20" t="str">
        <x:v>Core</x:v>
      </x:c>
      <x:c r="L63" s="20" t="str">
        <x:v>Perfil trabajador + trabajo asignado</x:v>
      </x:c>
      <x:c r="M63" s="20" t="str">
        <x:v>Provisional</x:v>
      </x:c>
      <x:c r="N63" s="20" t="str">
        <x:v>Definir qué hacer ante ambigüedad o trabajo emergente.</x:v>
      </x:c>
      <x:c r="O63" s="20" t="str">
        <x:v>Si hay ambigüedad, debe resolverse de forma controlada, no con menú libre.</x:v>
      </x:c>
      <x:c r="P63" s="20" t="str">
        <x:v>Requisito usuario 30/09 + arquitectura</x:v>
      </x:c>
    </x:row>
    <x:row r="64">
      <x:c r="A64" s="20" t="str">
        <x:v>V0-063</x:v>
      </x:c>
      <x:c r="B64" s="20" t="str">
        <x:v>Control documental</x:v>
      </x:c>
      <x:c r="C64" s="20" t="str">
        <x:v>requisito_habilitacion_id</x:v>
      </x:c>
      <x:c r="D64" s="20" t="str">
        <x:v>Requisito documental/competencial que debe cumplirse para que una persona, recurso o contexto esté habilitado.</x:v>
      </x:c>
      <x:c r="E64" s="20" t="str">
        <x:v>RequisitoHabilitacion</x:v>
      </x:c>
      <x:c r="F64" s="20" t="str">
        <x:v>Control documental</x:v>
      </x:c>
      <x:c r="G64" s="20" t="str">
        <x:v>Identificador/regla</x:v>
      </x:c>
      <x:c r="H64" s="20" t="str">
        <x:v>Catálogo de requisitos</x:v>
      </x:c>
      <x:c r="I64" s="20" t="str">
        <x:v>Configurado</x:v>
      </x:c>
      <x:c r="J64" s="20" t="str">
        <x:v>No</x:v>
      </x:c>
      <x:c r="K64" s="20" t="str">
        <x:v>Core/Condicional</x:v>
      </x:c>
      <x:c r="L64" s="20" t="str">
        <x:v>Habilitaciones; RTO; seguro; manejo defensivo; requisitos cliente</x:v>
      </x:c>
      <x:c r="M64" s="20" t="str">
        <x:v>Base sólida</x:v>
      </x:c>
      <x:c r="N64" s="20" t="str">
        <x:v>Definir matriz requisito×sujeto×servicio/cliente/ubicación.</x:v>
      </x:c>
      <x:c r="O64" s="20" t="str">
        <x:v>Debe poder evaluarse para la fecha planificada y para el momento real de inicio.</x:v>
      </x:c>
      <x:c r="P64" s="20" t="str">
        <x:v>Catálogo previo + requisito usuario 30/09</x:v>
      </x:c>
    </x:row>
    <x:row r="65">
      <x:c r="A65" s="20" t="str">
        <x:v>V0-064</x:v>
      </x:c>
      <x:c r="B65" s="20" t="str">
        <x:v>Control documental</x:v>
      </x:c>
      <x:c r="C65" s="20" t="str">
        <x:v>tipo_requisito_habilitacion_id</x:v>
      </x:c>
      <x:c r="D65" s="20" t="str">
        <x:v>Clasifica el requisito: persona, recurso, empresa, servicio, cliente/ubicación u otra dimensión.</x:v>
      </x:c>
      <x:c r="E65" s="20" t="str">
        <x:v>RequisitoHabilitacion</x:v>
      </x:c>
      <x:c r="F65" s="20" t="str">
        <x:v>Control documental</x:v>
      </x:c>
      <x:c r="G65" s="20" t="str">
        <x:v>Catálogo</x:v>
      </x:c>
      <x:c r="H65" s="20" t="str">
        <x:v>Catálogo maestro</x:v>
      </x:c>
      <x:c r="I65" s="20" t="str">
        <x:v>Derivado</x:v>
      </x:c>
      <x:c r="J65" s="20" t="str">
        <x:v>No</x:v>
      </x:c>
      <x:c r="K65" s="20" t="str">
        <x:v>Referencia</x:v>
      </x:c>
      <x:c r="L65" s="20" t="str">
        <x:v>Documentación/habilitación de personas y equipos</x:v>
      </x:c>
      <x:c r="M65" s="20" t="str">
        <x:v>Provisional</x:v>
      </x:c>
      <x:c r="N65" s="20" t="str">
        <x:v>Cerrar taxonomía sin forzar un FK polimórfico.</x:v>
      </x:c>
      <x:c r="O65" s="20" t="str">
        <x:v>Permite gobernar reglas sin mezclar documentos con sujetos.</x:v>
      </x:c>
      <x:c r="P65" s="20" t="str">
        <x:v>Análisis v0.1</x:v>
      </x:c>
    </x:row>
    <x:row r="66">
      <x:c r="A66" s="20" t="str">
        <x:v>V0-065</x:v>
      </x:c>
      <x:c r="B66" s="20" t="str">
        <x:v>Control documental</x:v>
      </x:c>
      <x:c r="C66" s="20" t="str">
        <x:v>documento_habilitante_id</x:v>
      </x:c>
      <x:c r="D66" s="20" t="str">
        <x:v>Documento/evidencia concreta que demuestra cumplimiento de un requisito habilitante.</x:v>
      </x:c>
      <x:c r="E66" s="20" t="str">
        <x:v>DocumentoHabilitante</x:v>
      </x:c>
      <x:c r="F66" s="20" t="str">
        <x:v>Control documental</x:v>
      </x:c>
      <x:c r="G66" s="20" t="str">
        <x:v>Entidad documental</x:v>
      </x:c>
      <x:c r="H66" s="20" t="str">
        <x:v>Gestión documental / integración</x:v>
      </x:c>
      <x:c r="I66" s="20" t="str">
        <x:v>Heredado/importado</x:v>
      </x:c>
      <x:c r="J66" s="20" t="str">
        <x:v>No</x:v>
      </x:c>
      <x:c r="K66" s="20" t="str">
        <x:v>Core/Condicional</x:v>
      </x:c>
      <x:c r="L66" s="20" t="str">
        <x:v>Licencias, certificados, seguros, RTO, constancias</x:v>
      </x:c>
      <x:c r="M66" s="20" t="str">
        <x:v>Base sólida</x:v>
      </x:c>
      <x:c r="N66" s="20" t="str">
        <x:v>Definir repositorio/fuente de verdad y metadatos mínimos.</x:v>
      </x:c>
      <x:c r="O66" s="20" t="str">
        <x:v>El Parte consume el estado, no debería pedir volver a cargar el documento.</x:v>
      </x:c>
      <x:c r="P66" s="20" t="str">
        <x:v>Requisito usuario 30/09</x:v>
      </x:c>
    </x:row>
    <x:row r="67">
      <x:c r="A67" s="20" t="str">
        <x:v>V0-066</x:v>
      </x:c>
      <x:c r="B67" s="20" t="str">
        <x:v>Control documental</x:v>
      </x:c>
      <x:c r="C67" s="20" t="str">
        <x:v>habilitacion_vigencia_desde</x:v>
      </x:c>
      <x:c r="D67" s="20" t="str">
        <x:v>Inicio de vigencia del cumplimiento/documento habilitante.</x:v>
      </x:c>
      <x:c r="E67" s="20" t="str">
        <x:v>DocumentoHabilitante</x:v>
      </x:c>
      <x:c r="F67" s="20" t="str">
        <x:v>Control documental</x:v>
      </x:c>
      <x:c r="G67" s="20" t="str">
        <x:v>Fecha</x:v>
      </x:c>
      <x:c r="H67" s="20" t="str">
        <x:v>Gestión documental</x:v>
      </x:c>
      <x:c r="I67" s="20" t="str">
        <x:v>Heredado</x:v>
      </x:c>
      <x:c r="J67" s="20" t="str">
        <x:v>No</x:v>
      </x:c>
      <x:c r="K67" s="20" t="str">
        <x:v>Referencia</x:v>
      </x:c>
      <x:c r="L67" s="20" t="str">
        <x:v>Vigencias documentales</x:v>
      </x:c>
      <x:c r="M67" s="20" t="str">
        <x:v>Base sólida</x:v>
      </x:c>
      <x:c r="N67" s="20" t="str">
        <x:v>Ninguna conceptual.</x:v>
      </x:c>
      <x:c r="O67" s="20" t="str">
        <x:v>Necesaria para evaluar habilitación históricamente.</x:v>
      </x:c>
      <x:c r="P67" s="20" t="str">
        <x:v>Catálogo previo + análisis</x:v>
      </x:c>
    </x:row>
    <x:row r="68">
      <x:c r="A68" s="20" t="str">
        <x:v>V0-067</x:v>
      </x:c>
      <x:c r="B68" s="20" t="str">
        <x:v>Control documental</x:v>
      </x:c>
      <x:c r="C68" s="20" t="str">
        <x:v>habilitacion_vigencia_hasta</x:v>
      </x:c>
      <x:c r="D68" s="20" t="str">
        <x:v>Fin de vigencia del cumplimiento/documento habilitante.</x:v>
      </x:c>
      <x:c r="E68" s="20" t="str">
        <x:v>DocumentoHabilitante</x:v>
      </x:c>
      <x:c r="F68" s="20" t="str">
        <x:v>Control documental</x:v>
      </x:c>
      <x:c r="G68" s="20" t="str">
        <x:v>Fecha</x:v>
      </x:c>
      <x:c r="H68" s="20" t="str">
        <x:v>Gestión documental</x:v>
      </x:c>
      <x:c r="I68" s="20" t="str">
        <x:v>Heredado</x:v>
      </x:c>
      <x:c r="J68" s="20" t="str">
        <x:v>No</x:v>
      </x:c>
      <x:c r="K68" s="20" t="str">
        <x:v>Referencia</x:v>
      </x:c>
      <x:c r="L68" s="20" t="str">
        <x:v>Vencimientos documentales</x:v>
      </x:c>
      <x:c r="M68" s="20" t="str">
        <x:v>Base sólida</x:v>
      </x:c>
      <x:c r="N68" s="20" t="str">
        <x:v>Definir requisitos sin vencimiento.</x:v>
      </x:c>
      <x:c r="O68" s="20" t="str">
        <x:v>La alerta debe considerar fecha de ejecución, no solo 'hoy'.</x:v>
      </x:c>
      <x:c r="P68" s="20" t="str">
        <x:v>Catálogo previo + análisis</x:v>
      </x:c>
    </x:row>
    <x:row r="69">
      <x:c r="A69" s="20" t="str">
        <x:v>V0-068</x:v>
      </x:c>
      <x:c r="B69" s="20" t="str">
        <x:v>Control documental</x:v>
      </x:c>
      <x:c r="C69" s="20" t="str">
        <x:v>estado_habilitacion</x:v>
      </x:c>
      <x:c r="D69" s="20" t="str">
        <x:v>Estado vigente derivado del requisito/documentación: habilitado, próximo a vencer, vencido, faltante, etc.</x:v>
      </x:c>
      <x:c r="E69" s="20" t="str">
        <x:v>DocumentoHabilitante/Requisito</x:v>
      </x:c>
      <x:c r="F69" s="20" t="str">
        <x:v>Control documental</x:v>
      </x:c>
      <x:c r="G69" s="20" t="str">
        <x:v>Estado calculado</x:v>
      </x:c>
      <x:c r="H69" s="20" t="str">
        <x:v>Sistema</x:v>
      </x:c>
      <x:c r="I69" s="20" t="str">
        <x:v>Calculado</x:v>
      </x:c>
      <x:c r="J69" s="20" t="str">
        <x:v>No</x:v>
      </x:c>
      <x:c r="K69" s="20" t="str">
        <x:v>Referencia</x:v>
      </x:c>
      <x:c r="L69" s="20" t="str">
        <x:v>vigente / vence pronto / vencido</x:v>
      </x:c>
      <x:c r="M69" s="20" t="str">
        <x:v>Base sólida</x:v>
      </x:c>
      <x:c r="N69" s="20" t="str">
        <x:v>Configurar estados y umbrales por requisito.</x:v>
      </x:c>
      <x:c r="O69" s="20" t="str">
        <x:v>No usar solo color; estado + motivo deben ser explícitos.</x:v>
      </x:c>
      <x:c r="P69" s="20" t="str">
        <x:v>Catálogo previo</x:v>
      </x:c>
    </x:row>
    <x:row r="70">
      <x:c r="A70" s="20" t="str">
        <x:v>V0-069</x:v>
      </x:c>
      <x:c r="B70" s="20" t="str">
        <x:v>Control documental</x:v>
      </x:c>
      <x:c r="C70" s="20" t="str">
        <x:v>evaluacion_habilitacion_id</x:v>
      </x:c>
      <x:c r="D70" s="20" t="str">
        <x:v>Snapshot auditable de la evaluación de habilitación para una planificación/inicio de Parte.</x:v>
      </x:c>
      <x:c r="E70" s="20" t="str">
        <x:v>EvaluacionHabilitacion</x:v>
      </x:c>
      <x:c r="F70" s="20" t="str">
        <x:v>Gate transversal</x:v>
      </x:c>
      <x:c r="G70" s="20" t="str">
        <x:v>Entidad/evento</x:v>
      </x:c>
      <x:c r="H70" s="20" t="str">
        <x:v>Sistema</x:v>
      </x:c>
      <x:c r="I70" s="20" t="str">
        <x:v>Generado automático</x:v>
      </x:c>
      <x:c r="J70" s="20" t="str">
        <x:v>No</x:v>
      </x:c>
      <x:c r="K70" s="20" t="str">
        <x:v>Core</x:v>
      </x:c>
      <x:c r="L70" s="20" t="str">
        <x:v>Chequeo previo y chequeo al inicio</x:v>
      </x:c>
      <x:c r="M70" s="20" t="str">
        <x:v>Base sólida</x:v>
      </x:c>
      <x:c r="N70" s="20" t="str">
        <x:v>Definir granularidad: persona/recurso/Parte/unidad.</x:v>
      </x:c>
      <x:c r="O70" s="20" t="str">
        <x:v>Preserva qué se verificó y con qué resultado en ese momento.</x:v>
      </x:c>
      <x:c r="P70" s="20" t="str">
        <x:v>Requisito usuario 30/09 + análisis</x:v>
      </x:c>
    </x:row>
    <x:row r="71">
      <x:c r="A71" s="20" t="str">
        <x:v>V0-070</x:v>
      </x:c>
      <x:c r="B71" s="20" t="str">
        <x:v>Control documental</x:v>
      </x:c>
      <x:c r="C71" s="20" t="str">
        <x:v>resultado_evaluacion_habilitacion</x:v>
      </x:c>
      <x:c r="D71" s="20" t="str">
        <x:v>Resultado de la evaluación: habilita, advierte o bloquea, con razones trazables.</x:v>
      </x:c>
      <x:c r="E71" s="20" t="str">
        <x:v>EvaluacionHabilitacion</x:v>
      </x:c>
      <x:c r="F71" s="20" t="str">
        <x:v>Gate transversal</x:v>
      </x:c>
      <x:c r="G71" s="20" t="str">
        <x:v>Resultado calculado</x:v>
      </x:c>
      <x:c r="H71" s="20" t="str">
        <x:v>Sistema</x:v>
      </x:c>
      <x:c r="I71" s="20" t="str">
        <x:v>Calculado</x:v>
      </x:c>
      <x:c r="J71" s="20" t="str">
        <x:v>No</x:v>
      </x:c>
      <x:c r="K71" s="20" t="str">
        <x:v>Core</x:v>
      </x:c>
      <x:c r="L71" s="20" t="str">
        <x:v>Alertas de habilitación</x:v>
      </x:c>
      <x:c r="M71" s="20" t="str">
        <x:v>Base sólida</x:v>
      </x:c>
      <x:c r="N71" s="20" t="str">
        <x:v>Definir reglas de combinación cuando hay múltiples requisitos.</x:v>
      </x:c>
      <x:c r="O71" s="20" t="str">
        <x:v>Debe poder mostrar exactamente qué requisito falla.</x:v>
      </x:c>
      <x:c r="P71" s="20" t="str">
        <x:v>Requisito usuario 30/09</x:v>
      </x:c>
    </x:row>
    <x:row r="72">
      <x:c r="A72" s="20" t="str">
        <x:v>V0-071</x:v>
      </x:c>
      <x:c r="B72" s="20" t="str">
        <x:v>Control documental</x:v>
      </x:c>
      <x:c r="C72" s="20" t="str">
        <x:v>severidad_alerta_habilitacion</x:v>
      </x:c>
      <x:c r="D72" s="20" t="str">
        <x:v>Nivel de acción asociado al resultado: informativo, advertencia/override o bloqueo.</x:v>
      </x:c>
      <x:c r="E72" s="20" t="str">
        <x:v>EvaluacionHabilitacion</x:v>
      </x:c>
      <x:c r="F72" s="20" t="str">
        <x:v>Gate transversal</x:v>
      </x:c>
      <x:c r="G72" s="20" t="str">
        <x:v>Catálogo/regla</x:v>
      </x:c>
      <x:c r="H72" s="20" t="str">
        <x:v>Configuración</x:v>
      </x:c>
      <x:c r="I72" s="20" t="str">
        <x:v>Derivado</x:v>
      </x:c>
      <x:c r="J72" s="20" t="str">
        <x:v>No</x:v>
      </x:c>
      <x:c r="K72" s="20" t="str">
        <x:v>Core</x:v>
      </x:c>
      <x:c r="L72" s="20" t="str">
        <x:v>Anticipación: informativo / aviso / bloqueo</x:v>
      </x:c>
      <x:c r="M72" s="20" t="str">
        <x:v>Base sólida</x:v>
      </x:c>
      <x:c r="N72" s="20" t="str">
        <x:v>Definir quién puede hacer override y cómo se audita.</x:v>
      </x:c>
      <x:c r="O72" s="20" t="str">
        <x:v>Los umbrales deben ser configurables por requisito.</x:v>
      </x:c>
      <x:c r="P72" s="20" t="str">
        <x:v>Arquitectura previa + requisito usuario 30/09</x:v>
      </x:c>
    </x:row>
    <x:row r="73">
      <x:c r="A73" s="20" t="str">
        <x:v>V0-072</x:v>
      </x:c>
      <x:c r="B73" s="20" t="str">
        <x:v>Permiso de trabajo</x:v>
      </x:c>
      <x:c r="C73" s="20" t="str">
        <x:v>permiso_trabajo_id</x:v>
      </x:c>
      <x:c r="D73" s="20" t="str">
        <x:v>Identificador de un permiso de trabajo relacionado con una ejecución y requerido antes de comenzar cuando aplique.</x:v>
      </x:c>
      <x:c r="E73" s="20" t="str">
        <x:v>PermisoTrabajo</x:v>
      </x:c>
      <x:c r="F73" s="20" t="str">
        <x:v>Gate de seguridad</x:v>
      </x:c>
      <x:c r="G73" s="20" t="str">
        <x:v>Identificador/relación</x:v>
      </x:c>
      <x:c r="H73" s="20" t="str">
        <x:v>Sistema / seguridad</x:v>
      </x:c>
      <x:c r="I73" s="20" t="str">
        <x:v>Heredado/creado</x:v>
      </x:c>
      <x:c r="J73" s="20" t="str">
        <x:v>Condicional</x:v>
      </x:c>
      <x:c r="K73" s="20" t="str">
        <x:v>Condicional</x:v>
      </x:c>
      <x:c r="L73" s="20" t="str">
        <x:v>Permiso de trabajo</x:v>
      </x:c>
      <x:c r="M73" s="20" t="str">
        <x:v>Base sólida</x:v>
      </x:c>
      <x:c r="N73" s="20" t="str">
        <x:v>Definir cardinalidad Parte/Unidad↔Permiso.</x:v>
      </x:c>
      <x:c r="O73" s="20" t="str">
        <x:v>No es una evidencia posterior: es una autorización previa de contexto seguro.</x:v>
      </x:c>
      <x:c r="P73" s="20" t="str">
        <x:v>Respuesta operación 7</x:v>
      </x:c>
    </x:row>
    <x:row r="74">
      <x:c r="A74" s="20" t="str">
        <x:v>V0-073</x:v>
      </x:c>
      <x:c r="B74" s="20" t="str">
        <x:v>Permiso de trabajo</x:v>
      </x:c>
      <x:c r="C74" s="20" t="str">
        <x:v>tipo_permiso_trabajo_id</x:v>
      </x:c>
      <x:c r="D74" s="20" t="str">
        <x:v>Tipo de permiso/requisito de seguridad aplicable a la tarea.</x:v>
      </x:c>
      <x:c r="E74" s="20" t="str">
        <x:v>PermisoTrabajo</x:v>
      </x:c>
      <x:c r="F74" s="20" t="str">
        <x:v>Gate de seguridad</x:v>
      </x:c>
      <x:c r="G74" s="20" t="str">
        <x:v>Catálogo</x:v>
      </x:c>
      <x:c r="H74" s="20" t="str">
        <x:v>Seguridad / servicio</x:v>
      </x:c>
      <x:c r="I74" s="20" t="str">
        <x:v>Derivado</x:v>
      </x:c>
      <x:c r="J74" s="20" t="str">
        <x:v>No</x:v>
      </x:c>
      <x:c r="K74" s="20" t="str">
        <x:v>Condicional</x:v>
      </x:c>
      <x:c r="L74" s="20" t="str">
        <x:v>Medición de gases, condición climática u otros controles previos</x:v>
      </x:c>
      <x:c r="M74" s="20" t="str">
        <x:v>Provisional</x:v>
      </x:c>
      <x:c r="N74" s="20" t="str">
        <x:v>Cerrar tipos reales con Seguridad/Operaciones.</x:v>
      </x:c>
      <x:c r="O74" s="20" t="str">
        <x:v>El servicio/tarea debería determinar los permisos elegibles.</x:v>
      </x:c>
      <x:c r="P74" s="20" t="str">
        <x:v>Respuesta operación 7</x:v>
      </x:c>
    </x:row>
    <x:row r="75">
      <x:c r="A75" s="20" t="str">
        <x:v>V0-074</x:v>
      </x:c>
      <x:c r="B75" s="20" t="str">
        <x:v>Permiso de trabajo</x:v>
      </x:c>
      <x:c r="C75" s="20" t="str">
        <x:v>estado_permiso_trabajo</x:v>
      </x:c>
      <x:c r="D75" s="20" t="str">
        <x:v>Estado del permiso: pendiente, habilitado/abierto, cerrado, rechazado u otros.</x:v>
      </x:c>
      <x:c r="E75" s="20" t="str">
        <x:v>PermisoTrabajo</x:v>
      </x:c>
      <x:c r="F75" s="20" t="str">
        <x:v>Gate de seguridad</x:v>
      </x:c>
      <x:c r="G75" s="20" t="str">
        <x:v>Estado</x:v>
      </x:c>
      <x:c r="H75" s="20" t="str">
        <x:v>Sistema</x:v>
      </x:c>
      <x:c r="I75" s="20" t="str">
        <x:v>Calculado/persistido</x:v>
      </x:c>
      <x:c r="J75" s="20" t="str">
        <x:v>No</x:v>
      </x:c>
      <x:c r="K75" s="20" t="str">
        <x:v>Condicional</x:v>
      </x:c>
      <x:c r="L75" s="20" t="str">
        <x:v>Permiso ejecutado, validado y cerrado</x:v>
      </x:c>
      <x:c r="M75" s="20" t="str">
        <x:v>Base sólida</x:v>
      </x:c>
      <x:c r="N75" s="20" t="str">
        <x:v>Cerrar estados y transiciones.</x:v>
      </x:c>
      <x:c r="O75" s="20" t="str">
        <x:v>Si el permiso obligatorio no está habilitado, la tarea no puede iniciar.</x:v>
      </x:c>
      <x:c r="P75" s="20" t="str">
        <x:v>Respuesta operación 7</x:v>
      </x:c>
    </x:row>
    <x:row r="76">
      <x:c r="A76" s="20" t="str">
        <x:v>V0-075</x:v>
      </x:c>
      <x:c r="B76" s="20" t="str">
        <x:v>Permiso de trabajo</x:v>
      </x:c>
      <x:c r="C76" s="20" t="str">
        <x:v>permiso_apertura_at</x:v>
      </x:c>
      <x:c r="D76" s="20" t="str">
        <x:v>Fecha-hora en que el permiso quedó habilitado/abierto.</x:v>
      </x:c>
      <x:c r="E76" s="20" t="str">
        <x:v>PermisoTrabajo</x:v>
      </x:c>
      <x:c r="F76" s="20" t="str">
        <x:v>Gate de seguridad</x:v>
      </x:c>
      <x:c r="G76" s="20" t="str">
        <x:v>Timestamp</x:v>
      </x:c>
      <x:c r="H76" s="20" t="str">
        <x:v>Sistema</x:v>
      </x:c>
      <x:c r="I76" s="20" t="str">
        <x:v>Automático</x:v>
      </x:c>
      <x:c r="J76" s="20" t="str">
        <x:v>No</x:v>
      </x:c>
      <x:c r="K76" s="20" t="str">
        <x:v>Condicional</x:v>
      </x:c>
      <x:c r="L76" s="20" t="str">
        <x:v>Aprobación previa</x:v>
      </x:c>
      <x:c r="M76" s="20" t="str">
        <x:v>Base sólida</x:v>
      </x:c>
      <x:c r="N76" s="20" t="str">
        <x:v>Ninguna conceptual.</x:v>
      </x:c>
      <x:c r="O76" s="20" t="str">
        <x:v>Permite demostrar secuencia permiso→ejecución.</x:v>
      </x:c>
      <x:c r="P76" s="20" t="str">
        <x:v>Respuesta operación 7</x:v>
      </x:c>
    </x:row>
    <x:row r="77">
      <x:c r="A77" s="20" t="str">
        <x:v>V0-076</x:v>
      </x:c>
      <x:c r="B77" s="20" t="str">
        <x:v>Permiso de trabajo</x:v>
      </x:c>
      <x:c r="C77" s="20" t="str">
        <x:v>permiso_cierre_at</x:v>
      </x:c>
      <x:c r="D77" s="20" t="str">
        <x:v>Fecha-hora en que el permiso fue cerrado por el responsable correspondiente.</x:v>
      </x:c>
      <x:c r="E77" s="20" t="str">
        <x:v>PermisoTrabajo</x:v>
      </x:c>
      <x:c r="F77" s="20" t="str">
        <x:v>Gate de seguridad</x:v>
      </x:c>
      <x:c r="G77" s="20" t="str">
        <x:v>Timestamp</x:v>
      </x:c>
      <x:c r="H77" s="20" t="str">
        <x:v>Sistema</x:v>
      </x:c>
      <x:c r="I77" s="20" t="str">
        <x:v>Automático</x:v>
      </x:c>
      <x:c r="J77" s="20" t="str">
        <x:v>No</x:v>
      </x:c>
      <x:c r="K77" s="20" t="str">
        <x:v>Condicional</x:v>
      </x:c>
      <x:c r="L77" s="20" t="str">
        <x:v>Cierre firmado por supervisor</x:v>
      </x:c>
      <x:c r="M77" s="20" t="str">
        <x:v>Base sólida</x:v>
      </x:c>
      <x:c r="N77" s="20" t="str">
        <x:v>Definir evidencia/actor del cierre.</x:v>
      </x:c>
      <x:c r="O77" s="20" t="str">
        <x:v>Todos los permisos abiertos deben cerrar según la respuesta operativa.</x:v>
      </x:c>
      <x:c r="P77" s="20" t="str">
        <x:v>Respuesta operación 7</x:v>
      </x:c>
    </x:row>
    <x:row r="78">
      <x:c r="A78" s="20" t="str">
        <x:v>V0-077</x:v>
      </x:c>
      <x:c r="B78" s="20" t="str">
        <x:v>Contratos</x:v>
      </x:c>
      <x:c r="C78" s="20" t="str">
        <x:v>tipo_contrato_id</x:v>
      </x:c>
      <x:c r="D78" s="20" t="str">
        <x:v>Tipo contractual que determina cómo debe demostrarse/medirse la ejecución para su posterior certificación.</x:v>
      </x:c>
      <x:c r="E78" s="20" t="str">
        <x:v>Contrato</x:v>
      </x:c>
      <x:c r="F78" s="20" t="str">
        <x:v>Interfaz contractual</x:v>
      </x:c>
      <x:c r="G78" s="20" t="str">
        <x:v>Relación catálogo</x:v>
      </x:c>
      <x:c r="H78" s="20" t="str">
        <x:v>Catálogo contractual</x:v>
      </x:c>
      <x:c r="I78" s="20" t="str">
        <x:v>Heredado/derivado</x:v>
      </x:c>
      <x:c r="J78" s="20" t="str">
        <x:v>No</x:v>
      </x:c>
      <x:c r="K78" s="20" t="str">
        <x:v>Referencia</x:v>
      </x:c>
      <x:c r="L78" s="20" t="str">
        <x:v>Indemnizado; mensualizado; On Call</x:v>
      </x:c>
      <x:c r="M78" s="20" t="str">
        <x:v>Base sólida</x:v>
      </x:c>
      <x:c r="N78" s="20" t="str">
        <x:v>Validar definiciones y variantes contractuales reales.</x:v>
      </x:c>
      <x:c r="O78" s="20" t="str">
        <x:v>El tipo de contrato condiciona captura, pero no convierte Facturación en parte del núcleo.</x:v>
      </x:c>
      <x:c r="P78" s="20" t="str">
        <x:v>Respuestas operación 9-10</x:v>
      </x:c>
    </x:row>
    <x:row r="79">
      <x:c r="A79" s="20" t="str">
        <x:v>V0-078</x:v>
      </x:c>
      <x:c r="B79" s="20" t="str">
        <x:v>Contratos</x:v>
      </x:c>
      <x:c r="C79" s="20" t="str">
        <x:v>item_contrato_id</x:v>
      </x:c>
      <x:c r="D79" s="20" t="str">
        <x:v>Ítem/posición contractual aplicable a una unidad de ejecución, con su unidad y regla de medición.</x:v>
      </x:c>
      <x:c r="E79" s="20" t="str">
        <x:v>ItemContrato</x:v>
      </x:c>
      <x:c r="F79" s="20" t="str">
        <x:v>Interfaz contractual</x:v>
      </x:c>
      <x:c r="G79" s="20" t="str">
        <x:v>Relación</x:v>
      </x:c>
      <x:c r="H79" s="20" t="str">
        <x:v>Motor contractual</x:v>
      </x:c>
      <x:c r="I79" s="20" t="str">
        <x:v>Derivado</x:v>
      </x:c>
      <x:c r="J79" s="20" t="str">
        <x:v>No</x:v>
      </x:c>
      <x:c r="K79" s="20" t="str">
        <x:v>Condicional</x:v>
      </x:c>
      <x:c r="L79" s="20" t="str">
        <x:v>Posición contrato; unidad de medida por ítem</x:v>
      </x:c>
      <x:c r="M79" s="20" t="str">
        <x:v>Base sólida</x:v>
      </x:c>
      <x:c r="N79" s="20" t="str">
        <x:v>Validar unicidad Servicio→Contrato/Ítem por cliente y vigencia.</x:v>
      </x:c>
      <x:c r="O79" s="20" t="str">
        <x:v>La relación debe vivir a granularidad de ejecución/imputación, no forzar split global.</x:v>
      </x:c>
      <x:c r="P79" s="20" t="str">
        <x:v>Respuestas operación 8-10</x:v>
      </x:c>
    </x:row>
    <x:row r="80">
      <x:c r="A80" s="20" t="str">
        <x:v>V0-079</x:v>
      </x:c>
      <x:c r="B80" s="20" t="str">
        <x:v>Contratos</x:v>
      </x:c>
      <x:c r="C80" s="20" t="str">
        <x:v>imputacion_ejecucion_id</x:v>
      </x:c>
      <x:c r="D80" s="20" t="str">
        <x:v>Relación que asigna una unidad de ejecución a su obra/centro/ítem de imputación correspondiente.</x:v>
      </x:c>
      <x:c r="E80" s="20" t="str">
        <x:v>ImputacionEjecucion</x:v>
      </x:c>
      <x:c r="F80" s="20" t="str">
        <x:v>Interfaz contractual/administrativa</x:v>
      </x:c>
      <x:c r="G80" s="20" t="str">
        <x:v>Relación transaccional</x:v>
      </x:c>
      <x:c r="H80" s="20" t="str">
        <x:v>Planificación / motor contractual / campo excepcional</x:v>
      </x:c>
      <x:c r="I80" s="20" t="str">
        <x:v>Heredado/derivado + excepción</x:v>
      </x:c>
      <x:c r="J80" s="20" t="str">
        <x:v>Condicional</x:v>
      </x:c>
      <x:c r="K80" s="20" t="str">
        <x:v>Condicional</x:v>
      </x:c>
      <x:c r="L80" s="20" t="str">
        <x:v>Imputación particular por obra; centro de costo global</x:v>
      </x:c>
      <x:c r="M80" s="20" t="str">
        <x:v>Base sólida</x:v>
      </x:c>
      <x:c r="N80" s="20" t="str">
        <x:v>Definir si una unidad puede tener más de una imputación simultánea.</x:v>
      </x:c>
      <x:c r="O80" s="20" t="str">
        <x:v>Permite un Parte con varias imputaciones sin dividirlo automáticamente.</x:v>
      </x:c>
      <x:c r="P80" s="20" t="str">
        <x:v>Respuesta operación 8</x:v>
      </x:c>
    </x:row>
    <x:row r="81">
      <x:c r="A81" s="20" t="str">
        <x:v>V0-080</x:v>
      </x:c>
      <x:c r="B81" s="20" t="str">
        <x:v>Contratos</x:v>
      </x:c>
      <x:c r="C81" s="20" t="str">
        <x:v>regla_medicion_item_id</x:v>
      </x:c>
      <x:c r="D81" s="20" t="str">
        <x:v>Regla que determina qué magnitud/unidad/evidencia debe capturarse para un ítem contractual.</x:v>
      </x:c>
      <x:c r="E81" s="20" t="str">
        <x:v>ItemContrato</x:v>
      </x:c>
      <x:c r="F81" s="20" t="str">
        <x:v>Interfaz contractual</x:v>
      </x:c>
      <x:c r="G81" s="20" t="str">
        <x:v>Regla</x:v>
      </x:c>
      <x:c r="H81" s="20" t="str">
        <x:v>Catálogo contractual</x:v>
      </x:c>
      <x:c r="I81" s="20" t="str">
        <x:v>Derivado</x:v>
      </x:c>
      <x:c r="J81" s="20" t="str">
        <x:v>No</x:v>
      </x:c>
      <x:c r="K81" s="20" t="str">
        <x:v>Condicional</x:v>
      </x:c>
      <x:c r="L81" s="20" t="str">
        <x:v>hora; m3; pulgadas; registro; tarea puntual</x:v>
      </x:c>
      <x:c r="M81" s="20" t="str">
        <x:v>Base sólida</x:v>
      </x:c>
      <x:c r="N81" s="20" t="str">
        <x:v>Cerrar catálogo de reglas por tipo contractual/ítem.</x:v>
      </x:c>
      <x:c r="O81" s="20" t="str">
        <x:v>Debe activar dinámicamente mediciones requeridas en campo.</x:v>
      </x:c>
      <x:c r="P81" s="20" t="str">
        <x:v>Respuestas operación 9-10</x:v>
      </x:c>
    </x:row>
    <x:row r="82">
      <x:c r="A82" s="20" t="str">
        <x:v>V0-081</x:v>
      </x:c>
      <x:c r="B82" s="20" t="str">
        <x:v>Eventos operativos</x:v>
      </x:c>
      <x:c r="C82" s="20" t="str">
        <x:v>evento_operativo_id</x:v>
      </x:c>
      <x:c r="D82" s="20" t="str">
        <x:v>Evento estructurado que registra un desvío/cambio relevante respecto de la ejecución prevista.</x:v>
      </x:c>
      <x:c r="E82" s="20" t="str">
        <x:v>EventoOperativo</x:v>
      </x:c>
      <x:c r="F82" s="20" t="str">
        <x:v>Trazabilidad</x:v>
      </x:c>
      <x:c r="G82" s="20" t="str">
        <x:v>Identificador/evento</x:v>
      </x:c>
      <x:c r="H82" s="20" t="str">
        <x:v>Sistema</x:v>
      </x:c>
      <x:c r="I82" s="20" t="str">
        <x:v>Generado automático</x:v>
      </x:c>
      <x:c r="J82" s="20" t="str">
        <x:v>No</x:v>
      </x:c>
      <x:c r="K82" s="20" t="str">
        <x:v>Condicional</x:v>
      </x:c>
      <x:c r="L82" s="20" t="str">
        <x:v>Cambio ubicación/equipo/personal; adicional; no realizado; espera; contingencia; extensión</x:v>
      </x:c>
      <x:c r="M82" s="20" t="str">
        <x:v>Base sólida</x:v>
      </x:c>
      <x:c r="N82" s="20" t="str">
        <x:v>Definir qué eventos requieren datos antes/después.</x:v>
      </x:c>
      <x:c r="O82" s="20" t="str">
        <x:v>No convertir cada desvío en una columna booleana.</x:v>
      </x:c>
      <x:c r="P82" s="20" t="str">
        <x:v>Respuesta operación 4</x:v>
      </x:c>
    </x:row>
    <x:row r="83">
      <x:c r="A83" s="20" t="str">
        <x:v>V0-082</x:v>
      </x:c>
      <x:c r="B83" s="20" t="str">
        <x:v>Eventos operativos</x:v>
      </x:c>
      <x:c r="C83" s="20" t="str">
        <x:v>tipo_evento_operativo_id</x:v>
      </x:c>
      <x:c r="D83" s="20" t="str">
        <x:v>Clasificación controlada del evento/desvío operacional.</x:v>
      </x:c>
      <x:c r="E83" s="20" t="str">
        <x:v>EventoOperativo</x:v>
      </x:c>
      <x:c r="F83" s="20" t="str">
        <x:v>Trazabilidad</x:v>
      </x:c>
      <x:c r="G83" s="20" t="str">
        <x:v>Catálogo</x:v>
      </x:c>
      <x:c r="H83" s="20" t="str">
        <x:v>Catálogo maestro</x:v>
      </x:c>
      <x:c r="I83" s="20" t="str">
        <x:v>Derivado/selección</x:v>
      </x:c>
      <x:c r="J83" s="20" t="str">
        <x:v>Condicional</x:v>
      </x:c>
      <x:c r="K83" s="20" t="str">
        <x:v>Condicional</x:v>
      </x:c>
      <x:c r="L83" s="20" t="str">
        <x:v>Desvíos frecuentes</x:v>
      </x:c>
      <x:c r="M83" s="20" t="str">
        <x:v>Provisional</x:v>
      </x:c>
      <x:c r="N83" s="20" t="str">
        <x:v>Cerrar catálogo inicial y relación con reglas de corte.</x:v>
      </x:c>
      <x:c r="O83" s="20" t="str">
        <x:v>Algunos tipos pueden disparar un nuevo Parte según TipoParte.</x:v>
      </x:c>
      <x:c r="P83" s="20" t="str">
        <x:v>Respuesta operación 4</x:v>
      </x:c>
    </x:row>
    <x:row r="84">
      <x:c r="A84" s="20" t="str">
        <x:v>V0-083</x:v>
      </x:c>
      <x:c r="B84" s="20" t="str">
        <x:v>Eventos operativos</x:v>
      </x:c>
      <x:c r="C84" s="20" t="str">
        <x:v>evento_operativo_at</x:v>
      </x:c>
      <x:c r="D84" s="20" t="str">
        <x:v>Fecha-hora exacta del evento/desvío.</x:v>
      </x:c>
      <x:c r="E84" s="20" t="str">
        <x:v>EventoOperativo</x:v>
      </x:c>
      <x:c r="F84" s="20" t="str">
        <x:v>Trazabilidad</x:v>
      </x:c>
      <x:c r="G84" s="20" t="str">
        <x:v>Timestamp</x:v>
      </x:c>
      <x:c r="H84" s="20" t="str">
        <x:v>Sistema/dispositivo</x:v>
      </x:c>
      <x:c r="I84" s="20" t="str">
        <x:v>Automático</x:v>
      </x:c>
      <x:c r="J84" s="20" t="str">
        <x:v>No</x:v>
      </x:c>
      <x:c r="K84" s="20" t="str">
        <x:v>Condicional</x:v>
      </x:c>
      <x:c r="L84" s="20" t="str">
        <x:v>Cambios durante jornada</x:v>
      </x:c>
      <x:c r="M84" s="20" t="str">
        <x:v>Base sólida</x:v>
      </x:c>
      <x:c r="N84" s="20" t="str">
        <x:v>Ninguna conceptual.</x:v>
      </x:c>
      <x:c r="O84" s="20" t="str">
        <x:v>Permite reconstruir secuencia de operación y replanificación.</x:v>
      </x:c>
      <x:c r="P84" s="20" t="str">
        <x:v>Respuesta operación 3-6</x:v>
      </x:c>
    </x:row>
    <x:row r="85">
      <x:c r="A85" t="str">
        <x:v>V0-084</x:v>
      </x:c>
      <x:c r="B85" t="str">
        <x:v>Tiempo</x:v>
      </x:c>
      <x:c r="C85" t="str">
        <x:v>turno_operativo_id</x:v>
      </x:c>
      <x:c r="D85" t="str">
        <x:v>Turno operativo al que pertenece una ejecución/Parte cuando el TipoParte usa el turno como frontera de agrupación.</x:v>
      </x:c>
      <x:c r="E85" t="str">
        <x:v>Turno</x:v>
      </x:c>
      <x:c r="F85" t="str">
        <x:v>Núcleo Parte / referencia de Planificación</x:v>
      </x:c>
      <x:c r="G85" t="str">
        <x:v>Relación a catálogo</x:v>
      </x:c>
      <x:c r="H85" t="str">
        <x:v>Planificación / catálogo de turnos</x:v>
      </x:c>
      <x:c r="I85" t="str">
        <x:v>Heredado/derivado</x:v>
      </x:c>
      <x:c r="J85" t="str">
        <x:v>No</x:v>
      </x:c>
      <x:c r="K85" t="str">
        <x:v>Core para TP-03 / condicional otros</x:v>
      </x:c>
      <x:c r="L85" t="str">
        <x:v>Turno (T5); cambio de turno reportado en operación</x:v>
      </x:c>
      <x:c r="M85" t="str">
        <x:v>Base sólida inicial</x:v>
      </x:c>
      <x:c r="N85" t="str">
        <x:v>Definir catálogo real de turnos, horarios, extensiones y tratamiento de solapamientos.</x:v>
      </x:c>
      <x:c r="O85" t="str">
        <x:v>En TP-03 el cambio de turno funciona como regla de corte; no debe capturarse como texto libre repetido.</x:v>
      </x:c>
      <x:c r="P85" t="str">
        <x:v>T5 + respuestas operación 1, 5 y 6</x:v>
      </x:c>
    </x:row>
    <x:row r="86" ht="58" customHeight="1">
      <x:c r="A86" s="20" t="str">
        <x:v>V0-085</x:v>
      </x:c>
      <x:c r="B86" s="20" t="str">
        <x:v>Recursos</x:v>
      </x:c>
      <x:c r="C86" s="20" t="str">
        <x:v>rol_recurso_ejecucion_id</x:v>
      </x:c>
      <x:c r="D86" s="20" t="str">
        <x:v>Rol funcional que cumple un recurso dentro de un Parte/unidad: recurso principal, tractor/camión, acoplado/semi, apoyo, equipo adicional u otro rol configurado.</x:v>
      </x:c>
      <x:c r="E86" s="20" t="str">
        <x:v>AsignacionRecursoEjecucion</x:v>
      </x:c>
      <x:c r="F86" s="20" t="str">
        <x:v>Núcleo Parte / configuración por TipoParte</x:v>
      </x:c>
      <x:c r="G86" s="20" t="str">
        <x:v>Relación + catálogo de rol</x:v>
      </x:c>
      <x:c r="H86" s="20" t="str">
        <x:v>TipoParte / Servicio / Planificación</x:v>
      </x:c>
      <x:c r="I86" s="20" t="str">
        <x:v>Derivado o heredado; excepción controlada</x:v>
      </x:c>
      <x:c r="J86" s="20" t="str">
        <x:v>Confirmación/excepción</x:v>
      </x:c>
      <x:c r="K86" s="20" t="str">
        <x:v>Core/Condicional</x:v>
      </x:c>
      <x:c r="L86" s="20" t="str">
        <x:v>Camión N°; Acoplado / Semi N°; equipo adicional; recursos afectados</x:v>
      </x:c>
      <x:c r="M86" s="20" t="str">
        <x:v>Base sólida inicial</x:v>
      </x:c>
      <x:c r="N86" s="20" t="str">
        <x:v>Cerrar catálogo de roles y qué cambios de rol/recurso disparan corte por TipoParte.</x:v>
      </x:c>
      <x:c r="O86" s="20" t="str">
        <x:v>Distingue tipo físico del recurso de la función que cumple en una ejecución; clave para TP-02.</x:v>
      </x:c>
      <x:c r="P86" s="20" t="str">
        <x:v>T4 + respuestas operación 1 y 6 + análisis TP-02</x:v>
      </x:c>
    </x:row>
    <x:row r="87" ht="62" customHeight="1">
      <x:c r="A87" s="20" t="str">
        <x:v>V0-086</x:v>
      </x:c>
      <x:c r="B87" s="20" t="str">
        <x:v>Contratos</x:v>
      </x:c>
      <x:c r="C87" s="20" t="str">
        <x:v>contrato_version_id</x:v>
      </x:c>
      <x:c r="D87" s="20" t="str">
        <x:v>Versión/vigencia de un Contrato cuyas reglas pueden cambiar en el tiempo sin alterar la identidad histórica del acuerdo.</x:v>
      </x:c>
      <x:c r="E87" s="20" t="str">
        <x:v>ContratoVersion</x:v>
      </x:c>
      <x:c r="F87" s="20" t="str">
        <x:v>Capa maestra contractual</x:v>
      </x:c>
      <x:c r="G87" s="20" t="str">
        <x:v>Relación/versionado</x:v>
      </x:c>
      <x:c r="H87" s="20" t="str">
        <x:v>Contrato / gestión contractual</x:v>
      </x:c>
      <x:c r="I87" s="20" t="str">
        <x:v>Heredado</x:v>
      </x:c>
      <x:c r="J87" s="20" t="str">
        <x:v>No</x:v>
      </x:c>
      <x:c r="K87" s="20" t="str">
        <x:v>Referencia</x:v>
      </x:c>
      <x:c r="L87" s="20" t="str">
        <x:v>No explícito en archivos actuales</x:v>
      </x:c>
      <x:c r="M87" s="20" t="str">
        <x:v>Necesario por diseño</x:v>
      </x:c>
      <x:c r="N87" s="20" t="str">
        <x:v>Recibir contratos específicos, fechas de vigencia y adendas.</x:v>
      </x:c>
      <x:c r="O87" s="20" t="str">
        <x:v>Permite reconstruir qué reglas aplicaban cuando se planificó/ejecutó/certificó.</x:v>
      </x:c>
      <x:c r="P87" s="20" t="str">
        <x:v>Inferencia de arquitectura; pendiente fuente contractual</x:v>
      </x:c>
    </x:row>
    <x:row r="88" ht="62" customHeight="1">
      <x:c r="A88" s="20" t="str">
        <x:v>V0-087</x:v>
      </x:c>
      <x:c r="B88" s="20" t="str">
        <x:v>Contratos</x:v>
      </x:c>
      <x:c r="C88" s="20" t="str">
        <x:v>contrato_servicio_id</x:v>
      </x:c>
      <x:c r="D88" s="20" t="str">
        <x:v>Configuración que vincula un Contrato/versión con un Servicio y concentra las reglas operativas que ese contexto aplica al sistema.</x:v>
      </x:c>
      <x:c r="E88" s="20" t="str">
        <x:v>ContratoServicio</x:v>
      </x:c>
      <x:c r="F88" s="20" t="str">
        <x:v>Capa maestra contractual</x:v>
      </x:c>
      <x:c r="G88" s="20" t="str">
        <x:v>Relación/configuración</x:v>
      </x:c>
      <x:c r="H88" s="20" t="str">
        <x:v>Contrato + catálogo de servicios</x:v>
      </x:c>
      <x:c r="I88" s="20" t="str">
        <x:v>Derivado</x:v>
      </x:c>
      <x:c r="J88" s="20" t="str">
        <x:v>No</x:v>
      </x:c>
      <x:c r="K88" s="20" t="str">
        <x:v>Core de configuración</x:v>
      </x:c>
      <x:c r="L88" s="20" t="str">
        <x:v>Seguimiento por contrato/tipo de parte + conceptos Info VDS</x:v>
      </x:c>
      <x:c r="M88" s="20" t="str">
        <x:v>Base sólida como patrón</x:v>
      </x:c>
      <x:c r="N88" s="20" t="str">
        <x:v>Mapear cada contexto real a Contrato y Servicio cuando estén disponibles los contratos.</x:v>
      </x:c>
      <x:c r="O88" s="20" t="str">
        <x:v>Nodo configurador: no equivale a Servicio ni a Contrato por separado.</x:v>
      </x:c>
      <x:c r="P88" s="20" t="str">
        <x:v>Seguimiento_Contratos_Partes + Info VDS + análisis</x:v>
      </x:c>
    </x:row>
    <x:row r="89" ht="62" customHeight="1">
      <x:c r="A89" s="20" t="str">
        <x:v>V0-088</x:v>
      </x:c>
      <x:c r="B89" s="20" t="str">
        <x:v>Gobernanza contractual</x:v>
      </x:c>
      <x:c r="C89" s="20" t="str">
        <x:v>regla_generacion_parte_id</x:v>
      </x:c>
      <x:c r="D89" s="20" t="str">
        <x:v>Regla que indica quién/qué rol genera el Parte y bajo qué ruta para un ContratoServicio/TipoParte.</x:v>
      </x:c>
      <x:c r="E89" s="20" t="str">
        <x:v>ReglaGeneracionParte</x:v>
      </x:c>
      <x:c r="F89" s="20" t="str">
        <x:v>Capa maestra contractual → Ejecución</x:v>
      </x:c>
      <x:c r="G89" s="20" t="str">
        <x:v>Regla de workflow</x:v>
      </x:c>
      <x:c r="H89" s="20" t="str">
        <x:v>ContratoServicio / TipoParte</x:v>
      </x:c>
      <x:c r="I89" s="20" t="str">
        <x:v>Derivado</x:v>
      </x:c>
      <x:c r="J89" s="20" t="str">
        <x:v>No</x:v>
      </x:c>
      <x:c r="K89" s="20" t="str">
        <x:v>Configuración</x:v>
      </x:c>
      <x:c r="L89" s="20" t="str">
        <x:v>Quién genera / Medio de generación</x:v>
      </x:c>
      <x:c r="M89" s="20" t="str">
        <x:v>Base sólida inicial</x:v>
      </x:c>
      <x:c r="N89" s="20" t="str">
        <x:v>Distinguir proceso actual (papel/sistema) de regla objetivo digital.</x:v>
      </x:c>
      <x:c r="O89" s="20" t="str">
        <x:v>El medio histórico sirve como evidencia de proceso, no como restricción tecnológica futura.</x:v>
      </x:c>
      <x:c r="P89" s="20" t="str">
        <x:v>Seguimiento_Contratos_Partes</x:v>
      </x:c>
    </x:row>
    <x:row r="90" ht="62" customHeight="1">
      <x:c r="A90" s="20" t="str">
        <x:v>V0-089</x:v>
      </x:c>
      <x:c r="B90" s="20" t="str">
        <x:v>Gobernanza contractual</x:v>
      </x:c>
      <x:c r="C90" s="20" t="str">
        <x:v>regla_firma_evidencia_id</x:v>
      </x:c>
      <x:c r="D90" s="20" t="str">
        <x:v>Regla que define qué actores deben firmar/aprobar, con qué alcance y qué evidencia deja completa una ejecución para el siguiente dominio.</x:v>
      </x:c>
      <x:c r="E90" s="20" t="str">
        <x:v>ReglaFirmaEvidencia</x:v>
      </x:c>
      <x:c r="F90" s="20" t="str">
        <x:v>Capa maestra contractual → Ejecución/Conformidad</x:v>
      </x:c>
      <x:c r="G90" s="20" t="str">
        <x:v>Regla de workflow</x:v>
      </x:c>
      <x:c r="H90" s="20" t="str">
        <x:v>ContratoServicio / TipoParte</x:v>
      </x:c>
      <x:c r="I90" s="20" t="str">
        <x:v>Derivado</x:v>
      </x:c>
      <x:c r="J90" s="20" t="str">
        <x:v>No</x:v>
      </x:c>
      <x:c r="K90" s="20" t="str">
        <x:v>Configuración</x:v>
      </x:c>
      <x:c r="L90" s="20" t="str">
        <x:v>Quién firma / Medio de firma / demoras observadas</x:v>
      </x:c>
      <x:c r="M90" s="20" t="str">
        <x:v>Base sólida inicial</x:v>
      </x:c>
      <x:c r="N90" s="20" t="str">
        <x:v>Separar firma de Parte, firma de UnidadEjecución y conformidad del cliente.</x:v>
      </x:c>
      <x:c r="O90" s="20" t="str">
        <x:v>La firma puede ocurrir días después del cierre operativo; no debe bloquear necesariamente el cierre de ejecución.</x:v>
      </x:c>
      <x:c r="P90" s="20" t="str">
        <x:v>Seguimiento_Contratos_Partes</x:v>
      </x:c>
    </x:row>
    <x:row r="91" ht="62" customHeight="1">
      <x:c r="A91" s="20" t="str">
        <x:v>V0-090</x:v>
      </x:c>
      <x:c r="B91" s="20" t="str">
        <x:v>Certificación</x:v>
      </x:c>
      <x:c r="C91" s="20" t="str">
        <x:v>regla_agrupacion_certificacion_id</x:v>
      </x:c>
      <x:c r="D91" s="20" t="str">
        <x:v>Regla que determina cómo se agrupan Partes/UnidadesEjecución/Evidencias para formar un lote o paquete de Certificación.</x:v>
      </x:c>
      <x:c r="E91" s="20" t="str">
        <x:v>ReglaAgrupacionCertificacion</x:v>
      </x:c>
      <x:c r="F91" s="20" t="str">
        <x:v>Interfaz Parte → Certificación</x:v>
      </x:c>
      <x:c r="G91" s="20" t="str">
        <x:v>Regla de workflow</x:v>
      </x:c>
      <x:c r="H91" s="20" t="str">
        <x:v>ContratoServicio / contrato</x:v>
      </x:c>
      <x:c r="I91" s="20" t="str">
        <x:v>Derivado</x:v>
      </x:c>
      <x:c r="J91" s="20" t="str">
        <x:v>No</x:v>
      </x:c>
      <x:c r="K91" s="20" t="str">
        <x:v>Configuración</x:v>
      </x:c>
      <x:c r="L91" s="20" t="str">
        <x:v>CC27: agrupar por pozo antes de enviar a firma/certificación</x:v>
      </x:c>
      <x:c r="M91" s="20" t="str">
        <x:v>Base sólida inicial</x:v>
      </x:c>
      <x:c r="N91" s="20" t="str">
        <x:v>Cerrar otras dimensiones de agrupación: período, pozo, ítem, centro de costo, cliente u otras.</x:v>
      </x:c>
      <x:c r="O91" s="20" t="str">
        <x:v>Rompe el supuesto objetivo de Certificación 1:1 con Parte.</x:v>
      </x:c>
      <x:c r="P91" s="20" t="str">
        <x:v>Seguimiento_Contratos_Partes</x:v>
      </x:c>
    </x:row>
    <x:row r="92" ht="62" customHeight="1">
      <x:c r="A92" s="20" t="str">
        <x:v>V0-091</x:v>
      </x:c>
      <x:c r="B92" s="20" t="str">
        <x:v>Certificación</x:v>
      </x:c>
      <x:c r="C92" s="20" t="str">
        <x:v>paquete_certificacion_id</x:v>
      </x:c>
      <x:c r="D92" s="20" t="str">
        <x:v>Contenedor lógico que reúne evidencia operacional elegible según una ReglaAgrupacionCertificacion antes de certificar.</x:v>
      </x:c>
      <x:c r="E92" s="20" t="str">
        <x:v>PaqueteCertificacion</x:v>
      </x:c>
      <x:c r="F92" s="20" t="str">
        <x:v>Dominio Certificación</x:v>
      </x:c>
      <x:c r="G92" s="20" t="str">
        <x:v>Entidad transaccional</x:v>
      </x:c>
      <x:c r="H92" s="20" t="str">
        <x:v>Sistema</x:v>
      </x:c>
      <x:c r="I92" s="20" t="str">
        <x:v>Generado por regla</x:v>
      </x:c>
      <x:c r="J92" s="20" t="str">
        <x:v>No</x:v>
      </x:c>
      <x:c r="K92" s="20" t="str">
        <x:v>Downstream</x:v>
      </x:c>
      <x:c r="L92" s="20" t="str">
        <x:v>Carpeta compartida / agrupado por pozo / envíos periódicos</x:v>
      </x:c>
      <x:c r="M92" s="20" t="str">
        <x:v>Provisional fuerte</x:v>
      </x:c>
      <x:c r="N92" s="20" t="str">
        <x:v>Definir cardinalidad Parte/Unidad ↔ Paquete y estados del paquete.</x:v>
      </x:c>
      <x:c r="O92" s="20" t="str">
        <x:v>No implica aún diseño físico ni reemplaza la Certificación final.</x:v>
      </x:c>
      <x:c r="P92" s="20" t="str">
        <x:v>Seguimiento_Contratos_Partes + análisis</x:v>
      </x:c>
    </x:row>
    <x:row r="93" ht="62" customHeight="1">
      <x:c r="A93" s="20" t="str">
        <x:v>V0-092</x:v>
      </x:c>
      <x:c r="B93" s="20" t="str">
        <x:v>Cadencias</x:v>
      </x:c>
      <x:c r="C93" s="20" t="str">
        <x:v>cadencia_generacion_parte</x:v>
      </x:c>
      <x:c r="D93" s="20" t="str">
        <x:v>Frecuencia/ventana con la que debe generarse o cerrarse el Parte para un contexto contractual.</x:v>
      </x:c>
      <x:c r="E93" s="20" t="str">
        <x:v>ContratoServicioWorkflow</x:v>
      </x:c>
      <x:c r="F93" s="20" t="str">
        <x:v>Capa maestra contractual</x:v>
      </x:c>
      <x:c r="G93" s="20" t="str">
        <x:v>Regla temporal</x:v>
      </x:c>
      <x:c r="H93" s="20" t="str">
        <x:v>ContratoServicio</x:v>
      </x:c>
      <x:c r="I93" s="20" t="str">
        <x:v>Derivado</x:v>
      </x:c>
      <x:c r="J93" s="20" t="str">
        <x:v>No</x:v>
      </x:c>
      <x:c r="K93" s="20" t="str">
        <x:v>Configuración</x:v>
      </x:c>
      <x:c r="L93" s="20" t="str">
        <x:v>Frecuencia: diaria / semanal</x:v>
      </x:c>
      <x:c r="M93" s="20" t="str">
        <x:v>Base sólida inicial</x:v>
      </x:c>
      <x:c r="N93" s="20" t="str">
        <x:v>Precisar significado de 'semanal' en Cargas CC26.</x:v>
      </x:c>
      <x:c r="O93" s="20" t="str">
        <x:v>No confundir con cadencia de firma ni de Certificación.</x:v>
      </x:c>
      <x:c r="P93" s="20" t="str">
        <x:v>Seguimiento_Contratos_Partes</x:v>
      </x:c>
    </x:row>
    <x:row r="94" ht="62" customHeight="1">
      <x:c r="A94" s="20" t="str">
        <x:v>V0-093</x:v>
      </x:c>
      <x:c r="B94" s="20" t="str">
        <x:v>Cadencias</x:v>
      </x:c>
      <x:c r="C94" s="20" t="str">
        <x:v>cadencia_conformidad_firma</x:v>
      </x:c>
      <x:c r="D94" s="20" t="str">
        <x:v>Frecuencia/plazo esperado para obtener la conformidad o firma posterior a la ejecución.</x:v>
      </x:c>
      <x:c r="E94" s="20" t="str">
        <x:v>ContratoServicioWorkflow</x:v>
      </x:c>
      <x:c r="F94" s="20" t="str">
        <x:v>Capa maestra contractual</x:v>
      </x:c>
      <x:c r="G94" s="20" t="str">
        <x:v>Regla temporal</x:v>
      </x:c>
      <x:c r="H94" s="20" t="str">
        <x:v>ContratoServicio</x:v>
      </x:c>
      <x:c r="I94" s="20" t="str">
        <x:v>Derivado</x:v>
      </x:c>
      <x:c r="J94" s="20" t="str">
        <x:v>No</x:v>
      </x:c>
      <x:c r="K94" s="20" t="str">
        <x:v>Configuración</x:v>
      </x:c>
      <x:c r="L94" s="20" t="str">
        <x:v>día siguiente; cada diez días; tarda días</x:v>
      </x:c>
      <x:c r="M94" s="20" t="str">
        <x:v>Base sólida inicial</x:v>
      </x:c>
      <x:c r="N94" s="20" t="str">
        <x:v>Convertir observaciones cualitativas en SLA/reglas cuando negocio las valide.</x:v>
      </x:c>
      <x:c r="O94" s="20" t="str">
        <x:v>Permite cerrar operativamente y mantener evidencia pendiente sin perder trazabilidad.</x:v>
      </x:c>
      <x:c r="P94" s="20" t="str">
        <x:v>Seguimiento_Contratos_Partes</x:v>
      </x:c>
    </x:row>
    <x:row r="95" ht="62" customHeight="1">
      <x:c r="A95" s="20" t="str">
        <x:v>V0-094</x:v>
      </x:c>
      <x:c r="B95" s="20" t="str">
        <x:v>Cadencias</x:v>
      </x:c>
      <x:c r="C95" s="20" t="str">
        <x:v>cadencia_certificacion</x:v>
      </x:c>
      <x:c r="D95" s="20" t="str">
        <x:v>Frecuencia o condición con la que la evidencia elegible se agrupa/envía al proceso de Certificación.</x:v>
      </x:c>
      <x:c r="E95" s="20" t="str">
        <x:v>ContratoServicioWorkflow</x:v>
      </x:c>
      <x:c r="F95" s="20" t="str">
        <x:v>Capa maestra contractual</x:v>
      </x:c>
      <x:c r="G95" s="20" t="str">
        <x:v>Regla temporal</x:v>
      </x:c>
      <x:c r="H95" s="20" t="str">
        <x:v>ContratoServicio</x:v>
      </x:c>
      <x:c r="I95" s="20" t="str">
        <x:v>Derivado</x:v>
      </x:c>
      <x:c r="J95" s="20" t="str">
        <x:v>No</x:v>
      </x:c>
      <x:c r="K95" s="20" t="str">
        <x:v>Configuración</x:v>
      </x:c>
      <x:c r="L95" s="20" t="str">
        <x:v>copia a Certificaciones cada diez días; carpeta compartida tras firma</x:v>
      </x:c>
      <x:c r="M95" s="20" t="str">
        <x:v>Provisional</x:v>
      </x:c>
      <x:c r="N95" s="20" t="str">
        <x:v>La fuente no define en todos los casos una periodicidad explícita de Certificación.</x:v>
      </x:c>
      <x:c r="O95" s="20" t="str">
        <x:v>Debe mantenerse separada de la frecuencia del Parte.</x:v>
      </x:c>
      <x:c r="P95" s="20" t="str">
        <x:v>Seguimiento_Contratos_Partes</x:v>
      </x:c>
    </x:row>
    <x:row r="96" ht="62" customHeight="1">
      <x:c r="A96" s="20" t="str">
        <x:v>V0-095</x:v>
      </x:c>
      <x:c r="B96" s="20" t="str">
        <x:v>Planificación</x:v>
      </x:c>
      <x:c r="C96" s="20" t="str">
        <x:v>regla_planificacion_id</x:v>
      </x:c>
      <x:c r="D96" s="20" t="str">
        <x:v>Regla de configuración asociada a ContratoServicio que determina quién planifica, qué contexto mínimo debe definirse y qué validaciones preventivas aplican.</x:v>
      </x:c>
      <x:c r="E96" s="20" t="str">
        <x:v>ReglaPlanificacion</x:v>
      </x:c>
      <x:c r="F96" s="20" t="str">
        <x:v>Capa maestra contractual → Planificación</x:v>
      </x:c>
      <x:c r="G96" s="20" t="str">
        <x:v>Regla de workflow</x:v>
      </x:c>
      <x:c r="H96" s="20" t="str">
        <x:v>ContratoServicio / negocio</x:v>
      </x:c>
      <x:c r="I96" s="20" t="str">
        <x:v>Derivado</x:v>
      </x:c>
      <x:c r="J96" s="20" t="str">
        <x:v>No</x:v>
      </x:c>
      <x:c r="K96" s="20" t="str">
        <x:v>Configuración</x:v>
      </x:c>
      <x:c r="L96" s="20" t="str">
        <x:v>Quién planifica; circuitos distintos por contexto</x:v>
      </x:c>
      <x:c r="M96" s="20" t="str">
        <x:v>Base sólida inicial</x:v>
      </x:c>
      <x:c r="N96" s="20" t="str">
        <x:v>Cerrar roles planificadores y reglas específicas cuando se modele Planificación en detalle.</x:v>
      </x:c>
      <x:c r="O96" s="20" t="str">
        <x:v>Separa 'quién planifica' del usuario que ejecuta el Parte.</x:v>
      </x:c>
      <x:c r="P96" s="20" t="str">
        <x:v>Seguimiento_Contratos_Partes + Capa Maestra</x:v>
      </x:c>
    </x:row>
    <x:row r="97" ht="62" customHeight="1">
      <x:c r="A97" s="20" t="str">
        <x:v>V0-096</x:v>
      </x:c>
      <x:c r="B97" s="20" t="str">
        <x:v>Planificación</x:v>
      </x:c>
      <x:c r="C97" s="20" t="str">
        <x:v>planificacion_id</x:v>
      </x:c>
      <x:c r="D97" s="20" t="str">
        <x:v>Identificador de una planificación operativa que agrupa una o más asignaciones previstas y conserva su ciclo de vida propio.</x:v>
      </x:c>
      <x:c r="E97" s="20" t="str">
        <x:v>Planificacion</x:v>
      </x:c>
      <x:c r="F97" s="20" t="str">
        <x:v>Dominio Planificación</x:v>
      </x:c>
      <x:c r="G97" s="20" t="str">
        <x:v>Identificador</x:v>
      </x:c>
      <x:c r="H97" s="20" t="str">
        <x:v>Sistema</x:v>
      </x:c>
      <x:c r="I97" s="20" t="str">
        <x:v>Generado automático</x:v>
      </x:c>
      <x:c r="J97" s="20" t="str">
        <x:v>No</x:v>
      </x:c>
      <x:c r="K97" s="20" t="str">
        <x:v>Upstream</x:v>
      </x:c>
      <x:c r="L97" s="20" t="str">
        <x:v>planificacion_id nullable en arquitectura previa</x:v>
      </x:c>
      <x:c r="M97" s="20" t="str">
        <x:v>Base sólida como patrón</x:v>
      </x:c>
      <x:c r="N97" s="20" t="str">
        <x:v>Definir identidad exacta al profundizar Planificación.</x:v>
      </x:c>
      <x:c r="O97" s="20" t="str">
        <x:v>Una Planificación no equivale a un Parte y puede alimentar 0..N Partes.</x:v>
      </x:c>
      <x:c r="P97" s="20" t="str">
        <x:v>Arquitectura previa + análisis v0.6</x:v>
      </x:c>
    </x:row>
    <x:row r="98" ht="62" customHeight="1">
      <x:c r="A98" s="20" t="str">
        <x:v>V0-097</x:v>
      </x:c>
      <x:c r="B98" s="20" t="str">
        <x:v>Planificación</x:v>
      </x:c>
      <x:c r="C98" s="20" t="str">
        <x:v>planificacion_version_id</x:v>
      </x:c>
      <x:c r="D98" s="20" t="str">
        <x:v>Versión inmutable de una Planificación/Asignación confirmada que preserva exactamente qué contexto recibió Ejecución.</x:v>
      </x:c>
      <x:c r="E98" s="20" t="str">
        <x:v>PlanificacionVersion</x:v>
      </x:c>
      <x:c r="F98" s="20" t="str">
        <x:v>Dominio Planificación</x:v>
      </x:c>
      <x:c r="G98" s="20" t="str">
        <x:v>Versionado/auditoría</x:v>
      </x:c>
      <x:c r="H98" s="20" t="str">
        <x:v>Sistema</x:v>
      </x:c>
      <x:c r="I98" s="20" t="str">
        <x:v>Generado al confirmar/replanificar</x:v>
      </x:c>
      <x:c r="J98" s="20" t="str">
        <x:v>No</x:v>
      </x:c>
      <x:c r="K98" s="20" t="str">
        <x:v>Upstream</x:v>
      </x:c>
      <x:c r="L98" s="20" t="str">
        <x:v>Necesidad de trazabilidad ante replanificación</x:v>
      </x:c>
      <x:c r="M98" s="20" t="str">
        <x:v>Base sólida de diseño</x:v>
      </x:c>
      <x:c r="N98" s="20" t="str">
        <x:v>Definir si el versionado es por Planificación completa o por Asignación.</x:v>
      </x:c>
      <x:c r="O98" s="20" t="str">
        <x:v>Después de iniciar Ejecución no se debe reescribir la intención histórica.</x:v>
      </x:c>
      <x:c r="P98" s="20" t="str">
        <x:v>Análisis v0.6</x:v>
      </x:c>
    </x:row>
    <x:row r="99" ht="62" customHeight="1">
      <x:c r="A99" s="20" t="str">
        <x:v>V0-098</x:v>
      </x:c>
      <x:c r="B99" s="20" t="str">
        <x:v>Planificación</x:v>
      </x:c>
      <x:c r="C99" s="20" t="str">
        <x:v>estado_planificacion</x:v>
      </x:c>
      <x:c r="D99" s="20" t="str">
        <x:v>Estado del ciclo de vida de Planificación independiente del estado del Parte.</x:v>
      </x:c>
      <x:c r="E99" s="20" t="str">
        <x:v>Planificacion</x:v>
      </x:c>
      <x:c r="F99" s="20" t="str">
        <x:v>Dominio Planificación</x:v>
      </x:c>
      <x:c r="G99" s="20" t="str">
        <x:v>Estado</x:v>
      </x:c>
      <x:c r="H99" s="20" t="str">
        <x:v>Sistema</x:v>
      </x:c>
      <x:c r="I99" s="20" t="str">
        <x:v>Calculado/persistido</x:v>
      </x:c>
      <x:c r="J99" s="20" t="str">
        <x:v>No</x:v>
      </x:c>
      <x:c r="K99" s="20" t="str">
        <x:v>Upstream</x:v>
      </x:c>
      <x:c r="L99" s="20" t="str">
        <x:v>borrador → confirmada → ejecutada/cancelada como antecedente</x:v>
      </x:c>
      <x:c r="M99" s="20" t="str">
        <x:v>Provisional</x:v>
      </x:c>
      <x:c r="N99" s="20" t="str">
        <x:v>Cerrar máquina de estados al diseñar Planificación.</x:v>
      </x:c>
      <x:c r="O99" s="20" t="str">
        <x:v>No usar estados de Parte para representar avance de Planificación.</x:v>
      </x:c>
      <x:c r="P99" s="20" t="str">
        <x:v>Arquitectura previa + análisis v0.6</x:v>
      </x:c>
    </x:row>
    <x:row r="100" ht="62" customHeight="1">
      <x:c r="A100" s="20" t="str">
        <x:v>V0-099</x:v>
      </x:c>
      <x:c r="B100" s="20" t="str">
        <x:v>Planificación</x:v>
      </x:c>
      <x:c r="C100" s="20" t="str">
        <x:v>asignacion_planificada_id</x:v>
      </x:c>
      <x:c r="D100" s="20" t="str">
        <x:v>Unidad despachable de Planificación que reúne ventana, contexto y recursos previstos y se entrega al motor de Ejecución.</x:v>
      </x:c>
      <x:c r="E100" s="20" t="str">
        <x:v>AsignacionPlanificada</x:v>
      </x:c>
      <x:c r="F100" s="20" t="str">
        <x:v>Interface A Planificación→Parte</x:v>
      </x:c>
      <x:c r="G100" s="20" t="str">
        <x:v>Identificador/relación</x:v>
      </x:c>
      <x:c r="H100" s="20" t="str">
        <x:v>Planificación</x:v>
      </x:c>
      <x:c r="I100" s="20" t="str">
        <x:v>Generado por Planificación</x:v>
      </x:c>
      <x:c r="J100" s="20" t="str">
        <x:v>No</x:v>
      </x:c>
      <x:c r="K100" s="20" t="str">
        <x:v>Interface A</x:v>
      </x:c>
      <x:c r="L100" s="20" t="str">
        <x:v>Asignación/Planificación usada por motor de ruteo</x:v>
      </x:c>
      <x:c r="M100" s="20" t="str">
        <x:v>Base sólida como patrón</x:v>
      </x:c>
      <x:c r="N100" s="20" t="str">
        <x:v>Validar frontera exacta entre Planificacion y AsignacionPlanificada.</x:v>
      </x:c>
      <x:c r="O100" s="20" t="str">
        <x:v>Es el contenedor lógico de la interfaz; no obliga a un esquema físico específico.</x:v>
      </x:c>
      <x:c r="P100" s="20" t="str">
        <x:v>Análisis v0.6</x:v>
      </x:c>
    </x:row>
    <x:row r="101" ht="62" customHeight="1">
      <x:c r="A101" s="20" t="str">
        <x:v>V0-100</x:v>
      </x:c>
      <x:c r="B101" s="20" t="str">
        <x:v>Planificación</x:v>
      </x:c>
      <x:c r="C101" s="20" t="str">
        <x:v>unidad_planificada_id</x:v>
      </x:c>
      <x:c r="D101" s="20" t="str">
        <x:v>Trabajo/tarea prevista dentro de una AsignacionPlanificada, con servicio, ubicación y contexto suficientes para compararlo luego con la ejecución real.</x:v>
      </x:c>
      <x:c r="E101" s="20" t="str">
        <x:v>UnidadPlanificada</x:v>
      </x:c>
      <x:c r="F101" s="20" t="str">
        <x:v>Interface A Planificación→Parte</x:v>
      </x:c>
      <x:c r="G101" s="20" t="str">
        <x:v>Identificador/relación</x:v>
      </x:c>
      <x:c r="H101" s="20" t="str">
        <x:v>Planificación</x:v>
      </x:c>
      <x:c r="I101" s="20" t="str">
        <x:v>Generado por Planificación</x:v>
      </x:c>
      <x:c r="J101" s="20" t="str">
        <x:v>No</x:v>
      </x:c>
      <x:c r="K101" s="20" t="str">
        <x:v>Interface A</x:v>
      </x:c>
      <x:c r="L101" s="20" t="str">
        <x:v>Frentes/tareas planificadas de arquitectura previa</x:v>
      </x:c>
      <x:c r="M101" s="20" t="str">
        <x:v>Base sólida como patrón</x:v>
      </x:c>
      <x:c r="N101" s="20" t="str">
        <x:v>Validar granularidad real de una tarea planificable.</x:v>
      </x:c>
      <x:c r="O101" s="20" t="str">
        <x:v>Puede mapear a 0..N UnidadesEjecución; no asumir 1:1.</x:v>
      </x:c>
      <x:c r="P101" s="20" t="str">
        <x:v>Arquitectura previa + análisis v0.6</x:v>
      </x:c>
    </x:row>
    <x:row r="102" ht="62" customHeight="1">
      <x:c r="A102" s="20" t="str">
        <x:v>V0-101</x:v>
      </x:c>
      <x:c r="B102" s="20" t="str">
        <x:v>Planificación</x:v>
      </x:c>
      <x:c r="C102" s="20" t="str">
        <x:v>ventana_planificada_desde_at</x:v>
      </x:c>
      <x:c r="D102" s="20" t="str">
        <x:v>Inicio previsto de la ventana en la que debe ejecutarse una Asignación/UnidadPlanificada.</x:v>
      </x:c>
      <x:c r="E102" s="20" t="str">
        <x:v>AsignacionPlanificada/UnidadPlanificada</x:v>
      </x:c>
      <x:c r="F102" s="20" t="str">
        <x:v>Interface A temporal</x:v>
      </x:c>
      <x:c r="G102" s="20" t="str">
        <x:v>Timestamp</x:v>
      </x:c>
      <x:c r="H102" s="20" t="str">
        <x:v>Planificación</x:v>
      </x:c>
      <x:c r="I102" s="20" t="str">
        <x:v>Manual/derivado según regla</x:v>
      </x:c>
      <x:c r="J102" s="20" t="str">
        <x:v>No en campo</x:v>
      </x:c>
      <x:c r="K102" s="20" t="str">
        <x:v>Condicional/Core según TipoParte</x:v>
      </x:c>
      <x:c r="L102" s="20" t="str">
        <x:v>Fecha/turno previstos</x:v>
      </x:c>
      <x:c r="M102" s="20" t="str">
        <x:v>Provisional</x:v>
      </x:c>
      <x:c r="N102" s="20" t="str">
        <x:v>Definir si basta fecha+turno o se requieren timestamps por servicio.</x:v>
      </x:c>
      <x:c r="O102" s="20" t="str">
        <x:v>Se usa para anticipar habilitaciones y vigencias.</x:v>
      </x:c>
      <x:c r="P102" s="20" t="str">
        <x:v>Respuestas operación + análisis v0.6</x:v>
      </x:c>
    </x:row>
    <x:row r="103" ht="62" customHeight="1">
      <x:c r="A103" s="20" t="str">
        <x:v>V0-102</x:v>
      </x:c>
      <x:c r="B103" s="20" t="str">
        <x:v>Planificación</x:v>
      </x:c>
      <x:c r="C103" s="20" t="str">
        <x:v>ventana_planificada_hasta_at</x:v>
      </x:c>
      <x:c r="D103" s="20" t="str">
        <x:v>Fin previsto de la ventana operativa cuando el servicio/TipoParte lo requiera.</x:v>
      </x:c>
      <x:c r="E103" s="20" t="str">
        <x:v>AsignacionPlanificada/UnidadPlanificada</x:v>
      </x:c>
      <x:c r="F103" s="20" t="str">
        <x:v>Interface A temporal</x:v>
      </x:c>
      <x:c r="G103" s="20" t="str">
        <x:v>Timestamp</x:v>
      </x:c>
      <x:c r="H103" s="20" t="str">
        <x:v>Planificación</x:v>
      </x:c>
      <x:c r="I103" s="20" t="str">
        <x:v>Manual/derivado según regla</x:v>
      </x:c>
      <x:c r="J103" s="20" t="str">
        <x:v>No en campo</x:v>
      </x:c>
      <x:c r="K103" s="20" t="str">
        <x:v>Condicional</x:v>
      </x:c>
      <x:c r="L103" s="20" t="str">
        <x:v>Turno/ventana prevista</x:v>
      </x:c>
      <x:c r="M103" s="20" t="str">
        <x:v>Provisional</x:v>
      </x:c>
      <x:c r="N103" s="20" t="str">
        <x:v>Validar por familia de servicio.</x:v>
      </x:c>
      <x:c r="O103" s="20" t="str">
        <x:v>No reemplaza fin_ejecucion_at real.</x:v>
      </x:c>
      <x:c r="P103" s="20" t="str">
        <x:v>Análisis v0.6</x:v>
      </x:c>
    </x:row>
    <x:row r="104" ht="62" customHeight="1">
      <x:c r="A104" s="20" t="str">
        <x:v>V0-103</x:v>
      </x:c>
      <x:c r="B104" s="20" t="str">
        <x:v>Planificación</x:v>
      </x:c>
      <x:c r="C104" s="20" t="str">
        <x:v>prioridad_operativa_id</x:v>
      </x:c>
      <x:c r="D104" s="20" t="str">
        <x:v>Prioridad/urgencia planificada utilizada para ordenar asignaciones y gobernar replanificaciones/contingencias.</x:v>
      </x:c>
      <x:c r="E104" s="20" t="str">
        <x:v>AsignacionPlanificada</x:v>
      </x:c>
      <x:c r="F104" s="20" t="str">
        <x:v>Dominio Planificación</x:v>
      </x:c>
      <x:c r="G104" s="20" t="str">
        <x:v>Catálogo/relación</x:v>
      </x:c>
      <x:c r="H104" s="20" t="str">
        <x:v>Planificación / negocio</x:v>
      </x:c>
      <x:c r="I104" s="20" t="str">
        <x:v>Selección estructurada o derivada</x:v>
      </x:c>
      <x:c r="J104" s="20" t="str">
        <x:v>No en campo normalmente</x:v>
      </x:c>
      <x:c r="K104" s="20" t="str">
        <x:v>Condicional</x:v>
      </x:c>
      <x:c r="L104" s="20" t="str">
        <x:v>Urgencias/directivas que pueden replanificar</x:v>
      </x:c>
      <x:c r="M104" s="20" t="str">
        <x:v>Provisional</x:v>
      </x:c>
      <x:c r="N104" s="20" t="str">
        <x:v>Cerrar catálogo y reglas de escalamiento.</x:v>
      </x:c>
      <x:c r="O104" s="20" t="str">
        <x:v>No mezclar con criticidad Habilita ni severidad documental.</x:v>
      </x:c>
      <x:c r="P104" s="20" t="str">
        <x:v>Respuesta operación 3 + análisis</x:v>
      </x:c>
    </x:row>
    <x:row r="105" ht="62" customHeight="1">
      <x:c r="A105" s="20" t="str">
        <x:v>V0-104</x:v>
      </x:c>
      <x:c r="B105" s="20" t="str">
        <x:v>Planificación</x:v>
      </x:c>
      <x:c r="C105" s="20" t="str">
        <x:v>tipo_parte_previsto_id</x:v>
      </x:c>
      <x:c r="D105" s="20" t="str">
        <x:v>Resultado de pre-ruteo calculado durante Planificación para anticipar qué TipoParte utilizaría la ejecución si el contexto no cambia.</x:v>
      </x:c>
      <x:c r="E105" s="20" t="str">
        <x:v>AsignacionPlanificada</x:v>
      </x:c>
      <x:c r="F105" s="20" t="str">
        <x:v>Interface A / Motor de ruteo</x:v>
      </x:c>
      <x:c r="G105" s="20" t="str">
        <x:v>Derivado</x:v>
      </x:c>
      <x:c r="H105" s="20" t="str">
        <x:v>MotorEnrutamiento</x:v>
      </x:c>
      <x:c r="I105" s="20" t="str">
        <x:v>Calculado</x:v>
      </x:c>
      <x:c r="J105" s="20" t="str">
        <x:v>No</x:v>
      </x:c>
      <x:c r="K105" s="20" t="str">
        <x:v>Referencia</x:v>
      </x:c>
      <x:c r="L105" s="20" t="str">
        <x:v>Perfil + asignación + contexto → TipoParte</x:v>
      </x:c>
      <x:c r="M105" s="20" t="str">
        <x:v>Base sólida como preview</x:v>
      </x:c>
      <x:c r="N105" s="20" t="str">
        <x:v>Definir comportamiento ante ambigüedad.</x:v>
      </x:c>
      <x:c r="O105" s="20" t="str">
        <x:v>No es elección del planificador ni verdad definitiva; se revalida al inicio.</x:v>
      </x:c>
      <x:c r="P105" s="20" t="str">
        <x:v>Arquitectura REV C/D + análisis v0.6</x:v>
      </x:c>
    </x:row>
    <x:row r="106" ht="62" customHeight="1">
      <x:c r="A106" s="20" t="str">
        <x:v>V0-105</x:v>
      </x:c>
      <x:c r="B106" s="20" t="str">
        <x:v>Planificación</x:v>
      </x:c>
      <x:c r="C106" s="20" t="str">
        <x:v>resultado_precheck_planificacion</x:v>
      </x:c>
      <x:c r="D106" s="20" t="str">
        <x:v>Snapshot del pre-check previo a confirmar/despachar: contexto contractual, documentación futura, recursos/personas y ruteo.</x:v>
      </x:c>
      <x:c r="E106" s="20" t="str">
        <x:v>EvaluacionPlanificacion</x:v>
      </x:c>
      <x:c r="F106" s="20" t="str">
        <x:v>Gate P</x:v>
      </x:c>
      <x:c r="G106" s="20" t="str">
        <x:v>Resultado calculado</x:v>
      </x:c>
      <x:c r="H106" s="20" t="str">
        <x:v>Sistema</x:v>
      </x:c>
      <x:c r="I106" s="20" t="str">
        <x:v>Calculado</x:v>
      </x:c>
      <x:c r="J106" s="20" t="str">
        <x:v>No</x:v>
      </x:c>
      <x:c r="K106" s="20" t="str">
        <x:v>Interface A</x:v>
      </x:c>
      <x:c r="L106" s="20" t="str">
        <x:v>Pre-check documental + contexto suficiente</x:v>
      </x:c>
      <x:c r="M106" s="20" t="str">
        <x:v>Base sólida</x:v>
      </x:c>
      <x:c r="N106" s="20" t="str">
        <x:v>Definir combinación de severidades y override.</x:v>
      </x:c>
      <x:c r="O106" s="20" t="str">
        <x:v>Debe explicar causas concretas, no solo un semáforo.</x:v>
      </x:c>
      <x:c r="P106" s="20" t="str">
        <x:v>Control documental + análisis v0.6</x:v>
      </x:c>
    </x:row>
    <x:row r="107" ht="62" customHeight="1">
      <x:c r="A107" s="20" t="str">
        <x:v>V0-106</x:v>
      </x:c>
      <x:c r="B107" s="20" t="str">
        <x:v>Planificación</x:v>
      </x:c>
      <x:c r="C107" s="20" t="str">
        <x:v>motivo_fuera_planificacion_id</x:v>
      </x:c>
      <x:c r="D107" s="20" t="str">
        <x:v>Motivo estructurado por el que una ejecución nace sin Planificación confirmada previa.</x:v>
      </x:c>
      <x:c r="E107" s="20" t="str">
        <x:v>Parte/ContextoEmergente</x:v>
      </x:c>
      <x:c r="F107" s="20" t="str">
        <x:v>Excepción Interface A</x:v>
      </x:c>
      <x:c r="G107" s="20" t="str">
        <x:v>Catálogo</x:v>
      </x:c>
      <x:c r="H107" s="20" t="str">
        <x:v>Catálogo maestro</x:v>
      </x:c>
      <x:c r="I107" s="20" t="str">
        <x:v>Selección condicional</x:v>
      </x:c>
      <x:c r="J107" s="20" t="str">
        <x:v>Sí, solo emergente</x:v>
      </x:c>
      <x:c r="K107" s="20" t="str">
        <x:v>Condicional</x:v>
      </x:c>
      <x:c r="L107" s="20" t="str">
        <x:v>urgencia operativa; adicional; otro</x:v>
      </x:c>
      <x:c r="M107" s="20" t="str">
        <x:v>Base sólida inicial</x:v>
      </x:c>
      <x:c r="N107" s="20" t="str">
        <x:v>Cerrar catálogo real y quién puede iniciar cada motivo.</x:v>
      </x:c>
      <x:c r="O107" s="20" t="str">
        <x:v>Texto libre solo cuando la categoría 'otro' lo requiera.</x:v>
      </x:c>
      <x:c r="P107" s="20" t="str">
        <x:v>Arquitectura previa + respuestas operación</x:v>
      </x:c>
    </x:row>
    <x:row r="108" ht="62" customHeight="1">
      <x:c r="A108" s="20" t="str">
        <x:v>V0-107</x:v>
      </x:c>
      <x:c r="B108" s="20" t="str">
        <x:v>Planificación</x:v>
      </x:c>
      <x:c r="C108" s="20" t="str">
        <x:v>vinculo_plan_ejecucion_id</x:v>
      </x:c>
      <x:c r="D108" s="20" t="str">
        <x:v>Relación auditable entre UnidadPlanificada/AsignacionPlanificada y Parte/UnidadEjecución resultante.</x:v>
      </x:c>
      <x:c r="E108" s="20" t="str">
        <x:v>VinculoPlanEjecucion</x:v>
      </x:c>
      <x:c r="F108" s="20" t="str">
        <x:v>Interface A / trazabilidad</x:v>
      </x:c>
      <x:c r="G108" s="20" t="str">
        <x:v>Relación transaccional</x:v>
      </x:c>
      <x:c r="H108" s="20" t="str">
        <x:v>Sistema</x:v>
      </x:c>
      <x:c r="I108" s="20" t="str">
        <x:v>Generado por motor</x:v>
      </x:c>
      <x:c r="J108" s="20" t="str">
        <x:v>No</x:v>
      </x:c>
      <x:c r="K108" s="20" t="str">
        <x:v>Interface A</x:v>
      </x:c>
      <x:c r="L108" s="20" t="str">
        <x:v>Necesidad de comparar previsto vs real</x:v>
      </x:c>
      <x:c r="M108" s="20" t="str">
        <x:v>Base sólida de diseño</x:v>
      </x:c>
      <x:c r="N108" s="20" t="str">
        <x:v>Cerrar cardinalidades por escenarios reales.</x:v>
      </x:c>
      <x:c r="O108" s="20" t="str">
        <x:v>Debe soportar 0..N resultados y trabajo no realizado; no asumir 1:1.</x:v>
      </x:c>
      <x:c r="P108" s="20" t="str">
        <x:v>Análisis v0.6</x:v>
      </x:c>
    </x:row>
    <x:row r="109" ht="62" customHeight="1">
      <x:c r="A109" s="20" t="str">
        <x:v>V0-108</x:v>
      </x:c>
      <x:c r="B109" s="20" t="str">
        <x:v>Planificación</x:v>
      </x:c>
      <x:c r="C109" s="20" t="str">
        <x:v>snapshot_plan_confirmado_id</x:v>
      </x:c>
      <x:c r="D109" s="20" t="str">
        <x:v>Representación lógica e inmutable del payload de Interface A al momento de confirmación/despacho. En implementación puede resolverse mediante PlanificacionVersion aprobada + referencias/versiones, sin crear necesariamente una tabla snapshot separada.</x:v>
      </x:c>
      <x:c r="E109" s="20" t="str">
        <x:v>PlanificacionVersion / vista de Interface A</x:v>
      </x:c>
      <x:c r="F109" s="20" t="str">
        <x:v>Interface A / trazabilidad</x:v>
      </x:c>
      <x:c r="G109" s="20" t="str">
        <x:v>Contrato lógico de versión</x:v>
      </x:c>
      <x:c r="H109" s="20" t="str">
        <x:v>Sistema</x:v>
      </x:c>
      <x:c r="I109" s="20" t="str">
        <x:v>Generado automático</x:v>
      </x:c>
      <x:c r="J109" s="20" t="str">
        <x:v>No</x:v>
      </x:c>
      <x:c r="K109" s="20" t="str">
        <x:v>Interface A</x:v>
      </x:c>
      <x:c r="L109" s="20" t="str">
        <x:v>Versión confirmada entregada a Ejecución</x:v>
      </x:c>
      <x:c r="M109" s="20" t="str">
        <x:v>Base sólida como concepto; persistencia física abierta</x:v>
      </x:c>
      <x:c r="N109" s="20" t="str">
        <x:v>Definir implementación física al diseñar datos/API.</x:v>
      </x:c>
      <x:c r="O109" s="20" t="str">
        <x:v>La ejecución siempre debe poder reconstruir exactamente la versión que recibió; evitar duplicación innecesaria.</x:v>
      </x:c>
      <x:c r="P109" s="20" t="str">
        <x:v>Análisis v0.6 + auditoría externa v0.9</x:v>
      </x:c>
    </x:row>
    <x:row r="110" ht="62" customHeight="1">
      <x:c r="A110" s="20" t="str">
        <x:v>V0-109</x:v>
      </x:c>
      <x:c r="B110" s="20" t="str">
        <x:v>Planificación</x:v>
      </x:c>
      <x:c r="C110" s="20" t="str">
        <x:v>demanda_operativa_id</x:v>
      </x:c>
      <x:c r="D110" s="20" t="str">
        <x:v>Solicitud/necesidad de trabajo que inicia el proceso de Planificación antes de asignar cuadrilla, recursos o TipoParte.</x:v>
      </x:c>
      <x:c r="E110" s="20" t="str">
        <x:v>DemandaOperativa</x:v>
      </x:c>
      <x:c r="F110" s="20" t="str">
        <x:v>Dominio Planificación</x:v>
      </x:c>
      <x:c r="G110" s="20" t="str">
        <x:v>Entidad transaccional</x:v>
      </x:c>
      <x:c r="H110" s="20" t="str">
        <x:v>Operaciones / cliente / contrato</x:v>
      </x:c>
      <x:c r="I110" s="20" t="str">
        <x:v>Captura o integración</x:v>
      </x:c>
      <x:c r="J110" s="20" t="str">
        <x:v>No en campo</x:v>
      </x:c>
      <x:c r="K110" s="20" t="str">
        <x:v>Upstream</x:v>
      </x:c>
      <x:c r="L110" s="20" t="str">
        <x:v>Necesidad/tarea a realizar</x:v>
      </x:c>
      <x:c r="M110" s="20" t="str">
        <x:v>Base sólida de diseño</x:v>
      </x:c>
      <x:c r="N110" s="20" t="str">
        <x:v>Definir fuentes reales de demanda y quién puede crearla.</x:v>
      </x:c>
      <x:c r="O110" s="20" t="str">
        <x:v>Permite separar backlog de trabajo respecto de una asignación ya programada.</x:v>
      </x:c>
      <x:c r="P110" s="20" t="str">
        <x:v>Análisis v0.7 + benchmark work order</x:v>
      </x:c>
    </x:row>
    <x:row r="111" ht="62" customHeight="1">
      <x:c r="A111" s="20" t="str">
        <x:v>V0-110</x:v>
      </x:c>
      <x:c r="B111" s="20" t="str">
        <x:v>Planificación</x:v>
      </x:c>
      <x:c r="C111" s="20" t="str">
        <x:v>estado_demanda_operativa</x:v>
      </x:c>
      <x:c r="D111" s="20" t="str">
        <x:v>Estado de la necesidad antes de convertirse en trabajo programado: nueva, calificada, descartada, convertida, etc.</x:v>
      </x:c>
      <x:c r="E111" s="20" t="str">
        <x:v>DemandaOperativa</x:v>
      </x:c>
      <x:c r="F111" s="20" t="str">
        <x:v>Dominio Planificación</x:v>
      </x:c>
      <x:c r="G111" s="20" t="str">
        <x:v>Estado</x:v>
      </x:c>
      <x:c r="H111" s="20" t="str">
        <x:v>Sistema</x:v>
      </x:c>
      <x:c r="I111" s="20" t="str">
        <x:v>Máquina de estados</x:v>
      </x:c>
      <x:c r="J111" s="20" t="str">
        <x:v>No</x:v>
      </x:c>
      <x:c r="K111" s="20" t="str">
        <x:v>Upstream</x:v>
      </x:c>
      <x:c r="L111" s="20" t="str">
        <x:v>No explícito en fuente actual</x:v>
      </x:c>
      <x:c r="M111" s="20" t="str">
        <x:v>Provisional</x:v>
      </x:c>
      <x:c r="N111" s="20" t="str">
        <x:v>Validar flujo de ingreso real de pedidos.</x:v>
      </x:c>
      <x:c r="O111" s="20" t="str">
        <x:v>Evita que toda solicitud se transforme automáticamente en trabajo despachable.</x:v>
      </x:c>
      <x:c r="P111" s="20" t="str">
        <x:v>Análisis v0.7</x:v>
      </x:c>
    </x:row>
    <x:row r="112" ht="62" customHeight="1">
      <x:c r="A112" s="20" t="str">
        <x:v>V0-111</x:v>
      </x:c>
      <x:c r="B112" s="20" t="str">
        <x:v>Planificación</x:v>
      </x:c>
      <x:c r="C112" s="20" t="str">
        <x:v>requerimiento_recurso_id</x:v>
      </x:c>
      <x:c r="D112" s="20" t="str">
        <x:v>Necesidad de capacidad para una asignación/unidad planificada: tipo de recurso, cantidad, rol, competencia o habilitación requerida, sin obligar aún a nominar un recurso concreto.</x:v>
      </x:c>
      <x:c r="E112" s="20" t="str">
        <x:v>RequerimientoRecurso</x:v>
      </x:c>
      <x:c r="F112" s="20" t="str">
        <x:v>Dominio Planificación</x:v>
      </x:c>
      <x:c r="G112" s="20" t="str">
        <x:v>Entidad/relación</x:v>
      </x:c>
      <x:c r="H112" s="20" t="str">
        <x:v>Servicio + TipoParte + planificación</x:v>
      </x:c>
      <x:c r="I112" s="20" t="str">
        <x:v>Derivado/configurado</x:v>
      </x:c>
      <x:c r="J112" s="20" t="str">
        <x:v>No en campo</x:v>
      </x:c>
      <x:c r="K112" s="20" t="str">
        <x:v>Upstream</x:v>
      </x:c>
      <x:c r="L112" s="20" t="str">
        <x:v>Recursos previstos / tipo de equipo</x:v>
      </x:c>
      <x:c r="M112" s="20" t="str">
        <x:v>Patrón sólido</x:v>
      </x:c>
      <x:c r="N112" s="20" t="str">
        <x:v>Definir cuándo se planifica por capacidad vs recurso nominal.</x:v>
      </x:c>
      <x:c r="O112" s="20" t="str">
        <x:v>Separar 'necesito una retro habilitada' de 'asigno la retro 803'.</x:v>
      </x:c>
      <x:c r="P112" s="20" t="str">
        <x:v>Análisis v0.7 + benchmark work management</x:v>
      </x:c>
    </x:row>
    <x:row r="113" ht="62" customHeight="1">
      <x:c r="A113" s="20" t="str">
        <x:v>V0-112</x:v>
      </x:c>
      <x:c r="B113" s="20" t="str">
        <x:v>Planificación</x:v>
      </x:c>
      <x:c r="C113" s="20" t="str">
        <x:v>requerimiento_competencia_id</x:v>
      </x:c>
      <x:c r="D113" s="20" t="str">
        <x:v>Competencia/rol/habilitación necesaria para cubrir una posición de trabajo antes de seleccionar una persona nominal.</x:v>
      </x:c>
      <x:c r="E113" s="20" t="str">
        <x:v>RequerimientoCompetencia</x:v>
      </x:c>
      <x:c r="F113" s="20" t="str">
        <x:v>Dominio Planificación</x:v>
      </x:c>
      <x:c r="G113" s="20" t="str">
        <x:v>Relación catálogo</x:v>
      </x:c>
      <x:c r="H113" s="20" t="str">
        <x:v>Servicio / Habilita / perfil</x:v>
      </x:c>
      <x:c r="I113" s="20" t="str">
        <x:v>Derivado</x:v>
      </x:c>
      <x:c r="J113" s="20" t="str">
        <x:v>No en campo</x:v>
      </x:c>
      <x:c r="K113" s="20" t="str">
        <x:v>Upstream</x:v>
      </x:c>
      <x:c r="L113" s="20" t="str">
        <x:v>Perfil operativo + requisitos habilitantes</x:v>
      </x:c>
      <x:c r="M113" s="20" t="str">
        <x:v>Patrón sólido</x:v>
      </x:c>
      <x:c r="N113" s="20" t="str">
        <x:v>Cerrar competencias reales por servicio.</x:v>
      </x:c>
      <x:c r="O113" s="20" t="str">
        <x:v>Permite buscar personas elegibles sin hardcodear nombres.</x:v>
      </x:c>
      <x:c r="P113" s="20" t="str">
        <x:v>Análisis v0.7</x:v>
      </x:c>
    </x:row>
    <x:row r="114" ht="62" customHeight="1">
      <x:c r="A114" s="20" t="str">
        <x:v>V0-113</x:v>
      </x:c>
      <x:c r="B114" s="20" t="str">
        <x:v>Planificación</x:v>
      </x:c>
      <x:c r="C114" s="20" t="str">
        <x:v>estado_readiness_asignacion</x:v>
      </x:c>
      <x:c r="D114" s="20" t="str">
        <x:v>Resultado consolidado de readiness previo al despacho: contractual, alcance, recursos, documentación, Habilita/prerrequisitos y ruteo.</x:v>
      </x:c>
      <x:c r="E114" s="20" t="str">
        <x:v>AsignacionPlanificada</x:v>
      </x:c>
      <x:c r="F114" s="20" t="str">
        <x:v>Dominio Planificación</x:v>
      </x:c>
      <x:c r="G114" s="20" t="str">
        <x:v>Estado calculado</x:v>
      </x:c>
      <x:c r="H114" s="20" t="str">
        <x:v>Sistema</x:v>
      </x:c>
      <x:c r="I114" s="20" t="str">
        <x:v>Calculado por gates</x:v>
      </x:c>
      <x:c r="J114" s="20" t="str">
        <x:v>No</x:v>
      </x:c>
      <x:c r="K114" s="20" t="str">
        <x:v>Upstream</x:v>
      </x:c>
      <x:c r="L114" s="20" t="str">
        <x:v>P0-P4</x:v>
      </x:c>
      <x:c r="M114" s="20" t="str">
        <x:v>Base sólida de diseño</x:v>
      </x:c>
      <x:c r="N114" s="20" t="str">
        <x:v>Definir reglas de combinación de severidades.</x:v>
      </x:c>
      <x:c r="O114" s="20" t="str">
        <x:v>No confundir con estado_planificacion general.</x:v>
      </x:c>
      <x:c r="P114" s="20" t="str">
        <x:v>Análisis v0.7</x:v>
      </x:c>
    </x:row>
    <x:row r="115" ht="62" customHeight="1">
      <x:c r="A115" s="20" t="str">
        <x:v>V0-114</x:v>
      </x:c>
      <x:c r="B115" s="20" t="str">
        <x:v>Certificación</x:v>
      </x:c>
      <x:c r="C115" s="20" t="str">
        <x:v>unidad_comercial_id</x:v>
      </x:c>
      <x:c r="D115" s="20" t="str">
        <x:v>Grano mínimo que Certificación evalúa y valoriza, derivado de una o más UnidadesEjecución según ContratoServicio/ItemContrato.</x:v>
      </x:c>
      <x:c r="E115" s="20" t="str">
        <x:v>UnidadComercial</x:v>
      </x:c>
      <x:c r="F115" s="20" t="str">
        <x:v>Interface B / Certificación</x:v>
      </x:c>
      <x:c r="G115" s="20" t="str">
        <x:v>Entidad derivada</x:v>
      </x:c>
      <x:c r="H115" s="20" t="str">
        <x:v>Motor contractual</x:v>
      </x:c>
      <x:c r="I115" s="20" t="str">
        <x:v>Generado automático</x:v>
      </x:c>
      <x:c r="J115" s="20" t="str">
        <x:v>No</x:v>
      </x:c>
      <x:c r="K115" s="20" t="str">
        <x:v>Downstream</x:v>
      </x:c>
      <x:c r="L115" s="20" t="str">
        <x:v>UnidadEjecución + ItemContrato + medición/evidencia</x:v>
      </x:c>
      <x:c r="M115" s="20" t="str">
        <x:v>Patrón sólido</x:v>
      </x:c>
      <x:c r="N115" s="20" t="str">
        <x:v>Cerrar cardinalidad por tipo contractual.</x:v>
      </x:c>
      <x:c r="O115" s="20" t="str">
        <x:v>Evita forzar Parte=unidad certificable.</x:v>
      </x:c>
      <x:c r="P115" s="20" t="str">
        <x:v>Análisis v0.7 + benchmark PIDX/SAP</x:v>
      </x:c>
    </x:row>
    <x:row r="116" ht="62" customHeight="1">
      <x:c r="A116" s="20" t="str">
        <x:v>V0-115</x:v>
      </x:c>
      <x:c r="B116" s="20" t="str">
        <x:v>Certificación</x:v>
      </x:c>
      <x:c r="C116" s="20" t="str">
        <x:v>estado_certificabilidad</x:v>
      </x:c>
      <x:c r="D116" s="20" t="str">
        <x:v>Estado que expresa si una UnidadComercial está incompleta, elegible, observada, aceptada o rechazada para Certificación.</x:v>
      </x:c>
      <x:c r="E116" s="20" t="str">
        <x:v>UnidadComercial</x:v>
      </x:c>
      <x:c r="F116" s="20" t="str">
        <x:v>Dominio Certificación</x:v>
      </x:c>
      <x:c r="G116" s="20" t="str">
        <x:v>Estado</x:v>
      </x:c>
      <x:c r="H116" s="20" t="str">
        <x:v>Sistema / responsable</x:v>
      </x:c>
      <x:c r="I116" s="20" t="str">
        <x:v>Calculado + workflow</x:v>
      </x:c>
      <x:c r="J116" s="20" t="str">
        <x:v>No</x:v>
      </x:c>
      <x:c r="K116" s="20" t="str">
        <x:v>Downstream</x:v>
      </x:c>
      <x:c r="L116" s="20" t="str">
        <x:v>cierre operativo + evidencia + regla contractual</x:v>
      </x:c>
      <x:c r="M116" s="20" t="str">
        <x:v>Patrón sólido</x:v>
      </x:c>
      <x:c r="N116" s="20" t="str">
        <x:v>Cerrar nomenclatura y estados finales con Certificaciones.</x:v>
      </x:c>
      <x:c r="O116" s="20" t="str">
        <x:v>Debe ser independiente del estado_operativo_parte.</x:v>
      </x:c>
      <x:c r="P116" s="20" t="str">
        <x:v>Análisis v0.7</x:v>
      </x:c>
    </x:row>
    <x:row r="117" ht="62" customHeight="1">
      <x:c r="A117" s="20" t="str">
        <x:v>V0-116</x:v>
      </x:c>
      <x:c r="B117" s="20" t="str">
        <x:v>Certificación</x:v>
      </x:c>
      <x:c r="C117" s="20" t="str">
        <x:v>cantidad_certificable</x:v>
      </x:c>
      <x:c r="D117" s="20" t="str">
        <x:v>Cantidad comercial resultante de aplicar la ReglaMedicionItem a la evidencia/medición de ejecución.</x:v>
      </x:c>
      <x:c r="E117" s="20" t="str">
        <x:v>UnidadComercial</x:v>
      </x:c>
      <x:c r="F117" s="20" t="str">
        <x:v>Dominio Certificación</x:v>
      </x:c>
      <x:c r="G117" s="20" t="str">
        <x:v>Valor derivado</x:v>
      </x:c>
      <x:c r="H117" s="20" t="str">
        <x:v>Motor contractual</x:v>
      </x:c>
      <x:c r="I117" s="20" t="str">
        <x:v>Calculado</x:v>
      </x:c>
      <x:c r="J117" s="20" t="str">
        <x:v>No salvo ajuste autorizado</x:v>
      </x:c>
      <x:c r="K117" s="20" t="str">
        <x:v>Downstream</x:v>
      </x:c>
      <x:c r="L117" s="20" t="str">
        <x:v>horas, m³, viajes, pulgadas, registro</x:v>
      </x:c>
      <x:c r="M117" s="20" t="str">
        <x:v>Patrón sólido</x:v>
      </x:c>
      <x:c r="N117" s="20" t="str">
        <x:v>Validar fórmulas por ItemContrato.</x:v>
      </x:c>
      <x:c r="O117" s="20" t="str">
        <x:v>No recalcular manualmente desde cero si el Parte ya produjo la medición base.</x:v>
      </x:c>
      <x:c r="P117" s="20" t="str">
        <x:v>Respuestas operación + benchmark SAP</x:v>
      </x:c>
    </x:row>
    <x:row r="118" ht="62" customHeight="1">
      <x:c r="A118" s="20" t="str">
        <x:v>V0-117</x:v>
      </x:c>
      <x:c r="B118" s="20" t="str">
        <x:v>Certificación</x:v>
      </x:c>
      <x:c r="C118" s="20" t="str">
        <x:v>conformidad_cliente_id</x:v>
      </x:c>
      <x:c r="D118" s="20" t="str">
        <x:v>Aceptación/rechazo/observación emitida por el cliente sobre una UnidadComercial, Parte o Paquete según la regla contractual.</x:v>
      </x:c>
      <x:c r="E118" s="20" t="str">
        <x:v>ConformidadCliente</x:v>
      </x:c>
      <x:c r="F118" s="20" t="str">
        <x:v>Dominio Certificación / evidencia</x:v>
      </x:c>
      <x:c r="G118" s="20" t="str">
        <x:v>Entidad/evento</x:v>
      </x:c>
      <x:c r="H118" s="20" t="str">
        <x:v>Cliente / integración</x:v>
      </x:c>
      <x:c r="I118" s="20" t="str">
        <x:v>Captura/integración</x:v>
      </x:c>
      <x:c r="J118" s="20" t="str">
        <x:v>Condicional</x:v>
      </x:c>
      <x:c r="K118" s="20" t="str">
        <x:v>Downstream</x:v>
      </x:c>
      <x:c r="L118" s="20" t="str">
        <x:v>firma cliente; aprobación posterior</x:v>
      </x:c>
      <x:c r="M118" s="20" t="str">
        <x:v>Base sólida inicial</x:v>
      </x:c>
      <x:c r="N118" s="20" t="str">
        <x:v>Definir scope: línea, Parte o Paquete por ContratoServicio.</x:v>
      </x:c>
      <x:c r="O118" s="20" t="str">
        <x:v>Puede ocurrir después del cierre operativo.</x:v>
      </x:c>
      <x:c r="P118" s="20" t="str">
        <x:v>Seguimiento contratos + PIDX benchmark</x:v>
      </x:c>
    </x:row>
    <x:row r="119" ht="62" customHeight="1">
      <x:c r="A119" s="20" t="str">
        <x:v>V0-118</x:v>
      </x:c>
      <x:c r="B119" s="20" t="str">
        <x:v>Certificación</x:v>
      </x:c>
      <x:c r="C119" s="20" t="str">
        <x:v>observacion_certificacion_id</x:v>
      </x:c>
      <x:c r="D119" s="20" t="str">
        <x:v>Incidencia comercial/documental que impide o condiciona la Certificación sin modificar la verdad operativa original.</x:v>
      </x:c>
      <x:c r="E119" s="20" t="str">
        <x:v>ObservacionCertificacion</x:v>
      </x:c>
      <x:c r="F119" s="20" t="str">
        <x:v>Dominio Certificación</x:v>
      </x:c>
      <x:c r="G119" s="20" t="str">
        <x:v>Entidad/evento</x:v>
      </x:c>
      <x:c r="H119" s="20" t="str">
        <x:v>Certificaciones / cliente</x:v>
      </x:c>
      <x:c r="I119" s="20" t="str">
        <x:v>Captura estructurada</x:v>
      </x:c>
      <x:c r="J119" s="20" t="str">
        <x:v>No campo</x:v>
      </x:c>
      <x:c r="K119" s="20" t="str">
        <x:v>Downstream</x:v>
      </x:c>
      <x:c r="L119" s="20" t="str">
        <x:v>faltantes, rechazo, discrepancia</x:v>
      </x:c>
      <x:c r="M119" s="20" t="str">
        <x:v>Patrón sólido</x:v>
      </x:c>
      <x:c r="N119" s="20" t="str">
        <x:v>Crear catálogo de motivos.</x:v>
      </x:c>
      <x:c r="O119" s="20" t="str">
        <x:v>Corrección debe ser trazable y nunca borrar el dato de campo original.</x:v>
      </x:c>
      <x:c r="P119" s="20" t="str">
        <x:v>Análisis v0.7</x:v>
      </x:c>
    </x:row>
    <x:row r="120" ht="62" customHeight="1">
      <x:c r="A120" s="20" t="str">
        <x:v>V0-119</x:v>
      </x:c>
      <x:c r="B120" s="20" t="str">
        <x:v>Certificación</x:v>
      </x:c>
      <x:c r="C120" s="20" t="str">
        <x:v>ajuste_certificacion_id</x:v>
      </x:c>
      <x:c r="D120" s="20" t="str">
        <x:v>Ajuste autorizado sobre una UnidadComercial/Paquete cuando negocio acuerda una corrección comercial posterior a la ejecución.</x:v>
      </x:c>
      <x:c r="E120" s="20" t="str">
        <x:v>AjusteCertificacion</x:v>
      </x:c>
      <x:c r="F120" s="20" t="str">
        <x:v>Dominio Certificación</x:v>
      </x:c>
      <x:c r="G120" s="20" t="str">
        <x:v>Entidad/evento</x:v>
      </x:c>
      <x:c r="H120" s="20" t="str">
        <x:v>Certificaciones / autorizado</x:v>
      </x:c>
      <x:c r="I120" s="20" t="str">
        <x:v>Manual controlado</x:v>
      </x:c>
      <x:c r="J120" s="20" t="str">
        <x:v>No campo</x:v>
      </x:c>
      <x:c r="K120" s="20" t="str">
        <x:v>Downstream</x:v>
      </x:c>
      <x:c r="L120" s="20" t="str">
        <x:v>correcciones comerciales futuras</x:v>
      </x:c>
      <x:c r="M120" s="20" t="str">
        <x:v>Provisional</x:v>
      </x:c>
      <x:c r="N120" s="20" t="str">
        <x:v>Definir qué se puede ajustar y quién autoriza.</x:v>
      </x:c>
      <x:c r="O120" s="20" t="str">
        <x:v>Separar corrección comercial de edición retroactiva del Parte.</x:v>
      </x:c>
      <x:c r="P120" s="20" t="str">
        <x:v>Análisis v0.7</x:v>
      </x:c>
    </x:row>
    <x:row r="121" ht="62" customHeight="1">
      <x:c r="A121" s="20" t="str">
        <x:v>V0-120</x:v>
      </x:c>
      <x:c r="B121" s="20" t="str">
        <x:v>Facturación</x:v>
      </x:c>
      <x:c r="C121" s="20" t="str">
        <x:v>linea_facturable_id</x:v>
      </x:c>
      <x:c r="D121" s="20" t="str">
        <x:v>Unidad ya certificada/aceptada que cumple las reglas para convertirse en línea de facturación.</x:v>
      </x:c>
      <x:c r="E121" s="20" t="str">
        <x:v>LineaFacturable</x:v>
      </x:c>
      <x:c r="F121" s="20" t="str">
        <x:v>Dominio Facturación</x:v>
      </x:c>
      <x:c r="G121" s="20" t="str">
        <x:v>Entidad derivada</x:v>
      </x:c>
      <x:c r="H121" s="20" t="str">
        <x:v>Certificación + contrato</x:v>
      </x:c>
      <x:c r="I121" s="20" t="str">
        <x:v>Generado automático</x:v>
      </x:c>
      <x:c r="J121" s="20" t="str">
        <x:v>No</x:v>
      </x:c>
      <x:c r="K121" s="20" t="str">
        <x:v>Downstream</x:v>
      </x:c>
      <x:c r="L121" s="20" t="str">
        <x:v>certificación aceptada</x:v>
      </x:c>
      <x:c r="M121" s="20" t="str">
        <x:v>Patrón sólido</x:v>
      </x:c>
      <x:c r="N121" s="20" t="str">
        <x:v>Definir relación con sistema contable/ERP.</x:v>
      </x:c>
      <x:c r="O121" s="20" t="str">
        <x:v>Factura consume aceptación, no evidencia cruda de campo.</x:v>
      </x:c>
      <x:c r="P121" s="20" t="str">
        <x:v>Análisis v0.7 + benchmark SAP</x:v>
      </x:c>
    </x:row>
    <x:row r="122" ht="62" customHeight="1">
      <x:c r="A122" s="20" t="str">
        <x:v>V0-121</x:v>
      </x:c>
      <x:c r="B122" s="20" t="str">
        <x:v>Facturación</x:v>
      </x:c>
      <x:c r="C122" s="20" t="str">
        <x:v>lote_facturacion_id</x:v>
      </x:c>
      <x:c r="D122" s="20" t="str">
        <x:v>Agrupador de líneas facturables según cliente, contrato, período y reglas administrativas.</x:v>
      </x:c>
      <x:c r="E122" s="20" t="str">
        <x:v>LoteFacturacion</x:v>
      </x:c>
      <x:c r="F122" s="20" t="str">
        <x:v>Dominio Facturación</x:v>
      </x:c>
      <x:c r="G122" s="20" t="str">
        <x:v>Entidad transaccional</x:v>
      </x:c>
      <x:c r="H122" s="20" t="str">
        <x:v>Sistema</x:v>
      </x:c>
      <x:c r="I122" s="20" t="str">
        <x:v>Generado por regla</x:v>
      </x:c>
      <x:c r="J122" s="20" t="str">
        <x:v>No</x:v>
      </x:c>
      <x:c r="K122" s="20" t="str">
        <x:v>Downstream</x:v>
      </x:c>
      <x:c r="L122" s="20" t="str">
        <x:v>agrupación/cadencias a validar</x:v>
      </x:c>
      <x:c r="M122" s="20" t="str">
        <x:v>Provisional</x:v>
      </x:c>
      <x:c r="N122" s="20" t="str">
        <x:v>Cerrar reglas reales de emisión.</x:v>
      </x:c>
      <x:c r="O122" s="20" t="str">
        <x:v>Mantener separado de PaqueteCertificacion: pueden tener granularidades distintas.</x:v>
      </x:c>
      <x:c r="P122" s="20" t="str">
        <x:v>Análisis v0.7</x:v>
      </x:c>
    </x:row>
    <x:row r="123" ht="62" customHeight="1">
      <x:c r="A123" s="20" t="str">
        <x:v>V0-122</x:v>
      </x:c>
      <x:c r="B123" s="20" t="str">
        <x:v>Facturación</x:v>
      </x:c>
      <x:c r="C123" s="20" t="str">
        <x:v>regla_facturacion_id</x:v>
      </x:c>
      <x:c r="D123" s="20" t="str">
        <x:v>Regla que determina cuándo una certificación aceptada puede agruparse y emitirse como factura.</x:v>
      </x:c>
      <x:c r="E123" s="20" t="str">
        <x:v>ReglaFacturacion</x:v>
      </x:c>
      <x:c r="F123" s="20" t="str">
        <x:v>Capa contractual → Facturación</x:v>
      </x:c>
      <x:c r="G123" s="20" t="str">
        <x:v>Regla</x:v>
      </x:c>
      <x:c r="H123" s="20" t="str">
        <x:v>Contrato/ContratoServicio</x:v>
      </x:c>
      <x:c r="I123" s="20" t="str">
        <x:v>Derivado</x:v>
      </x:c>
      <x:c r="J123" s="20" t="str">
        <x:v>No</x:v>
      </x:c>
      <x:c r="K123" s="20" t="str">
        <x:v>Configuración</x:v>
      </x:c>
      <x:c r="L123" s="20" t="str">
        <x:v>pendiente contratos específicos</x:v>
      </x:c>
      <x:c r="M123" s="20" t="str">
        <x:v>Slot necesario</x:v>
      </x:c>
      <x:c r="N123" s="20" t="str">
        <x:v>Recibir condiciones de facturación reales.</x:v>
      </x:c>
      <x:c r="O123" s="20" t="str">
        <x:v>No inventar impuestos, moneda, PO u otros requisitos hasta tener fuente.</x:v>
      </x:c>
      <x:c r="P123" s="20" t="str">
        <x:v>Análisis v0.7</x:v>
      </x:c>
    </x:row>
    <x:row r="124" ht="62" customHeight="1">
      <x:c r="A124" s="20" t="str">
        <x:v>V0-123</x:v>
      </x:c>
      <x:c r="B124" s="20" t="str">
        <x:v>Referencias externas</x:v>
      </x:c>
      <x:c r="C124" s="20" t="str">
        <x:v>referencia_orden_trabajo_externa</x:v>
      </x:c>
      <x:c r="D124" s="20" t="str">
        <x:v>Número/código de orden de trabajo, work order o referencia equivalente del cliente/operadora cuando exista.</x:v>
      </x:c>
      <x:c r="E124" s="20" t="str">
        <x:v>UnidadPlanificada/UnidadEjecución</x:v>
      </x:c>
      <x:c r="F124" s="20" t="str">
        <x:v>Interfaz externa / operación</x:v>
      </x:c>
      <x:c r="G124" s="20" t="str">
        <x:v>Referencia externa</x:v>
      </x:c>
      <x:c r="H124" s="20" t="str">
        <x:v>Planificación / integración / cliente</x:v>
      </x:c>
      <x:c r="I124" s="20" t="str">
        <x:v>Heredado o capturado condicional</x:v>
      </x:c>
      <x:c r="J124" s="20" t="str">
        <x:v>No normalmente</x:v>
      </x:c>
      <x:c r="K124" s="20" t="str">
        <x:v>Condicional</x:v>
      </x:c>
      <x:c r="L124" s="20" t="str">
        <x:v>Orden de Trabajo (OT N°)</x:v>
      </x:c>
      <x:c r="M124" s="20" t="str">
        <x:v>Base sólida</x:v>
      </x:c>
      <x:c r="N124" s="20" t="str">
        <x:v>Definir qué clientes/servicios la exigen y si es única por Parte o Unidad.</x:v>
      </x:c>
      <x:c r="O124" s="20" t="str">
        <x:v>No convertir OT externa en identidad técnica del Parte.</x:v>
      </x:c>
      <x:c r="P124" s="20" t="str">
        <x:v>Homologación: Orden de Trabajo (OT N°)</x:v>
      </x:c>
    </x:row>
    <x:row r="125" ht="62" customHeight="1">
      <x:c r="A125" s="20" t="str">
        <x:v>V0-124</x:v>
      </x:c>
      <x:c r="B125" s="20" t="str">
        <x:v>Intervención</x:v>
      </x:c>
      <x:c r="C125" s="20" t="str">
        <x:v>alcance_intervencion_id</x:v>
      </x:c>
      <x:c r="D125" s="20" t="str">
        <x:v>Identidad lógica del work package/intervención que mantiene unidas tareas relacionadas bajo un mismo objetivo, ubicación/activo y contexto operativo.</x:v>
      </x:c>
      <x:c r="E125" s="20" t="str">
        <x:v>UnidadPlanificada/UnidadEjecución</x:v>
      </x:c>
      <x:c r="F125" s="20" t="str">
        <x:v>TP-01 / operación</x:v>
      </x:c>
      <x:c r="G125" s="20" t="str">
        <x:v>Relación/agrupador</x:v>
      </x:c>
      <x:c r="H125" s="20" t="str">
        <x:v>Planificación / demanda</x:v>
      </x:c>
      <x:c r="I125" s="20" t="str">
        <x:v>Derivado/generado</x:v>
      </x:c>
      <x:c r="J125" s="20" t="str">
        <x:v>No</x:v>
      </x:c>
      <x:c r="K125" s="20" t="str">
        <x:v>TP-01 Core</x:v>
      </x:c>
      <x:c r="L125" s="20" t="str">
        <x:v>Trabajo Solicitado; tarea/intervención</x:v>
      </x:c>
      <x:c r="M125" s="20" t="str">
        <x:v>Provisional fuerte</x:v>
      </x:c>
      <x:c r="N125" s="20" t="str">
        <x:v>Validar si una intervención puede incluir más de una ubicación/activo o varios servicios compatibles.</x:v>
      </x:c>
      <x:c r="O125" s="20" t="str">
        <x:v>No equivale a PermisoTrabajo; un alcance puede requerir 0..N permisos.</x:v>
      </x:c>
      <x:c r="P125" s="20" t="str">
        <x:v>Homologación + respuestas operación + análisis v0.8</x:v>
      </x:c>
    </x:row>
    <x:row r="126" ht="62" customHeight="1">
      <x:c r="A126" s="20" t="str">
        <x:v>V0-125</x:v>
      </x:c>
      <x:c r="B126" s="20" t="str">
        <x:v>Permiso de trabajo</x:v>
      </x:c>
      <x:c r="C126" s="20" t="str">
        <x:v>permiso_valido_desde_at</x:v>
      </x:c>
      <x:c r="D126" s="20" t="str">
        <x:v>Inicio de vigencia operacional del PermisoTrabajo para ejecutar el alcance autorizado.</x:v>
      </x:c>
      <x:c r="E126" s="20" t="str">
        <x:v>PermisoTrabajo</x:v>
      </x:c>
      <x:c r="F126" s="20" t="str">
        <x:v>Gate de seguridad</x:v>
      </x:c>
      <x:c r="G126" s="20" t="str">
        <x:v>Timestamp</x:v>
      </x:c>
      <x:c r="H126" s="20" t="str">
        <x:v>Sistema / Habilita</x:v>
      </x:c>
      <x:c r="I126" s="20" t="str">
        <x:v>Automático/heredado</x:v>
      </x:c>
      <x:c r="J126" s="20" t="str">
        <x:v>No</x:v>
      </x:c>
      <x:c r="K126" s="20" t="str">
        <x:v>Condicional</x:v>
      </x:c>
      <x:c r="L126" s="20" t="str">
        <x:v>Permiso con marco temporal</x:v>
      </x:c>
      <x:c r="M126" s="20" t="str">
        <x:v>Patrón sólido</x:v>
      </x:c>
      <x:c r="N126" s="20" t="str">
        <x:v>Validar si siempre coincide con apertura_at.</x:v>
      </x:c>
      <x:c r="O126" s="20" t="str">
        <x:v>Permite controlar extensiones/handovers sin usar el turno como corte universal del Parte.</x:v>
      </x:c>
      <x:c r="P126" s="20" t="str">
        <x:v>Benchmark HSE/HSG250 + respuesta operación</x:v>
      </x:c>
    </x:row>
    <x:row r="127" ht="62" customHeight="1">
      <x:c r="A127" s="20" t="str">
        <x:v>V0-126</x:v>
      </x:c>
      <x:c r="B127" s="20" t="str">
        <x:v>Permiso de trabajo</x:v>
      </x:c>
      <x:c r="C127" s="20" t="str">
        <x:v>permiso_valido_hasta_at</x:v>
      </x:c>
      <x:c r="D127" s="20" t="str">
        <x:v>Fin de vigencia operacional del PermisoTrabajo; si la ejecución continúa después requiere extensión, renovación o nuevo permiso según regla.</x:v>
      </x:c>
      <x:c r="E127" s="20" t="str">
        <x:v>PermisoTrabajo</x:v>
      </x:c>
      <x:c r="F127" s="20" t="str">
        <x:v>Gate de seguridad</x:v>
      </x:c>
      <x:c r="G127" s="20" t="str">
        <x:v>Timestamp</x:v>
      </x:c>
      <x:c r="H127" s="20" t="str">
        <x:v>Sistema / Habilita</x:v>
      </x:c>
      <x:c r="I127" s="20" t="str">
        <x:v>Automático/heredado</x:v>
      </x:c>
      <x:c r="J127" s="20" t="str">
        <x:v>No</x:v>
      </x:c>
      <x:c r="K127" s="20" t="str">
        <x:v>Condicional</x:v>
      </x:c>
      <x:c r="L127" s="20" t="str">
        <x:v>Permiso limitado a ventana temporal</x:v>
      </x:c>
      <x:c r="M127" s="20" t="str">
        <x:v>Patrón sólido</x:v>
      </x:c>
      <x:c r="N127" s="20" t="str">
        <x:v>Cerrar política VDS/cliente para extensión y cambio de turno.</x:v>
      </x:c>
      <x:c r="O127" s="20" t="str">
        <x:v>La expiración del permiso puede suspender ejecución sin cerrar el Parte.</x:v>
      </x:c>
      <x:c r="P127" s="20" t="str">
        <x:v>Benchmark HSE/HSG250</x:v>
      </x:c>
    </x:row>
    <x:row r="128" ht="62" customHeight="1">
      <x:c r="A128" s="20" t="str">
        <x:v>V0-127</x:v>
      </x:c>
      <x:c r="B128" s="20" t="str">
        <x:v>Permiso de trabajo</x:v>
      </x:c>
      <x:c r="C128" s="20" t="str">
        <x:v>evento_handover_permiso_id</x:v>
      </x:c>
      <x:c r="D128" s="20" t="str">
        <x:v>Evento auditable de transferencia/revalidación del control del PermisoTrabajo cuando cambia turno, responsable o condición relevante.</x:v>
      </x:c>
      <x:c r="E128" s="20" t="str">
        <x:v>PermisoHandover</x:v>
      </x:c>
      <x:c r="F128" s="20" t="str">
        <x:v>Gate de seguridad / trazabilidad</x:v>
      </x:c>
      <x:c r="G128" s="20" t="str">
        <x:v>Evento</x:v>
      </x:c>
      <x:c r="H128" s="20" t="str">
        <x:v>Habilita / supervisor</x:v>
      </x:c>
      <x:c r="I128" s="20" t="str">
        <x:v>Generado condicional</x:v>
      </x:c>
      <x:c r="J128" s="20" t="str">
        <x:v>Condicional</x:v>
      </x:c>
      <x:c r="K128" s="20" t="str">
        <x:v>Condicional</x:v>
      </x:c>
      <x:c r="L128" s="20" t="str">
        <x:v>Cambio de turno; cierre/firma supervisor</x:v>
      </x:c>
      <x:c r="M128" s="20" t="str">
        <x:v>Provisional</x:v>
      </x:c>
      <x:c r="N128" s="20" t="str">
        <x:v>Validar si los clientes requieren cierre+nuevo permiso o handover/extension.</x:v>
      </x:c>
      <x:c r="O128" s="20" t="str">
        <x:v>Mantiene seguridad separada del lifecycle del Parte.</x:v>
      </x:c>
      <x:c r="P128" s="20" t="str">
        <x:v>Benchmark HSE + análisis v0.8</x:v>
      </x:c>
    </x:row>
    <x:row r="129" ht="62" customHeight="1">
      <x:c r="A129" s="20" t="str">
        <x:v>V0-129</x:v>
      </x:c>
      <x:c r="B129" s="20" t="str">
        <x:v>Trazabilidad / Corrección</x:v>
      </x:c>
      <x:c r="C129" s="20" t="str">
        <x:v>enmienda_operativa_id</x:v>
      </x:c>
      <x:c r="D129" s="20" t="str">
        <x:v>Corrección auditable de un error real de captura/evidencia operativa, realizada por un rol autorizado sin borrar el valor original.</x:v>
      </x:c>
      <x:c r="E129" s="20" t="str">
        <x:v>EnmiendaOperativa</x:v>
      </x:c>
      <x:c r="F129" s="20" t="str">
        <x:v>Ejecución / pre-certificación</x:v>
      </x:c>
      <x:c r="G129" s="20" t="str">
        <x:v>Entidad append-only</x:v>
      </x:c>
      <x:c r="H129" s="20" t="str">
        <x:v>Supervisión / rol autorizado</x:v>
      </x:c>
      <x:c r="I129" s="20" t="str">
        <x:v>Manual controlado</x:v>
      </x:c>
      <x:c r="J129" s="20" t="str">
        <x:v>No campo normal</x:v>
      </x:c>
      <x:c r="K129" s="20" t="str">
        <x:v>Excepción</x:v>
      </x:c>
      <x:c r="L129" s="20" t="str">
        <x:v>Error de carga real (ej. 80h en vez de 8h)</x:v>
      </x:c>
      <x:c r="M129" s="20" t="str">
        <x:v>Base sólida de diseño</x:v>
      </x:c>
      <x:c r="N129" s="20" t="str">
        <x:v>Definir objetos/campos enmendables, roles autorizantes y política de revalidación.</x:v>
      </x:c>
      <x:c r="O129" s="20" t="str">
        <x:v>No usar AjusteCertificacion para corregir verdad operativa. Debe conservar valor anterior, nuevo valor, motivo, evidencia, actor y timestamp.</x:v>
      </x:c>
      <x:c r="P129" s="20" t="str">
        <x:v>Auditoría externa H-03 + principio de inmutabilidad</x:v>
      </x:c>
    </x:row>
    <x:row r="130" ht="62" customHeight="1">
      <x:c r="A130" s="20" t="str">
        <x:v>V0-130</x:v>
      </x:c>
      <x:c r="B130" s="20" t="str">
        <x:v>Recursos</x:v>
      </x:c>
      <x:c r="C130" s="20" t="str">
        <x:v>disponibilidad_recurso_id</x:v>
      </x:c>
      <x:c r="D130" s="20" t="str">
        <x:v>Registro temporal de disponibilidad operacional de un Recurso para Planificación: disponible, asignado, mantenimiento, fuera de servicio, reservado u otro estado configurado.</x:v>
      </x:c>
      <x:c r="E130" s="20" t="str">
        <x:v>DisponibilidadRecurso</x:v>
      </x:c>
      <x:c r="F130" s="20" t="str">
        <x:v>Rail de disponibilidad / Planificación</x:v>
      </x:c>
      <x:c r="G130" s="20" t="str">
        <x:v>Entidad temporal/evento</x:v>
      </x:c>
      <x:c r="H130" s="20" t="str">
        <x:v>Flota / mantenimiento / sistema</x:v>
      </x:c>
      <x:c r="I130" s="20" t="str">
        <x:v>Heredado/integrado</x:v>
      </x:c>
      <x:c r="J130" s="20" t="str">
        <x:v>No</x:v>
      </x:c>
      <x:c r="K130" s="20" t="str">
        <x:v>Upstream transversal</x:v>
      </x:c>
      <x:c r="L130" s="20" t="str">
        <x:v>Necesidad de evitar asignar recurso no disponible</x:v>
      </x:c>
      <x:c r="M130" s="20" t="str">
        <x:v>Base sólida de diseño</x:v>
      </x:c>
      <x:c r="N130" s="20" t="str">
        <x:v>Definir fuente real: flota, mantenimiento, integración o carga operativa.</x:v>
      </x:c>
      <x:c r="O130" s="20" t="str">
        <x:v>No intenta reemplazar un CMMS; expone el mínimo estado necesario para readiness y matching.</x:v>
      </x:c>
      <x:c r="P130" s="20" t="str">
        <x:v>Auditoría externa + análisis v0.9</x:v>
      </x:c>
    </x:row>
    <x:row r="131" ht="62" customHeight="1">
      <x:c r="A131" s="20" t="str">
        <x:v>V0-131</x:v>
      </x:c>
      <x:c r="B131" s="20" t="str">
        <x:v>Recursos</x:v>
      </x:c>
      <x:c r="C131" s="20" t="str">
        <x:v>estado_disponibilidad_recurso_id</x:v>
      </x:c>
      <x:c r="D131" s="20" t="str">
        <x:v>Estado normalizado utilizado por DisponibilidadRecurso para decidir elegibilidad temporal en Planificación.</x:v>
      </x:c>
      <x:c r="E131" s="20" t="str">
        <x:v>DisponibilidadRecurso</x:v>
      </x:c>
      <x:c r="F131" s="20" t="str">
        <x:v>Catálogo / rail transversal</x:v>
      </x:c>
      <x:c r="G131" s="20" t="str">
        <x:v>Relación catálogo</x:v>
      </x:c>
      <x:c r="H131" s="20" t="str">
        <x:v>Catálogo maestro</x:v>
      </x:c>
      <x:c r="I131" s="20" t="str">
        <x:v>Derivado/heredado</x:v>
      </x:c>
      <x:c r="J131" s="20" t="str">
        <x:v>No</x:v>
      </x:c>
      <x:c r="K131" s="20" t="str">
        <x:v>Referencia</x:v>
      </x:c>
      <x:c r="L131" s="20" t="str">
        <x:v>disponible; asignado; mantenimiento; fuera de servicio; reservado</x:v>
      </x:c>
      <x:c r="M131" s="20" t="str">
        <x:v>Provisional</x:v>
      </x:c>
      <x:c r="N131" s="20" t="str">
        <x:v>Cerrar catálogo y precedencias entre estados técnicos, documentales y operativos.</x:v>
      </x:c>
      <x:c r="O131" s="20" t="str">
        <x:v>Separar disponibilidad técnica de habilitación documental.</x:v>
      </x:c>
      <x:c r="P131" s="20" t="str">
        <x:v>Auditoría externa + análisis v0.9</x:v>
      </x:c>
    </x:row>
    <x:row r="132" ht="62" customHeight="1">
      <x:c r="A132" s="20" t="str">
        <x:v>V0-132</x:v>
      </x:c>
      <x:c r="B132" s="20" t="str">
        <x:v>Control operativo</x:v>
      </x:c>
      <x:c r="C132" s="20" t="str">
        <x:v>directiva_operativa_id</x:v>
      </x:c>
      <x:c r="D132" s="20" t="str">
        <x:v>Señal de control emitida después de confirmar una planificación para afectar una ejecución/asignación sin reescribir la intención histórica.</x:v>
      </x:c>
      <x:c r="E132" s="20" t="str">
        <x:v>DirectivaOperativa</x:v>
      </x:c>
      <x:c r="F132" s="20" t="str">
        <x:v>Control Plane Planificación↔Ejecución</x:v>
      </x:c>
      <x:c r="G132" s="20" t="str">
        <x:v>Entidad/evento append-only</x:v>
      </x:c>
      <x:c r="H132" s="20" t="str">
        <x:v>Planificación / Supervisión / integración</x:v>
      </x:c>
      <x:c r="I132" s="20" t="str">
        <x:v>Generado por acción o integración</x:v>
      </x:c>
      <x:c r="J132" s="20" t="str">
        <x:v>No</x:v>
      </x:c>
      <x:c r="K132" s="20" t="str">
        <x:v>Transversal</x:v>
      </x:c>
      <x:c r="L132" s="20" t="str">
        <x:v>cancelar, suspender, repriorizar, reprogramar, cambio de alcance</x:v>
      </x:c>
      <x:c r="M132" s="20" t="str">
        <x:v>Base sólida de diseño</x:v>
      </x:c>
      <x:c r="N132" s="20" t="str">
        <x:v>Definir permisos, acknowledgement y comportamiento offline.</x:v>
      </x:c>
      <x:c r="O132" s="20" t="str">
        <x:v>El snapshot original permanece intacto; la directiva viaja por un canal de control separado.</x:v>
      </x:c>
      <x:c r="P132" s="20" t="str">
        <x:v>Auditoría escenario OT cancelada + análisis v0.9</x:v>
      </x:c>
    </x:row>
    <x:row r="133" ht="62" customHeight="1">
      <x:c r="A133" s="20" t="str">
        <x:v>V0-133</x:v>
      </x:c>
      <x:c r="B133" s="20" t="str">
        <x:v>Control operativo</x:v>
      </x:c>
      <x:c r="C133" s="20" t="str">
        <x:v>tipo_directiva_operativa_id</x:v>
      </x:c>
      <x:c r="D133" s="20" t="str">
        <x:v>Tipo de señal del Control Plane y política de efecto sobre la ejecución.</x:v>
      </x:c>
      <x:c r="E133" s="20" t="str">
        <x:v>DirectivaOperativa</x:v>
      </x:c>
      <x:c r="F133" s="20" t="str">
        <x:v>Control Plane</x:v>
      </x:c>
      <x:c r="G133" s="20" t="str">
        <x:v>Catálogo/regla</x:v>
      </x:c>
      <x:c r="H133" s="20" t="str">
        <x:v>Catálogo maestro / ContratoServicio</x:v>
      </x:c>
      <x:c r="I133" s="20" t="str">
        <x:v>Selección/derivado</x:v>
      </x:c>
      <x:c r="J133" s="20" t="str">
        <x:v>No</x:v>
      </x:c>
      <x:c r="K133" s="20" t="str">
        <x:v>Referencia</x:v>
      </x:c>
      <x:c r="L133" s="20" t="str">
        <x:v>CANCELAR; SUSPENDER; REPRIORIZAR; REPROGRAMAR; CAMBIO_ALCANCE</x:v>
      </x:c>
      <x:c r="M133" s="20" t="str">
        <x:v>Base sólida inicial</x:v>
      </x:c>
      <x:c r="N133" s="20" t="str">
        <x:v>Cerrar catálogo y distinguir directivas informativas de bloqueantes.</x:v>
      </x:c>
      <x:c r="O133" s="20" t="str">
        <x:v>No todas las directivas deben detener trabajo automáticamente; depende del tipo y estado real.</x:v>
      </x:c>
      <x:c r="P133" s="20" t="str">
        <x:v>Análisis v0.9</x:v>
      </x:c>
    </x:row>
    <x:row r="134" ht="62" customHeight="1">
      <x:c r="A134" s="20" t="str">
        <x:v>V0-134</x:v>
      </x:c>
      <x:c r="B134" s="20" t="str">
        <x:v>Offline / Sincronización</x:v>
      </x:c>
      <x:c r="C134" s="20" t="str">
        <x:v>execution_context_bundle_id</x:v>
      </x:c>
      <x:c r="D134" s="20" t="str">
        <x:v>Paquete lógico precompilado con el contexto mínimo que una tablet necesita para ejecutar asignaciones y resolver reglas críticas sin consultar toda la capa maestra.</x:v>
      </x:c>
      <x:c r="E134" s="20" t="str">
        <x:v>ExecutionContextBundle</x:v>
      </x:c>
      <x:c r="F134" s="20" t="str">
        <x:v>Interface A / Offline</x:v>
      </x:c>
      <x:c r="G134" s="20" t="str">
        <x:v>Artefacto de sincronización</x:v>
      </x:c>
      <x:c r="H134" s="20" t="str">
        <x:v>Backend / compilador de contexto</x:v>
      </x:c>
      <x:c r="I134" s="20" t="str">
        <x:v>Generado automático</x:v>
      </x:c>
      <x:c r="J134" s="20" t="str">
        <x:v>No</x:v>
      </x:c>
      <x:c r="K134" s="20" t="str">
        <x:v>Implementación funcional</x:v>
      </x:c>
      <x:c r="L134" s="20" t="str">
        <x:v>asignaciones próximas + personas/recursos relevantes + ubicaciones + reglas TipoParte/corte + requisitos + fallback</x:v>
      </x:c>
      <x:c r="M134" s="20" t="str">
        <x:v>Base sólida como patrón</x:v>
      </x:c>
      <x:c r="N134" s="20" t="str">
        <x:v>Definir ventana de descarga, invalidación/versiones y fallback de emergencia en etapa técnica.</x:v>
      </x:c>
      <x:c r="O134" s="20" t="str">
        <x:v>No es una nueva verdad de negocio: es una proyección/cache versionada de datos maestros y asignaciones.</x:v>
      </x:c>
      <x:c r="P134" s="20" t="str">
        <x:v>Auditoría H-02 + análisis v0.9</x:v>
      </x:c>
    </x:row>
    <x:row r="135" ht="62" customHeight="1">
      <x:c r="A135" s="20" t="str">
        <x:v>V0-135</x:v>
      </x:c>
      <x:c r="B135" s="20" t="str">
        <x:v>Personas</x:v>
      </x:c>
      <x:c r="C135" s="20" t="str">
        <x:v>asignacion_persona_ejecucion</x:v>
      </x:c>
      <x:c r="D135" s="20" t="str">
        <x:v>Relación temporal que registra qué Persona/rol estuvo afectada realmente a un Parte/UnidadEjecución y durante qué intervalo.</x:v>
      </x:c>
      <x:c r="E135" s="20" t="str">
        <x:v>AsignacionPersonaEjecucion</x:v>
      </x:c>
      <x:c r="F135" s="20" t="str">
        <x:v>Núcleo Parte / trazabilidad temporal</x:v>
      </x:c>
      <x:c r="G135" s="20" t="str">
        <x:v>Relación transaccional temporal</x:v>
      </x:c>
      <x:c r="H135" s="20" t="str">
        <x:v>Planificación + ejecución</x:v>
      </x:c>
      <x:c r="I135" s="20" t="str">
        <x:v>Heredado + eventos de cambio</x:v>
      </x:c>
      <x:c r="J135" s="20" t="str">
        <x:v>Confirmación/excepción</x:v>
      </x:c>
      <x:c r="K135" s="20" t="str">
        <x:v>Core/Condicional</x:v>
      </x:c>
      <x:c r="L135" s="20" t="str">
        <x:v>reemplazo de operario; cambio de turno; ejecutó</x:v>
      </x:c>
      <x:c r="M135" s="20" t="str">
        <x:v>Base sólida de diseño</x:v>
      </x:c>
      <x:c r="N135" s="20" t="str">
        <x:v>Validar granularidad temporal mínima y si se requiere por Unidad o Parte según TipoParte.</x:v>
      </x:c>
      <x:c r="O135" s="20" t="str">
        <x:v>Permite handover sin exigir microcarga manual: un evento puede cerrar intervalos salientes y abrir entrantes.</x:v>
      </x:c>
      <x:c r="P135" s="20" t="str">
        <x:v>Auditoría H-01 + respuesta operación 6 + análisis v0.9</x:v>
      </x:c>
    </x:row>
    <x:row r="136" ht="62" customHeight="1">
      <x:c r="A136" s="20" t="str">
        <x:v>V0-136</x:v>
      </x:c>
      <x:c r="B136" s="20" t="str">
        <x:v>Permiso de trabajo</x:v>
      </x:c>
      <x:c r="C136" s="20" t="str">
        <x:v>evento_cierre_administrativo_ptw_id</x:v>
      </x:c>
      <x:c r="D136" s="20" t="str">
        <x:v>Evento autorizado para resolver un PermisoTrabajo suspendido/abandonado que no puede cerrarse por el flujo normal, conservando motivo, actor y evidencia.</x:v>
      </x:c>
      <x:c r="E136" s="20" t="str">
        <x:v>PermisoEvento</x:v>
      </x:c>
      <x:c r="F136" s="20" t="str">
        <x:v>Habilita / trazabilidad</x:v>
      </x:c>
      <x:c r="G136" s="20" t="str">
        <x:v>Evento append-only</x:v>
      </x:c>
      <x:c r="H136" s="20" t="str">
        <x:v>Supervisor/Habilita autorizado</x:v>
      </x:c>
      <x:c r="I136" s="20" t="str">
        <x:v>Manual controlado</x:v>
      </x:c>
      <x:c r="J136" s="20" t="str">
        <x:v>No</x:v>
      </x:c>
      <x:c r="K136" s="20" t="str">
        <x:v>Excepción</x:v>
      </x:c>
      <x:c r="L136" s="20" t="str">
        <x:v>PTW colgado / trabajo abandonado</x:v>
      </x:c>
      <x:c r="M136" s="20" t="str">
        <x:v>Provisional fuerte</x:v>
      </x:c>
      <x:c r="N136" s="20" t="str">
        <x:v>Definir quién autoriza y causas válidas con Habilita.</x:v>
      </x:c>
      <x:c r="O136" s="20" t="str">
        <x:v>Nunca autocerrar silenciosamente por timeout; timeout solo genera alerta/escalamiento.</x:v>
      </x:c>
      <x:c r="P136" s="20" t="str">
        <x:v>Auditoría riesgo PTW + análisis v0.9</x:v>
      </x:c>
    </x:row>
    <x:row r="137" ht="62" customHeight="1">
      <x:c r="A137" s="20" t="str">
        <x:v>V0-137</x:v>
      </x:c>
      <x:c r="B137" s="20" t="str">
        <x:v>Ubicación</x:v>
      </x:c>
      <x:c r="C137" s="20" t="str">
        <x:v>estrategia_resolucion_ubicacion_id</x:v>
      </x:c>
      <x:c r="D137" s="20" t="str">
        <x:v>Regla jerárquica para sugerir/derivar UbicacionTecnica con mínima fricción: planificada, asociada a asignación, proximidad/GPS, contexto cercano, recientes y búsqueda manual.</x:v>
      </x:c>
      <x:c r="E137" s="20" t="str">
        <x:v>ReglaResolucionUbicacion</x:v>
      </x:c>
      <x:c r="F137" s="20" t="str">
        <x:v>Derivación automática / UX campo</x:v>
      </x:c>
      <x:c r="G137" s="20" t="str">
        <x:v>Regla configurable</x:v>
      </x:c>
      <x:c r="H137" s="20" t="str">
        <x:v>Sistema / servicio / contexto</x:v>
      </x:c>
      <x:c r="I137" s="20" t="str">
        <x:v>Derivado</x:v>
      </x:c>
      <x:c r="J137" s="20" t="str">
        <x:v>No</x:v>
      </x:c>
      <x:c r="K137" s="20" t="str">
        <x:v>Transversal</x:v>
      </x:c>
      <x:c r="L137" s="20" t="str">
        <x:v>riesgo de catálogos masivos offline</x:v>
      </x:c>
      <x:c r="M137" s="20" t="str">
        <x:v>Base sólida como patrón</x:v>
      </x:c>
      <x:c r="N137" s="20" t="str">
        <x:v>Definir geofences, ranking y fallback técnico en implementación.</x:v>
      </x:c>
      <x:c r="O137" s="20" t="str">
        <x:v>GPS es señal/sugerencia, no única fuente de verdad.</x:v>
      </x:c>
      <x:c r="P137" s="20" t="str">
        <x:v>Auditoría UX ubicación + análisis v0.9</x:v>
      </x:c>
    </x:row>
    <x:row r="138" ht="62" customHeight="1">
      <x:c r="A138" s="20" t="str">
        <x:v>V0-138</x:v>
      </x:c>
      <x:c r="B138" s="20" t="str">
        <x:v>Tiempo / Transición</x:v>
      </x:c>
      <x:c r="C138" s="20" t="str">
        <x:v>transicion_operativa_id</x:v>
      </x:c>
      <x:c r="D138" s="20" t="str">
        <x:v>Evento temporal que une dos ejecuciones/Partes consecutivos cuando existe traslado, espera o cambio operativo entre ellos y ese tiempo no debe quedar huérfano.</x:v>
      </x:c>
      <x:c r="E138" s="20" t="str">
        <x:v>TransicionOperativa</x:v>
      </x:c>
      <x:c r="F138" s="20" t="str">
        <x:v>Trace/Data Plane</x:v>
      </x:c>
      <x:c r="G138" s="20" t="str">
        <x:v>Entidad/evento temporal</x:v>
      </x:c>
      <x:c r="H138" s="20" t="str">
        <x:v>Sistema / dispositivo</x:v>
      </x:c>
      <x:c r="I138" s="20" t="str">
        <x:v>Generado por cambio de contexto</x:v>
      </x:c>
      <x:c r="J138" s="20" t="str">
        <x:v>Confirmación mínima</x:v>
      </x:c>
      <x:c r="K138" s="20" t="str">
        <x:v>Condicional</x:v>
      </x:c>
      <x:c r="L138" s="20" t="str">
        <x:v>traslado entre Obra A y Obra B; tiempo entre work packages</x:v>
      </x:c>
      <x:c r="M138" s="20" t="str">
        <x:v>Patrón fuerte tras stress test</x:v>
      </x:c>
      <x:c r="N138" s="20" t="str">
        <x:v>Validar quién es dueño comercial del tiempo de transición.</x:v>
      </x:c>
      <x:c r="O138" s="20" t="str">
        <x:v>Puede vincular origen y destino; evita forzar el traslado dentro de un Parte incorrecto o perderlo.</x:v>
      </x:c>
      <x:c r="P138" s="20" t="str">
        <x:v>Stress test S01 v1.0</x:v>
      </x:c>
    </x:row>
    <x:row r="139" ht="62" customHeight="1">
      <x:c r="A139" s="20" t="str">
        <x:v>V0-139</x:v>
      </x:c>
      <x:c r="B139" s="20" t="str">
        <x:v>Tiempo / Transición</x:v>
      </x:c>
      <x:c r="C139" s="20" t="str">
        <x:v>origen_unidad_ejecucion_id</x:v>
      </x:c>
      <x:c r="D139" s="20" t="str">
        <x:v>UnidadEjecución de origen de una TransicionOperativa, cuando exista.</x:v>
      </x:c>
      <x:c r="E139" s="20" t="str">
        <x:v>TransicionOperativa</x:v>
      </x:c>
      <x:c r="F139" s="20" t="str">
        <x:v>Trace/Data Plane</x:v>
      </x:c>
      <x:c r="G139" s="20" t="str">
        <x:v>Relación</x:v>
      </x:c>
      <x:c r="H139" s="20" t="str">
        <x:v>Sistema</x:v>
      </x:c>
      <x:c r="I139" s="20" t="str">
        <x:v>Derivado</x:v>
      </x:c>
      <x:c r="J139" s="20" t="str">
        <x:v>No</x:v>
      </x:c>
      <x:c r="K139" s="20" t="str">
        <x:v>Condicional</x:v>
      </x:c>
      <x:c r="L139" s="20" t="str">
        <x:v>fin Obra A</x:v>
      </x:c>
      <x:c r="M139" s="20" t="str">
        <x:v>Base de diseño</x:v>
      </x:c>
      <x:c r="N139" s="20" t="str">
        <x:v>Permitir nulo si la transición nace desde base/stand-by.</x:v>
      </x:c>
      <x:c r="O139" s="20" t="str">
        <x:v>No define imputación por sí sola.</x:v>
      </x:c>
      <x:c r="P139" s="20" t="str">
        <x:v>Stress test S01 v1.0</x:v>
      </x:c>
    </x:row>
    <x:row r="140" ht="62" customHeight="1">
      <x:c r="A140" s="20" t="str">
        <x:v>V0-140</x:v>
      </x:c>
      <x:c r="B140" s="20" t="str">
        <x:v>Tiempo / Transición</x:v>
      </x:c>
      <x:c r="C140" s="20" t="str">
        <x:v>destino_unidad_ejecucion_id</x:v>
      </x:c>
      <x:c r="D140" s="20" t="str">
        <x:v>UnidadEjecución de destino de una TransicionOperativa, cuando exista.</x:v>
      </x:c>
      <x:c r="E140" s="20" t="str">
        <x:v>TransicionOperativa</x:v>
      </x:c>
      <x:c r="F140" s="20" t="str">
        <x:v>Trace/Data Plane</x:v>
      </x:c>
      <x:c r="G140" s="20" t="str">
        <x:v>Relación</x:v>
      </x:c>
      <x:c r="H140" s="20" t="str">
        <x:v>Sistema</x:v>
      </x:c>
      <x:c r="I140" s="20" t="str">
        <x:v>Derivado</x:v>
      </x:c>
      <x:c r="J140" s="20" t="str">
        <x:v>No</x:v>
      </x:c>
      <x:c r="K140" s="20" t="str">
        <x:v>Condicional</x:v>
      </x:c>
      <x:c r="L140" s="20" t="str">
        <x:v>inicio Obra B</x:v>
      </x:c>
      <x:c r="M140" s="20" t="str">
        <x:v>Base de diseño</x:v>
      </x:c>
      <x:c r="N140" s="20" t="str">
        <x:v>Permitir nulo si termina jornada/retorno.</x:v>
      </x:c>
      <x:c r="O140" s="20" t="str">
        <x:v>Permite reconstruir continuidad entre Partes distintos.</x:v>
      </x:c>
      <x:c r="P140" s="20" t="str">
        <x:v>Stress test S01 v1.0</x:v>
      </x:c>
    </x:row>
    <x:row r="141" ht="62" customHeight="1">
      <x:c r="A141" s="20" t="str">
        <x:v>V0-141</x:v>
      </x:c>
      <x:c r="B141" s="20" t="str">
        <x:v>Contratos / Tiempo</x:v>
      </x:c>
      <x:c r="C141" s="20" t="str">
        <x:v>regla_tratamiento_tiempo_id</x:v>
      </x:c>
      <x:c r="D141" s="20" t="str">
        <x:v>Regla contractual que determina cómo se interpreta comercialmente cada categoría de tiempo operacional: ejecutado, traslado, stand-by, suspensión, carga/descarga u otra.</x:v>
      </x:c>
      <x:c r="E141" s="20" t="str">
        <x:v>ReglaTratamientoTiempo</x:v>
      </x:c>
      <x:c r="F141" s="20" t="str">
        <x:v>Capa contractual → Certificación</x:v>
      </x:c>
      <x:c r="G141" s="20" t="str">
        <x:v>Regla</x:v>
      </x:c>
      <x:c r="H141" s="20" t="str">
        <x:v>ContratoServicio / ItemContrato</x:v>
      </x:c>
      <x:c r="I141" s="20" t="str">
        <x:v>Derivado</x:v>
      </x:c>
      <x:c r="J141" s="20" t="str">
        <x:v>No</x:v>
      </x:c>
      <x:c r="K141" s="20" t="str">
        <x:v>Configuración</x:v>
      </x:c>
      <x:c r="L141" s="20" t="str">
        <x:v>horas; espera; stand-by; traslado; suspensión</x:v>
      </x:c>
      <x:c r="M141" s="20" t="str">
        <x:v>Necesaria por diseño</x:v>
      </x:c>
      <x:c r="N141" s="20" t="str">
        <x:v>Cerrar por contratos reales qué tiempos son medibles/certificables y bajo qué ítem.</x:v>
      </x:c>
      <x:c r="O141" s="20" t="str">
        <x:v>La operación conserva todos los intervalos reales; la regla decide su tratamiento comercial sin reescribirlos.</x:v>
      </x:c>
      <x:c r="P141" s="20" t="str">
        <x:v>Stress test S06 + respuestas operación 5, 9, 10</x:v>
      </x:c>
    </x:row>
    <x:row r="142" ht="62" customHeight="1">
      <x:c r="A142" s="20" t="str">
        <x:v>V0-142</x:v>
      </x:c>
      <x:c r="B142" s="20" t="str">
        <x:v>Planificación</x:v>
      </x:c>
      <x:c r="C142" s="20" t="str">
        <x:v>readiness_evaluado_at</x:v>
      </x:c>
      <x:c r="D142" s="20" t="str">
        <x:v>Timestamp en que se calculó una EvaluacionPlanificacion/Readiness.</x:v>
      </x:c>
      <x:c r="E142" s="20" t="str">
        <x:v>EvaluacionPlanificacion</x:v>
      </x:c>
      <x:c r="F142" s="20" t="str">
        <x:v>Readiness</x:v>
      </x:c>
      <x:c r="G142" s="20" t="str">
        <x:v>Timestamp</x:v>
      </x:c>
      <x:c r="H142" s="20" t="str">
        <x:v>Sistema</x:v>
      </x:c>
      <x:c r="I142" s="20" t="str">
        <x:v>Automático</x:v>
      </x:c>
      <x:c r="J142" s="20" t="str">
        <x:v>No</x:v>
      </x:c>
      <x:c r="K142" s="20" t="str">
        <x:v>Upstream</x:v>
      </x:c>
      <x:c r="L142" s="20" t="str">
        <x:v>pre-check futuro</x:v>
      </x:c>
      <x:c r="M142" s="20" t="str">
        <x:v>Base sólida</x:v>
      </x:c>
      <x:c r="N142" s="20" t="str">
        <x:v>Ninguna conceptual.</x:v>
      </x:c>
      <x:c r="O142" s="20" t="str">
        <x:v>Permite saber si el resultado quedó obsoleto.</x:v>
      </x:c>
      <x:c r="P142" s="20" t="str">
        <x:v>Stress test S12 v1.0</x:v>
      </x:c>
    </x:row>
    <x:row r="143" ht="62" customHeight="1">
      <x:c r="A143" s="20" t="str">
        <x:v>V0-143</x:v>
      </x:c>
      <x:c r="B143" s="20" t="str">
        <x:v>Planificación</x:v>
      </x:c>
      <x:c r="C143" s="20" t="str">
        <x:v>readiness_valido_hasta_at</x:v>
      </x:c>
      <x:c r="D143" s="20" t="str">
        <x:v>Horizonte hasta el cual un resultado de readiness puede considerarse vigente sin re-evaluar dependencias críticas.</x:v>
      </x:c>
      <x:c r="E143" s="20" t="str">
        <x:v>EvaluacionPlanificacion</x:v>
      </x:c>
      <x:c r="F143" s="20" t="str">
        <x:v>Readiness</x:v>
      </x:c>
      <x:c r="G143" s="20" t="str">
        <x:v>Timestamp/regla</x:v>
      </x:c>
      <x:c r="H143" s="20" t="str">
        <x:v>Sistema</x:v>
      </x:c>
      <x:c r="I143" s="20" t="str">
        <x:v>Calculado</x:v>
      </x:c>
      <x:c r="J143" s="20" t="str">
        <x:v>No</x:v>
      </x:c>
      <x:c r="K143" s="20" t="str">
        <x:v>Upstream</x:v>
      </x:c>
      <x:c r="L143" s="20" t="str">
        <x:v>documento que vence antes de fecha prevista</x:v>
      </x:c>
      <x:c r="M143" s="20" t="str">
        <x:v>Patrón fuerte</x:v>
      </x:c>
      <x:c r="N143" s="20" t="str">
        <x:v>Definir política por dependencia/servicio; no necesariamente un único TTL.</x:v>
      </x:c>
      <x:c r="O143" s="20" t="str">
        <x:v>Un plan puede seguir confirmado pero dejar de estar READY.</x:v>
      </x:c>
      <x:c r="P143" s="20" t="str">
        <x:v>Stress test S12 v1.0</x:v>
      </x:c>
    </x:row>
    <x:row r="144" ht="62" customHeight="1">
      <x:c r="A144" s="20" t="str">
        <x:v>V0-144</x:v>
      </x:c>
      <x:c r="B144" s="20" t="str">
        <x:v>Planificación</x:v>
      </x:c>
      <x:c r="C144" s="20" t="str">
        <x:v>evento_invalidacion_readiness_id</x:v>
      </x:c>
      <x:c r="D144" s="20" t="str">
        <x:v>Evento que marca que una evaluación de readiness dejó de ser válida por cambio en documentos, disponibilidad, ventana, contrato, recurso/persona u otra dependencia.</x:v>
      </x:c>
      <x:c r="E144" s="20" t="str">
        <x:v>EventoInvalidacionReadiness</x:v>
      </x:c>
      <x:c r="F144" s="20" t="str">
        <x:v>Anticipación / Trace Bus</x:v>
      </x:c>
      <x:c r="G144" s="20" t="str">
        <x:v>Evento append-only</x:v>
      </x:c>
      <x:c r="H144" s="20" t="str">
        <x:v>Sistema</x:v>
      </x:c>
      <x:c r="I144" s="20" t="str">
        <x:v>Automático</x:v>
      </x:c>
      <x:c r="J144" s="20" t="str">
        <x:v>No</x:v>
      </x:c>
      <x:c r="K144" s="20" t="str">
        <x:v>Upstream</x:v>
      </x:c>
      <x:c r="L144" s="20" t="str">
        <x:v>habilitación vence; recurso pasa a mantenimiento; directiva cambia alcance</x:v>
      </x:c>
      <x:c r="M144" s="20" t="str">
        <x:v>Base sólida de diseño</x:v>
      </x:c>
      <x:c r="N144" s="20" t="str">
        <x:v>Definir qué dependencias generan invalidación inmediata vs simple alerta.</x:v>
      </x:c>
      <x:c r="O144" s="20" t="str">
        <x:v>Dispara re-evaluación y alerta; no reescribe la evaluación previa.</x:v>
      </x:c>
      <x:c r="P144" s="20" t="str">
        <x:v>Stress test S12/S15 v1.0</x:v>
      </x:c>
    </x:row>
    <x:row r="145" ht="62" customHeight="1">
      <x:c r="A145" s="20" t="str">
        <x:v>V0-145</x:v>
      </x:c>
      <x:c r="B145" s="20" t="str">
        <x:v>Certificación</x:v>
      </x:c>
      <x:c r="C145" s="20" t="str">
        <x:v>regla_parcialidad_certificacion_id</x:v>
      </x:c>
      <x:c r="D145" s="20" t="str">
        <x:v>Regla que define si un paquete puede quedar parcialmente aceptado cuando unas UnidadesComerciales son aceptadas y otras observadas/rechazadas.</x:v>
      </x:c>
      <x:c r="E145" s="20" t="str">
        <x:v>ReglaParcialidadCertificacion</x:v>
      </x:c>
      <x:c r="F145" s="20" t="str">
        <x:v>Capa contractual → Certificación</x:v>
      </x:c>
      <x:c r="G145" s="20" t="str">
        <x:v>Regla</x:v>
      </x:c>
      <x:c r="H145" s="20" t="str">
        <x:v>ContratoServicio / cliente</x:v>
      </x:c>
      <x:c r="I145" s="20" t="str">
        <x:v>Derivado</x:v>
      </x:c>
      <x:c r="J145" s="20" t="str">
        <x:v>No</x:v>
      </x:c>
      <x:c r="K145" s="20" t="str">
        <x:v>Configuración</x:v>
      </x:c>
      <x:c r="L145" s="20" t="str">
        <x:v>aceptar UC-1 y observar UC-2 dentro del mismo paquete</x:v>
      </x:c>
      <x:c r="M145" s="20" t="str">
        <x:v>Necesaria por diseño</x:v>
      </x:c>
      <x:c r="N145" s="20" t="str">
        <x:v>Validar con Certificaciones y contratos reales.</x:v>
      </x:c>
      <x:c r="O145" s="20" t="str">
        <x:v>Permite no hardcodear que un paquete parcial siempre avance ni que siempre se bloquee completo.</x:v>
      </x:c>
      <x:c r="P145" s="20" t="str">
        <x:v>Stress test S10 v1.0</x:v>
      </x:c>
    </x:row>
    <x:row r="146" ht="62" customHeight="1">
      <x:c r="A146" s="20" t="str">
        <x:v>V0-146</x:v>
      </x:c>
      <x:c r="B146" s="20" t="str">
        <x:v>Offline / Sincronización</x:v>
      </x:c>
      <x:c r="C146" s="20" t="str">
        <x:v>execution_context_valid_until_at</x:v>
      </x:c>
      <x:c r="D146" s="20" t="str">
        <x:v>Fecha-hora hasta la cual un ExecutionContextBundle se considera vigente para iniciar nuevas ejecuciones sin refresco.</x:v>
      </x:c>
      <x:c r="E146" s="20" t="str">
        <x:v>ExecutionContextBundle</x:v>
      </x:c>
      <x:c r="F146" s="20" t="str">
        <x:v>Offline / Control Plane</x:v>
      </x:c>
      <x:c r="G146" s="20" t="str">
        <x:v>Timestamp</x:v>
      </x:c>
      <x:c r="H146" s="20" t="str">
        <x:v>Backend</x:v>
      </x:c>
      <x:c r="I146" s="20" t="str">
        <x:v>Calculado</x:v>
      </x:c>
      <x:c r="J146" s="20" t="str">
        <x:v>No</x:v>
      </x:c>
      <x:c r="K146" s="20" t="str">
        <x:v>Implementación funcional</x:v>
      </x:c>
      <x:c r="L146" s="20" t="str">
        <x:v>OT cancelada tras despacho; reglas/documentos cambiaron</x:v>
      </x:c>
      <x:c r="M146" s="20" t="str">
        <x:v>Base sólida de diseño</x:v>
      </x:c>
      <x:c r="N146" s="20" t="str">
        <x:v>Definir horizonte por riesgo/servicio y política de emergencia.</x:v>
      </x:c>
      <x:c r="O146" s="20" t="str">
        <x:v>No impide continuar una ejecución ya iniciada si la política lo permite; gobierna inicio/reruteo offline.</x:v>
      </x:c>
      <x:c r="P146" s="20" t="str">
        <x:v>Stress test S15 v1.0</x:v>
      </x:c>
    </x:row>
    <x:row r="147" ht="62" customHeight="1">
      <x:c r="A147" s="20" t="str">
        <x:v>V0-147</x:v>
      </x:c>
      <x:c r="B147" s="20" t="str">
        <x:v>Offline / Sincronización</x:v>
      </x:c>
      <x:c r="C147" s="20" t="str">
        <x:v>regla_frescura_contexto_id</x:v>
      </x:c>
      <x:c r="D147" s="20" t="str">
        <x:v>Regla que determina si una operación puede iniciar con contexto offline vencido, si exige sincronización o si permite override autorizado.</x:v>
      </x:c>
      <x:c r="E147" s="20" t="str">
        <x:v>ReglaFrescuraContexto</x:v>
      </x:c>
      <x:c r="F147" s="20" t="str">
        <x:v>Control Plane / Offline</x:v>
      </x:c>
      <x:c r="G147" s="20" t="str">
        <x:v>Regla</x:v>
      </x:c>
      <x:c r="H147" s="20" t="str">
        <x:v>ContratoServicio / TipoParte / riesgo</x:v>
      </x:c>
      <x:c r="I147" s="20" t="str">
        <x:v>Derivado</x:v>
      </x:c>
      <x:c r="J147" s="20" t="str">
        <x:v>No</x:v>
      </x:c>
      <x:c r="K147" s="20" t="str">
        <x:v>Configuración</x:v>
      </x:c>
      <x:c r="L147" s="20" t="str">
        <x:v>requiere_online_antes_inicio; permite_emergencia; bloquear_si_vencido</x:v>
      </x:c>
      <x:c r="M147" s="20" t="str">
        <x:v>Provisional fuerte</x:v>
      </x:c>
      <x:c r="N147" s="20" t="str">
        <x:v>Validar con Operaciones/Habilita/Tecnología.</x:v>
      </x:c>
      <x:c r="O147" s="20" t="str">
        <x:v>Resuelve cancelaciones/cambios no recibidos sin asumir conectividad perfecta.</x:v>
      </x:c>
      <x:c r="P147" s="20" t="str">
        <x:v>Stress test S15 v1.0</x:v>
      </x:c>
    </x:row>
    <x:row r="148" ht="62" customHeight="1">
      <x:c r="A148" s="20" t="str">
        <x:v>V0-148</x:v>
      </x:c>
      <x:c r="B148" s="20" t="str">
        <x:v>Certificación / Lineage</x:v>
      </x:c>
      <x:c r="C148" s="20" t="str">
        <x:v>fuente_ejecucion_version_id</x:v>
      </x:c>
      <x:c r="D148" s="20" t="str">
        <x:v>Versión de la verdad operativa utilizada por un vínculo fuente de una UnidadComercial. En v2.0 deja de asumirse una única fuente escalar: la versión vive por cada relación UnidadComercialFuenteEjecucion.</x:v>
      </x:c>
      <x:c r="E148" s="20" t="str">
        <x:v>UnidadComercialFuenteEjecucion</x:v>
      </x:c>
      <x:c r="F148" s="20" t="str">
        <x:v>Interface B / Lineage</x:v>
      </x:c>
      <x:c r="G148" s="20" t="str">
        <x:v>Atributo de relación/versionado</x:v>
      </x:c>
      <x:c r="H148" s="20" t="str">
        <x:v>Sistema</x:v>
      </x:c>
      <x:c r="I148" s="20" t="str">
        <x:v>Derivado</x:v>
      </x:c>
      <x:c r="J148" s="20" t="str">
        <x:v>No</x:v>
      </x:c>
      <x:c r="K148" s="20" t="str">
        <x:v>Downstream</x:v>
      </x:c>
      <x:c r="L148" s="20" t="str">
        <x:v>EnmiendaOperativa posterior</x:v>
      </x:c>
      <x:c r="M148" s="20" t="str">
        <x:v>Base sólida v2.0</x:v>
      </x:c>
      <x:c r="N148" s="20" t="str">
        <x:v>Definir representación física al implementar versionado.</x:v>
      </x:c>
      <x:c r="O148" s="20" t="str">
        <x:v>Una UnidadComercial puede consolidar N ejecuciones; no usar un único FK fuente en UnidadComercial.</x:v>
      </x:c>
      <x:c r="P148" s="20" t="str">
        <x:v>Stress test S16 + normalización relacional v2.0</x:v>
      </x:c>
    </x:row>
    <x:row r="149" ht="62" customHeight="1">
      <x:c r="A149" s="20" t="str">
        <x:v>V0-149</x:v>
      </x:c>
      <x:c r="B149" s="20" t="str">
        <x:v>Certificación / Lineage</x:v>
      </x:c>
      <x:c r="C149" s="20" t="str">
        <x:v>estado_derivacion_comercial</x:v>
      </x:c>
      <x:c r="D149" s="20" t="str">
        <x:v>Estado de vigencia de una UnidadComercial respecto de su fuente operativa: vigente, requiere_recalculo, bloqueada_por_revision u otro.</x:v>
      </x:c>
      <x:c r="E149" s="20" t="str">
        <x:v>UnidadComercial</x:v>
      </x:c>
      <x:c r="F149" s="20" t="str">
        <x:v>Certificación / Lineage</x:v>
      </x:c>
      <x:c r="G149" s="20" t="str">
        <x:v>Estado</x:v>
      </x:c>
      <x:c r="H149" s="20" t="str">
        <x:v>Sistema</x:v>
      </x:c>
      <x:c r="I149" s="20" t="str">
        <x:v>Calculado</x:v>
      </x:c>
      <x:c r="J149" s="20" t="str">
        <x:v>No</x:v>
      </x:c>
      <x:c r="K149" s="20" t="str">
        <x:v>Downstream</x:v>
      </x:c>
      <x:c r="L149" s="20" t="str">
        <x:v>Enmienda después de generar UC/paquete</x:v>
      </x:c>
      <x:c r="M149" s="20" t="str">
        <x:v>Base sólida inicial</x:v>
      </x:c>
      <x:c r="N149" s="20" t="str">
        <x:v>Cerrar tratamiento cuando la certificación ya fue aceptada.</x:v>
      </x:c>
      <x:c r="O149" s="20" t="str">
        <x:v>Evita certificar cantidades derivadas de una versión operativa obsoleta.</x:v>
      </x:c>
      <x:c r="P149" s="20" t="str">
        <x:v>Stress test S16 v1.0</x:v>
      </x:c>
    </x:row>
    <x:row r="150" ht="62" customHeight="1">
      <x:c r="A150" s="20" t="str">
        <x:v>V0-150</x:v>
      </x:c>
      <x:c r="B150" s="20" t="str">
        <x:v>Certificación</x:v>
      </x:c>
      <x:c r="C150" s="20" t="str">
        <x:v>regla_grano_unidad_comercial_id</x:v>
      </x:c>
      <x:c r="D150" s="20" t="str">
        <x:v>Regla que determina el grano en que se generan UnidadesComerciales: por ejecución, ítem, movimiento, intervención, día, período u otra clave contractual.</x:v>
      </x:c>
      <x:c r="E150" s="20" t="str">
        <x:v>ReglaGranoUnidadComercial</x:v>
      </x:c>
      <x:c r="F150" s="20" t="str">
        <x:v>Capa contractual → Certificación</x:v>
      </x:c>
      <x:c r="G150" s="20" t="str">
        <x:v>Regla</x:v>
      </x:c>
      <x:c r="H150" s="20" t="str">
        <x:v>ContratoServicio / TipoContrato / ItemContrato</x:v>
      </x:c>
      <x:c r="I150" s="20" t="str">
        <x:v>Derivado</x:v>
      </x:c>
      <x:c r="J150" s="20" t="str">
        <x:v>No</x:v>
      </x:c>
      <x:c r="K150" s="20" t="str">
        <x:v>Configuración</x:v>
      </x:c>
      <x:c r="L150" s="20" t="str">
        <x:v>indemnizado por ejecución; mensualizado por período; on-call por intervención</x:v>
      </x:c>
      <x:c r="M150" s="20" t="str">
        <x:v>Necesaria por diseño</x:v>
      </x:c>
      <x:c r="N150" s="20" t="str">
        <x:v>Cerrar con contratos reales.</x:v>
      </x:c>
      <x:c r="O150" s="20" t="str">
        <x:v>Hace explícita la transformación N ejecuciones → N/1 UnidadesComerciales sin hardcodear TipoContrato.</x:v>
      </x:c>
      <x:c r="P150" s="20" t="str">
        <x:v>Stress test S18 v1.0</x:v>
      </x:c>
    </x:row>
    <x:row r="151" ht="62" customHeight="1">
      <x:c r="A151" s="20" t="str">
        <x:v>V0-151</x:v>
      </x:c>
      <x:c r="B151" s="20" t="str">
        <x:v>Planificación / Ejecución</x:v>
      </x:c>
      <x:c r="C151" s="20" t="str">
        <x:v>conflicto_temporal_id</x:v>
      </x:c>
      <x:c r="D151" s="20" t="str">
        <x:v>Detección de solapamiento potencial o real de una Persona/Recurso en intervalos incompatibles.</x:v>
      </x:c>
      <x:c r="E151" s="20" t="str">
        <x:v>ConflictoTemporal</x:v>
      </x:c>
      <x:c r="F151" s="20" t="str">
        <x:v>Readiness / Ejecución / Trace Bus</x:v>
      </x:c>
      <x:c r="G151" s="20" t="str">
        <x:v>Evento/resultado</x:v>
      </x:c>
      <x:c r="H151" s="20" t="str">
        <x:v>Sistema</x:v>
      </x:c>
      <x:c r="I151" s="20" t="str">
        <x:v>Calculado</x:v>
      </x:c>
      <x:c r="J151" s="20" t="str">
        <x:v>No</x:v>
      </x:c>
      <x:c r="K151" s="20" t="str">
        <x:v>Transversal</x:v>
      </x:c>
      <x:c r="L151" s="20" t="str">
        <x:v>misma retro/persona en dos ejecuciones simultáneas</x:v>
      </x:c>
      <x:c r="M151" s="20" t="str">
        <x:v>Base sólida de diseño</x:v>
      </x:c>
      <x:c r="N151" s="20" t="str">
        <x:v>Definir excepciones de recursos compartibles y roles no exclusivos.</x:v>
      </x:c>
      <x:c r="O151" s="20" t="str">
        <x:v>Puede bloquear, advertir o requerir override según ReglaSolapamientoTemporal.</x:v>
      </x:c>
      <x:c r="P151" s="20" t="str">
        <x:v>Stress test S17 v1.0</x:v>
      </x:c>
    </x:row>
    <x:row r="152" ht="62" customHeight="1">
      <x:c r="A152" s="20" t="str">
        <x:v>V0-152</x:v>
      </x:c>
      <x:c r="B152" s="20" t="str">
        <x:v>Planificación / Ejecución</x:v>
      </x:c>
      <x:c r="C152" s="20" t="str">
        <x:v>regla_solapamiento_temporal_id</x:v>
      </x:c>
      <x:c r="D152" s="20" t="str">
        <x:v>Regla que define qué combinaciones de persona/recurso/rol pueden o no solaparse temporalmente.</x:v>
      </x:c>
      <x:c r="E152" s="20" t="str">
        <x:v>ReglaSolapamientoTemporal</x:v>
      </x:c>
      <x:c r="F152" s="20" t="str">
        <x:v>Configuration / Readiness</x:v>
      </x:c>
      <x:c r="G152" s="20" t="str">
        <x:v>Regla</x:v>
      </x:c>
      <x:c r="H152" s="20" t="str">
        <x:v>TipoRecurso / rol / servicio</x:v>
      </x:c>
      <x:c r="I152" s="20" t="str">
        <x:v>Derivado</x:v>
      </x:c>
      <x:c r="J152" s="20" t="str">
        <x:v>No</x:v>
      </x:c>
      <x:c r="K152" s="20" t="str">
        <x:v>Configuración</x:v>
      </x:c>
      <x:c r="L152" s="20" t="str">
        <x:v>recurso principal exclusivo; apoyo compartible</x:v>
      </x:c>
      <x:c r="M152" s="20" t="str">
        <x:v>Provisional fuerte</x:v>
      </x:c>
      <x:c r="N152" s="20" t="str">
        <x:v>Validar con Operaciones.</x:v>
      </x:c>
      <x:c r="O152" s="20" t="str">
        <x:v>Evita doble booking sin asumir que todo solapamiento es inválido.</x:v>
      </x:c>
      <x:c r="P152" s="20" t="str">
        <x:v>Stress test S17 v1.0</x:v>
      </x:c>
    </x:row>
    <x:row r="153" ht="62" customHeight="1">
      <x:c r="A153" s="20" t="str">
        <x:v>V0-153</x:v>
      </x:c>
      <x:c r="B153" s="20" t="str">
        <x:v>Gobernanza</x:v>
      </x:c>
      <x:c r="C153" s="20" t="str">
        <x:v>override_gate_id</x:v>
      </x:c>
      <x:c r="D153" s="20" t="str">
        <x:v>Evento autorizado que permite continuar ante una advertencia/condición overrideable, registrando gate, causa, actor, autoridad y alcance.</x:v>
      </x:c>
      <x:c r="E153" s="20" t="str">
        <x:v>OverrideGate</x:v>
      </x:c>
      <x:c r="F153" s="20" t="str">
        <x:v>Control documental / Readiness / Trace Bus</x:v>
      </x:c>
      <x:c r="G153" s="20" t="str">
        <x:v>Evento append-only</x:v>
      </x:c>
      <x:c r="H153" s="20" t="str">
        <x:v>Rol autorizado</x:v>
      </x:c>
      <x:c r="I153" s="20" t="str">
        <x:v>Manual controlado</x:v>
      </x:c>
      <x:c r="J153" s="20" t="str">
        <x:v>Condicional</x:v>
      </x:c>
      <x:c r="K153" s="20" t="str">
        <x:v>Excepción</x:v>
      </x:c>
      <x:c r="L153" s="20" t="str">
        <x:v>documento advierte pero no bloquea</x:v>
      </x:c>
      <x:c r="M153" s="20" t="str">
        <x:v>Base sólida de diseño</x:v>
      </x:c>
      <x:c r="N153" s="20" t="str">
        <x:v>Definir qué severidades/gates admiten override y quién puede autorizar.</x:v>
      </x:c>
      <x:c r="O153" s="20" t="str">
        <x:v>Un bloqueo duro no se convierte automáticamente en override.</x:v>
      </x:c>
      <x:c r="P153" s="20" t="str">
        <x:v>Stress test S19 + validación previa V20</x:v>
      </x:c>
    </x:row>
    <x:row r="154" ht="64" customHeight="1">
      <x:c r="A154" s="20" t="str">
        <x:v>V0-154</x:v>
      </x:c>
      <x:c r="B154" s="20" t="str">
        <x:v>Habilita</x:v>
      </x:c>
      <x:c r="C154" s="20" t="str">
        <x:v>evento_habilita_id</x:v>
      </x:c>
      <x:c r="D154" s="20" t="str">
        <x:v>Identificador único de una ocurrencia Habilita/ambiental/seguridad reportable. Representa el hecho ocurrido, no la investigación ni un Parte operativo.</x:v>
      </x:c>
      <x:c r="E154" s="20" t="str">
        <x:v>EventoHabilita</x:v>
      </x:c>
      <x:c r="F154" s="20" t="str">
        <x:v>HABILITA Plane</x:v>
      </x:c>
      <x:c r="G154" s="20" t="str">
        <x:v>Identificador</x:v>
      </x:c>
      <x:c r="H154" s="20" t="str">
        <x:v>Sistema</x:v>
      </x:c>
      <x:c r="I154" s="20" t="str">
        <x:v>Generado automático</x:v>
      </x:c>
      <x:c r="J154" s="20" t="str">
        <x:v>No</x:v>
      </x:c>
      <x:c r="K154" s="20" t="str">
        <x:v>Habilita Core</x:v>
      </x:c>
      <x:c r="L154" s="20" t="str">
        <x:v>Incidente ambiental individual</x:v>
      </x:c>
      <x:c r="M154" s="20" t="str">
        <x:v>Base sólida de diseño</x:v>
      </x:c>
      <x:c r="N154" s="20" t="str">
        <x:v>Validar alcance exacto de eventos incluidos con Habilita.</x:v>
      </x:c>
      <x:c r="O154" s="20" t="str">
        <x:v>Dos incidentes distintos generan dos EventoHabilita aunque involucren el mismo equipo/Parte.</x:v>
      </x:c>
      <x:c r="P154" s="20" t="str">
        <x:v>Respuesta operación Q1 + análisis v1.1</x:v>
      </x:c>
    </x:row>
    <x:row r="155" ht="64" customHeight="1">
      <x:c r="A155" s="20" t="str">
        <x:v>V0-155</x:v>
      </x:c>
      <x:c r="B155" s="20" t="str">
        <x:v>Habilita</x:v>
      </x:c>
      <x:c r="C155" s="20" t="str">
        <x:v>tipo_evento_habilita_id</x:v>
      </x:c>
      <x:c r="D155" s="20" t="str">
        <x:v>Clasificación controlada del evento: ambiental, lesión/illness, near miss/high potential, proceso, vehicular, condición/observación u otras categorías que Habilita valide.</x:v>
      </x:c>
      <x:c r="E155" s="20" t="str">
        <x:v>EventoHabilita</x:v>
      </x:c>
      <x:c r="F155" s="20" t="str">
        <x:v>HABILITA Plane</x:v>
      </x:c>
      <x:c r="G155" s="20" t="str">
        <x:v>Catálogo</x:v>
      </x:c>
      <x:c r="H155" s="20" t="str">
        <x:v>Habilita / catálogo maestro</x:v>
      </x:c>
      <x:c r="I155" s="20" t="str">
        <x:v>Selección asistida/derivada</x:v>
      </x:c>
      <x:c r="J155" s="20" t="str">
        <x:v>Sí mínimo</x:v>
      </x:c>
      <x:c r="K155" s="20" t="str">
        <x:v>Habilita Core</x:v>
      </x:c>
      <x:c r="L155" s="20" t="str">
        <x:v>Incidente ambiental; otras familias benchmark</x:v>
      </x:c>
      <x:c r="M155" s="20" t="str">
        <x:v>Provisional fuerte</x:v>
      </x:c>
      <x:c r="N155" s="20" t="str">
        <x:v>Cerrar taxonomía real VDS; no hardcodear taxonomía externa.</x:v>
      </x:c>
      <x:c r="O155" s="20" t="str">
        <x:v>El tipo activa componentes específicos sin convertir cada categoría en un TipoParte.</x:v>
      </x:c>
      <x:c r="P155" s="20" t="str">
        <x:v>IOGP safety/environment benchmarks + análisis v1.1</x:v>
      </x:c>
    </x:row>
    <x:row r="156" ht="64" customHeight="1">
      <x:c r="A156" s="20" t="str">
        <x:v>V0-156</x:v>
      </x:c>
      <x:c r="B156" s="20" t="str">
        <x:v>Habilita</x:v>
      </x:c>
      <x:c r="C156" s="20" t="str">
        <x:v>evento_habilita_ocurrido_at</x:v>
      </x:c>
      <x:c r="D156" s="20" t="str">
        <x:v>Fecha-hora estimada/confirmada en que ocurrió el evento.</x:v>
      </x:c>
      <x:c r="E156" s="20" t="str">
        <x:v>EventoHabilita</x:v>
      </x:c>
      <x:c r="F156" s="20" t="str">
        <x:v>Habilita temporal</x:v>
      </x:c>
      <x:c r="G156" s="20" t="str">
        <x:v>Timestamp</x:v>
      </x:c>
      <x:c r="H156" s="20" t="str">
        <x:v>Campo / sistema</x:v>
      </x:c>
      <x:c r="I156" s="20" t="str">
        <x:v>Automático/confirmable</x:v>
      </x:c>
      <x:c r="J156" s="20" t="str">
        <x:v>Confirmación mínima</x:v>
      </x:c>
      <x:c r="K156" s="20" t="str">
        <x:v>Habilita Core</x:v>
      </x:c>
      <x:c r="L156" s="20" t="str">
        <x:v>momento del incidente</x:v>
      </x:c>
      <x:c r="M156" s="20" t="str">
        <x:v>Base sólida</x:v>
      </x:c>
      <x:c r="N156" s="20" t="str">
        <x:v>Definir tratamiento cuando el momento exacto sea desconocido.</x:v>
      </x:c>
      <x:c r="O156" s="20" t="str">
        <x:v>Separar ocurrido_at de detectado_at y reportado_at.</x:v>
      </x:c>
      <x:c r="P156" s="20" t="str">
        <x:v>Análisis v1.1</x:v>
      </x:c>
    </x:row>
    <x:row r="157" ht="64" customHeight="1">
      <x:c r="A157" s="20" t="str">
        <x:v>V0-157</x:v>
      </x:c>
      <x:c r="B157" s="20" t="str">
        <x:v>Habilita</x:v>
      </x:c>
      <x:c r="C157" s="20" t="str">
        <x:v>evento_habilita_detectado_at</x:v>
      </x:c>
      <x:c r="D157" s="20" t="str">
        <x:v>Fecha-hora en que el evento/condición fue detectado, que puede diferir del momento de ocurrencia.</x:v>
      </x:c>
      <x:c r="E157" s="20" t="str">
        <x:v>EventoHabilita</x:v>
      </x:c>
      <x:c r="F157" s="20" t="str">
        <x:v>Habilita temporal</x:v>
      </x:c>
      <x:c r="G157" s="20" t="str">
        <x:v>Timestamp</x:v>
      </x:c>
      <x:c r="H157" s="20" t="str">
        <x:v>Campo / sistema</x:v>
      </x:c>
      <x:c r="I157" s="20" t="str">
        <x:v>Automático/confirmable</x:v>
      </x:c>
      <x:c r="J157" s="20" t="str">
        <x:v>Condicional</x:v>
      </x:c>
      <x:c r="K157" s="20" t="str">
        <x:v>Habilita Core</x:v>
      </x:c>
      <x:c r="L157" s="20" t="str">
        <x:v>derrame detectado después</x:v>
      </x:c>
      <x:c r="M157" s="20" t="str">
        <x:v>Base de diseño</x:v>
      </x:c>
      <x:c r="N157" s="20" t="str">
        <x:v>Validar obligatoriedad por tipo.</x:v>
      </x:c>
      <x:c r="O157" s="20" t="str">
        <x:v>Útil para pérdidas de contención/condiciones descubiertas con posterioridad.</x:v>
      </x:c>
      <x:c r="P157" s="20" t="str">
        <x:v>Análisis v1.1</x:v>
      </x:c>
    </x:row>
    <x:row r="158" ht="64" customHeight="1">
      <x:c r="A158" s="20" t="str">
        <x:v>V0-158</x:v>
      </x:c>
      <x:c r="B158" s="20" t="str">
        <x:v>Habilita</x:v>
      </x:c>
      <x:c r="C158" s="20" t="str">
        <x:v>evento_habilita_reportado_at</x:v>
      </x:c>
      <x:c r="D158" s="20" t="str">
        <x:v>Fecha-hora en que el sistema recibió el reporte inicial.</x:v>
      </x:c>
      <x:c r="E158" s="20" t="str">
        <x:v>EventoHabilita</x:v>
      </x:c>
      <x:c r="F158" s="20" t="str">
        <x:v>Habilita temporal / SLA</x:v>
      </x:c>
      <x:c r="G158" s="20" t="str">
        <x:v>Timestamp</x:v>
      </x:c>
      <x:c r="H158" s="20" t="str">
        <x:v>Sistema</x:v>
      </x:c>
      <x:c r="I158" s="20" t="str">
        <x:v>Automático</x:v>
      </x:c>
      <x:c r="J158" s="20" t="str">
        <x:v>No</x:v>
      </x:c>
      <x:c r="K158" s="20" t="str">
        <x:v>Habilita Core</x:v>
      </x:c>
      <x:c r="L158" s="20" t="str">
        <x:v>reporte inicial</x:v>
      </x:c>
      <x:c r="M158" s="20" t="str">
        <x:v>Base sólida</x:v>
      </x:c>
      <x:c r="N158" s="20" t="str">
        <x:v>Ninguna conceptual.</x:v>
      </x:c>
      <x:c r="O158" s="20" t="str">
        <x:v>Permite medir demora detección→reporte.</x:v>
      </x:c>
      <x:c r="P158" s="20" t="str">
        <x:v>Análisis v1.1</x:v>
      </x:c>
    </x:row>
    <x:row r="159" ht="64" customHeight="1">
      <x:c r="A159" s="20" t="str">
        <x:v>V0-159</x:v>
      </x:c>
      <x:c r="B159" s="20" t="str">
        <x:v>Habilita</x:v>
      </x:c>
      <x:c r="C159" s="20" t="str">
        <x:v>severidad_real_habilita_id</x:v>
      </x:c>
      <x:c r="D159" s="20" t="str">
        <x:v>Clasificación de la consecuencia realmente ocurrida según matriz Habilita VDS.</x:v>
      </x:c>
      <x:c r="E159" s="20" t="str">
        <x:v>EventoHabilita</x:v>
      </x:c>
      <x:c r="F159" s="20" t="str">
        <x:v>Habilita clasificación</x:v>
      </x:c>
      <x:c r="G159" s="20" t="str">
        <x:v>Catálogo/regla</x:v>
      </x:c>
      <x:c r="H159" s="20" t="str">
        <x:v>Habilita</x:v>
      </x:c>
      <x:c r="I159" s="20" t="str">
        <x:v>Triage / derivado</x:v>
      </x:c>
      <x:c r="J159" s="20" t="str">
        <x:v>No campo inicial obligatorio</x:v>
      </x:c>
      <x:c r="K159" s="20" t="str">
        <x:v>Habilita Core</x:v>
      </x:c>
      <x:c r="L159" s="20" t="str">
        <x:v>consecuencia real</x:v>
      </x:c>
      <x:c r="M159" s="20" t="str">
        <x:v>Provisional</x:v>
      </x:c>
      <x:c r="N159" s="20" t="str">
        <x:v>Recibir matriz de severidad VDS/cliente.</x:v>
      </x:c>
      <x:c r="O159" s="20" t="str">
        <x:v>No confundir con potencial: un near miss puede tener severidad real baja/nula.</x:v>
      </x:c>
      <x:c r="P159" s="20" t="str">
        <x:v>IOGP high-potential concept + análisis v1.1</x:v>
      </x:c>
    </x:row>
    <x:row r="160" ht="64" customHeight="1">
      <x:c r="A160" s="20" t="str">
        <x:v>V0-160</x:v>
      </x:c>
      <x:c r="B160" s="20" t="str">
        <x:v>Habilita</x:v>
      </x:c>
      <x:c r="C160" s="20" t="str">
        <x:v>severidad_potencial_habilita_id</x:v>
      </x:c>
      <x:c r="D160" s="20" t="str">
        <x:v>Clasificación del peor resultado creíble/potencial del evento según matriz Habilita VDS.</x:v>
      </x:c>
      <x:c r="E160" s="20" t="str">
        <x:v>EventoHabilita/CasoHabilita</x:v>
      </x:c>
      <x:c r="F160" s="20" t="str">
        <x:v>Habilita clasificación</x:v>
      </x:c>
      <x:c r="G160" s="20" t="str">
        <x:v>Catálogo/regla</x:v>
      </x:c>
      <x:c r="H160" s="20" t="str">
        <x:v>Habilita</x:v>
      </x:c>
      <x:c r="I160" s="20" t="str">
        <x:v>Triage</x:v>
      </x:c>
      <x:c r="J160" s="20" t="str">
        <x:v>No campo inicial obligatorio</x:v>
      </x:c>
      <x:c r="K160" s="20" t="str">
        <x:v>Habilita Core</x:v>
      </x:c>
      <x:c r="L160" s="20" t="str">
        <x:v>near miss / high potential</x:v>
      </x:c>
      <x:c r="M160" s="20" t="str">
        <x:v>Patrón fuerte</x:v>
      </x:c>
      <x:c r="N160" s="20" t="str">
        <x:v>Cerrar definición/matriz con Habilita.</x:v>
      </x:c>
      <x:c r="O160" s="20" t="str">
        <x:v>Permite priorizar investigación aunque la consecuencia real haya sido menor.</x:v>
      </x:c>
      <x:c r="P160" s="20" t="str">
        <x:v>IOGP high-potential reporting + análisis v1.1</x:v>
      </x:c>
    </x:row>
    <x:row r="161" ht="64" customHeight="1">
      <x:c r="A161" s="20" t="str">
        <x:v>V0-161</x:v>
      </x:c>
      <x:c r="B161" s="20" t="str">
        <x:v>Habilita</x:v>
      </x:c>
      <x:c r="C161" s="20" t="str">
        <x:v>ubicacion_habilita_id</x:v>
      </x:c>
      <x:c r="D161" s="20" t="str">
        <x:v>Ubicación técnica principal donde ocurrió/se detectó el EventoHabilita.</x:v>
      </x:c>
      <x:c r="E161" s="20" t="str">
        <x:v>EventoHabilita→UbicacionTecnica</x:v>
      </x:c>
      <x:c r="F161" s="20" t="str">
        <x:v>Habilita contexto</x:v>
      </x:c>
      <x:c r="G161" s="20" t="str">
        <x:v>Relación</x:v>
      </x:c>
      <x:c r="H161" s="20" t="str">
        <x:v>Plan/contexto/GPS/catálogo</x:v>
      </x:c>
      <x:c r="I161" s="20" t="str">
        <x:v>Derivado/confirmable</x:v>
      </x:c>
      <x:c r="J161" s="20" t="str">
        <x:v>Confirmación</x:v>
      </x:c>
      <x:c r="K161" s="20" t="str">
        <x:v>Habilita Core</x:v>
      </x:c>
      <x:c r="L161" s="20" t="str">
        <x:v>dos incidentes en lugares distintos</x:v>
      </x:c>
      <x:c r="M161" s="20" t="str">
        <x:v>Base sólida</x:v>
      </x:c>
      <x:c r="N161" s="20" t="str">
        <x:v>Validar eventos móviles/entre ubicaciones.</x:v>
      </x:c>
      <x:c r="O161" s="20" t="str">
        <x:v>Puede derivarse del Parte/UE pero se congela como verdad del evento.</x:v>
      </x:c>
      <x:c r="P161" s="20" t="str">
        <x:v>Respuesta operación Q1</x:v>
      </x:c>
    </x:row>
    <x:row r="162" ht="64" customHeight="1">
      <x:c r="A162" s="20" t="str">
        <x:v>V0-162</x:v>
      </x:c>
      <x:c r="B162" s="20" t="str">
        <x:v>Habilita</x:v>
      </x:c>
      <x:c r="C162" s="20" t="str">
        <x:v>evento_habilita_unidad_ejecucion_id</x:v>
      </x:c>
      <x:c r="D162" s="20" t="str">
        <x:v>Relación N:M entre EventoHabilita y UnidadesEjecución relacionadas/origen cuando el evento ocurre durante una operación.</x:v>
      </x:c>
      <x:c r="E162" s="20" t="str">
        <x:v>EventoHabilitaUnidadEjecucion</x:v>
      </x:c>
      <x:c r="F162" s="20" t="str">
        <x:v>Habilita ↔ Data Plane</x:v>
      </x:c>
      <x:c r="G162" s="20" t="str">
        <x:v>Relación</x:v>
      </x:c>
      <x:c r="H162" s="20" t="str">
        <x:v>Sistema / Habilita</x:v>
      </x:c>
      <x:c r="I162" s="20" t="str">
        <x:v>Derivado/confirmado</x:v>
      </x:c>
      <x:c r="J162" s="20" t="str">
        <x:v>No</x:v>
      </x:c>
      <x:c r="K162" s="20" t="str">
        <x:v>Condicional</x:v>
      </x:c>
      <x:c r="L162" s="20" t="str">
        <x:v>incidente durante TP-01/02/03</x:v>
      </x:c>
      <x:c r="M162" s="20" t="str">
        <x:v>Base sólida de diseño</x:v>
      </x:c>
      <x:c r="N162" s="20" t="str">
        <x:v>Definir rol del vínculo: origen, afectada, respuesta u otro.</x:v>
      </x:c>
      <x:c r="O162" s="20" t="str">
        <x:v>EventoHabilita también puede existir sin ninguna UnidadEjecución.</x:v>
      </x:c>
      <x:c r="P162" s="20" t="str">
        <x:v>Análisis v1.1</x:v>
      </x:c>
    </x:row>
    <x:row r="163" ht="64" customHeight="1">
      <x:c r="A163" s="20" t="str">
        <x:v>V0-163</x:v>
      </x:c>
      <x:c r="B163" s="20" t="str">
        <x:v>Habilita</x:v>
      </x:c>
      <x:c r="C163" s="20" t="str">
        <x:v>evento_habilita_persona_id</x:v>
      </x:c>
      <x:c r="D163" s="20" t="str">
        <x:v>Relación N:M entre EventoHabilita y personas involucradas/afectadas/testigos según rol.</x:v>
      </x:c>
      <x:c r="E163" s="20" t="str">
        <x:v>EventoHabilitaPersona</x:v>
      </x:c>
      <x:c r="F163" s="20" t="str">
        <x:v>Habilita contexto</x:v>
      </x:c>
      <x:c r="G163" s="20" t="str">
        <x:v>Relación</x:v>
      </x:c>
      <x:c r="H163" s="20" t="str">
        <x:v>Sistema / Habilita</x:v>
      </x:c>
      <x:c r="I163" s="20" t="str">
        <x:v>Derivado + captura controlada</x:v>
      </x:c>
      <x:c r="J163" s="20" t="str">
        <x:v>Condicional</x:v>
      </x:c>
      <x:c r="K163" s="20" t="str">
        <x:v>Condicional</x:v>
      </x:c>
      <x:c r="L163" s="20" t="str">
        <x:v>personas implicadas</x:v>
      </x:c>
      <x:c r="M163" s="20" t="str">
        <x:v>Base sólida de diseño</x:v>
      </x:c>
      <x:c r="N163" s="20" t="str">
        <x:v>Cerrar roles y privacidad/accesos en implementación.</x:v>
      </x:c>
      <x:c r="O163" s="20" t="str">
        <x:v>No cargar listas de texto libre.</x:v>
      </x:c>
      <x:c r="P163" s="20" t="str">
        <x:v>Análisis v1.1</x:v>
      </x:c>
    </x:row>
    <x:row r="164" ht="64" customHeight="1">
      <x:c r="A164" s="20" t="str">
        <x:v>V0-164</x:v>
      </x:c>
      <x:c r="B164" s="20" t="str">
        <x:v>Habilita</x:v>
      </x:c>
      <x:c r="C164" s="20" t="str">
        <x:v>evento_habilita_recurso_id</x:v>
      </x:c>
      <x:c r="D164" s="20" t="str">
        <x:v>Relación N:M entre EventoHabilita y recursos/equipos/vehículos involucrados según rol.</x:v>
      </x:c>
      <x:c r="E164" s="20" t="str">
        <x:v>EventoHabilitaRecurso</x:v>
      </x:c>
      <x:c r="F164" s="20" t="str">
        <x:v>Habilita contexto</x:v>
      </x:c>
      <x:c r="G164" s="20" t="str">
        <x:v>Relación</x:v>
      </x:c>
      <x:c r="H164" s="20" t="str">
        <x:v>Sistema / Habilita</x:v>
      </x:c>
      <x:c r="I164" s="20" t="str">
        <x:v>Derivado + captura controlada</x:v>
      </x:c>
      <x:c r="J164" s="20" t="str">
        <x:v>Condicional</x:v>
      </x:c>
      <x:c r="K164" s="20" t="str">
        <x:v>Condicional</x:v>
      </x:c>
      <x:c r="L164" s="20" t="str">
        <x:v>mismo equipo en dos incidentes distintos</x:v>
      </x:c>
      <x:c r="M164" s="20" t="str">
        <x:v>Base sólida de diseño</x:v>
      </x:c>
      <x:c r="N164" s="20" t="str">
        <x:v>Cerrar roles de vínculo.</x:v>
      </x:c>
      <x:c r="O164" s="20" t="str">
        <x:v>Un mismo recurso puede estar vinculado a múltiples eventos independientes.</x:v>
      </x:c>
      <x:c r="P164" s="20" t="str">
        <x:v>Respuesta operación Q1</x:v>
      </x:c>
    </x:row>
    <x:row r="165" ht="64" customHeight="1">
      <x:c r="A165" s="20" t="str">
        <x:v>V0-165</x:v>
      </x:c>
      <x:c r="B165" s="20" t="str">
        <x:v>Habilita</x:v>
      </x:c>
      <x:c r="C165" s="20" t="str">
        <x:v>evento_habilita_permiso_trabajo_id</x:v>
      </x:c>
      <x:c r="D165" s="20" t="str">
        <x:v>Relación entre un EventoHabilita y uno o más PermisosTrabajo relevantes.</x:v>
      </x:c>
      <x:c r="E165" s="20" t="str">
        <x:v>EventoHabilitaPermiso</x:v>
      </x:c>
      <x:c r="F165" s="20" t="str">
        <x:v>Habilita ↔ Habilita Work Control</x:v>
      </x:c>
      <x:c r="G165" s="20" t="str">
        <x:v>Relación</x:v>
      </x:c>
      <x:c r="H165" s="20" t="str">
        <x:v>Sistema / Habilita</x:v>
      </x:c>
      <x:c r="I165" s="20" t="str">
        <x:v>Derivado/confirmado</x:v>
      </x:c>
      <x:c r="J165" s="20" t="str">
        <x:v>No</x:v>
      </x:c>
      <x:c r="K165" s="20" t="str">
        <x:v>Condicional</x:v>
      </x:c>
      <x:c r="L165" s="20" t="str">
        <x:v>incidente durante tarea autorizada</x:v>
      </x:c>
      <x:c r="M165" s="20" t="str">
        <x:v>Base sólida de diseño</x:v>
      </x:c>
      <x:c r="N165" s="20" t="str">
        <x:v>Validar cuándo el vínculo es obligatorio.</x:v>
      </x:c>
      <x:c r="O165" s="20" t="str">
        <x:v>Un EventoHabilita puede suspender/revisar PTW sin convertirse en PTW.</x:v>
      </x:c>
      <x:c r="P165" s="20" t="str">
        <x:v>Análisis v1.1</x:v>
      </x:c>
    </x:row>
    <x:row r="166" ht="64" customHeight="1">
      <x:c r="A166" s="20" t="str">
        <x:v>V0-166</x:v>
      </x:c>
      <x:c r="B166" s="20" t="str">
        <x:v>Habilita</x:v>
      </x:c>
      <x:c r="C166" s="20" t="str">
        <x:v>caso_habilita_id</x:v>
      </x:c>
      <x:c r="D166" s="20" t="str">
        <x:v>Contenedor de workflow posterior al reporte para triage, investigación, notificaciones, acciones y cierre cuando el EventoHabilita lo requiera.</x:v>
      </x:c>
      <x:c r="E166" s="20" t="str">
        <x:v>CasoHabilita</x:v>
      </x:c>
      <x:c r="F166" s="20" t="str">
        <x:v>Habilita / Learn</x:v>
      </x:c>
      <x:c r="G166" s="20" t="str">
        <x:v>Entidad transaccional</x:v>
      </x:c>
      <x:c r="H166" s="20" t="str">
        <x:v>Habilita</x:v>
      </x:c>
      <x:c r="I166" s="20" t="str">
        <x:v>Generado por regla/triage</x:v>
      </x:c>
      <x:c r="J166" s="20" t="str">
        <x:v>No</x:v>
      </x:c>
      <x:c r="K166" s="20" t="str">
        <x:v>Habilita Downstream</x:v>
      </x:c>
      <x:c r="L166" s="20" t="str">
        <x:v>seguimiento de incidente</x:v>
      </x:c>
      <x:c r="M166" s="20" t="str">
        <x:v>Base sólida de diseño</x:v>
      </x:c>
      <x:c r="N166" s="20" t="str">
        <x:v>Definir qué eventos crean caso automáticamente y cuáles se cierran tras triage.</x:v>
      </x:c>
      <x:c r="O166" s="20" t="str">
        <x:v>Separa hecho inmutable de proceso de investigación que evoluciona.</x:v>
      </x:c>
      <x:c r="P166" s="20" t="str">
        <x:v>EI incident investigation + análisis v1.1</x:v>
      </x:c>
    </x:row>
    <x:row r="167" ht="64" customHeight="1">
      <x:c r="A167" s="20" t="str">
        <x:v>V0-167</x:v>
      </x:c>
      <x:c r="B167" s="20" t="str">
        <x:v>Habilita</x:v>
      </x:c>
      <x:c r="C167" s="20" t="str">
        <x:v>estado_caso_habilita</x:v>
      </x:c>
      <x:c r="D167" s="20" t="str">
        <x:v>Estado del ciclo de vida del CasoHabilita: triage, investigación, acciones, verificación, cerrado u otros que Habilita valide.</x:v>
      </x:c>
      <x:c r="E167" s="20" t="str">
        <x:v>CasoHabilita</x:v>
      </x:c>
      <x:c r="F167" s="20" t="str">
        <x:v>Habilita workflow</x:v>
      </x:c>
      <x:c r="G167" s="20" t="str">
        <x:v>Estado</x:v>
      </x:c>
      <x:c r="H167" s="20" t="str">
        <x:v>Sistema / Habilita</x:v>
      </x:c>
      <x:c r="I167" s="20" t="str">
        <x:v>Calculado/persistido</x:v>
      </x:c>
      <x:c r="J167" s="20" t="str">
        <x:v>No</x:v>
      </x:c>
      <x:c r="K167" s="20" t="str">
        <x:v>Habilita Downstream</x:v>
      </x:c>
      <x:c r="L167" s="20" t="str">
        <x:v>investigación y cierre</x:v>
      </x:c>
      <x:c r="M167" s="20" t="str">
        <x:v>Provisional fuerte</x:v>
      </x:c>
      <x:c r="N167" s="20" t="str">
        <x:v>Cerrar estados con Habilita.</x:v>
      </x:c>
      <x:c r="O167" s="20" t="str">
        <x:v>El cierre del Parte no depende de que el CasoHabilita esté cerrado.</x:v>
      </x:c>
      <x:c r="P167" s="20" t="str">
        <x:v>EI incident investigation + análisis v1.1</x:v>
      </x:c>
    </x:row>
    <x:row r="168" ht="64" customHeight="1">
      <x:c r="A168" s="20" t="str">
        <x:v>V0-168</x:v>
      </x:c>
      <x:c r="B168" s="20" t="str">
        <x:v>Habilita</x:v>
      </x:c>
      <x:c r="C168" s="20" t="str">
        <x:v>regla_escalamiento_habilita_id</x:v>
      </x:c>
      <x:c r="D168" s="20" t="str">
        <x:v>Regla que determina según tipo/severidad real/potencial/contexto si el evento exige suspensión, CasoHabilita, investigación, notificación o acciones.</x:v>
      </x:c>
      <x:c r="E168" s="20" t="str">
        <x:v>ReglaEscalamientoHabilita</x:v>
      </x:c>
      <x:c r="F168" s="20" t="str">
        <x:v>Configuration → Habilita</x:v>
      </x:c>
      <x:c r="G168" s="20" t="str">
        <x:v>Regla</x:v>
      </x:c>
      <x:c r="H168" s="20" t="str">
        <x:v>Habilita / gobernanza</x:v>
      </x:c>
      <x:c r="I168" s="20" t="str">
        <x:v>Derivado</x:v>
      </x:c>
      <x:c r="J168" s="20" t="str">
        <x:v>No</x:v>
      </x:c>
      <x:c r="K168" s="20" t="str">
        <x:v>Configuración</x:v>
      </x:c>
      <x:c r="L168" s="20" t="str">
        <x:v>high-potential / ambiental / severidad</x:v>
      </x:c>
      <x:c r="M168" s="20" t="str">
        <x:v>Necesaria por diseño</x:v>
      </x:c>
      <x:c r="N168" s="20" t="str">
        <x:v>Recibir matriz Habilita VDS y obligaciones cliente/regulatorias.</x:v>
      </x:c>
      <x:c r="O168" s="20" t="str">
        <x:v>Evita hardcodear que todo evento tenga el mismo workflow.</x:v>
      </x:c>
      <x:c r="P168" s="20" t="str">
        <x:v>IOGP/EI benchmark + análisis v1.1</x:v>
      </x:c>
    </x:row>
    <x:row r="169" ht="64" customHeight="1">
      <x:c r="A169" s="20" t="str">
        <x:v>V0-169</x:v>
      </x:c>
      <x:c r="B169" s="20" t="str">
        <x:v>Habilita</x:v>
      </x:c>
      <x:c r="C169" s="20" t="str">
        <x:v>accion_correctiva_habilita_id</x:v>
      </x:c>
      <x:c r="D169" s="20" t="str">
        <x:v>Acción de prevención/corrección surgida del CasoHabilita, con responsable, vencimiento, estado y verificación de efectividad.</x:v>
      </x:c>
      <x:c r="E169" s="20" t="str">
        <x:v>AccionCorrectivaHabilita</x:v>
      </x:c>
      <x:c r="F169" s="20" t="str">
        <x:v>Habilita Learn / Improvement</x:v>
      </x:c>
      <x:c r="G169" s="20" t="str">
        <x:v>Entidad transaccional</x:v>
      </x:c>
      <x:c r="H169" s="20" t="str">
        <x:v>Habilita / responsable</x:v>
      </x:c>
      <x:c r="I169" s="20" t="str">
        <x:v>Manual controlado</x:v>
      </x:c>
      <x:c r="J169" s="20" t="str">
        <x:v>No</x:v>
      </x:c>
      <x:c r="K169" s="20" t="str">
        <x:v>Habilita Downstream</x:v>
      </x:c>
      <x:c r="L169" s="20" t="str">
        <x:v>acción posterior a investigación</x:v>
      </x:c>
      <x:c r="M169" s="20" t="str">
        <x:v>Patrón sólido</x:v>
      </x:c>
      <x:c r="N169" s="20" t="str">
        <x:v>Definir integración futura con Tasks/gestión de acciones.</x:v>
      </x:c>
      <x:c r="O169" s="20" t="str">
        <x:v>No mantener un Caso cerrado si la política exige acciones verificadas.</x:v>
      </x:c>
      <x:c r="P169" s="20" t="str">
        <x:v>OSHA/EI incident learning benchmark</x:v>
      </x:c>
    </x:row>
    <x:row r="170" ht="64" customHeight="1">
      <x:c r="A170" s="20" t="str">
        <x:v>V0-170</x:v>
      </x:c>
      <x:c r="B170" s="20" t="str">
        <x:v>Habilita</x:v>
      </x:c>
      <x:c r="C170" s="20" t="str">
        <x:v>medicion_evento_habilita_id</x:v>
      </x:c>
      <x:c r="D170" s="20" t="str">
        <x:v>Medición/versionado de una magnitud Habilita que puede refinarse con el tiempo, por ejemplo cantidad estimada/final de un derrame.</x:v>
      </x:c>
      <x:c r="E170" s="20" t="str">
        <x:v>MedicionEventoHabilita</x:v>
      </x:c>
      <x:c r="F170" s="20" t="str">
        <x:v>Habilita evidencia</x:v>
      </x:c>
      <x:c r="G170" s="20" t="str">
        <x:v>Entidad temporal</x:v>
      </x:c>
      <x:c r="H170" s="20" t="str">
        <x:v>Campo / Habilita</x:v>
      </x:c>
      <x:c r="I170" s="20" t="str">
        <x:v>Captura + revisión</x:v>
      </x:c>
      <x:c r="J170" s="20" t="str">
        <x:v>Condicional</x:v>
      </x:c>
      <x:c r="K170" s="20" t="str">
        <x:v>Extensión</x:v>
      </x:c>
      <x:c r="L170" s="20" t="str">
        <x:v>cantidad de spill estimada vs final</x:v>
      </x:c>
      <x:c r="M170" s="20" t="str">
        <x:v>Patrón sólido para ambiental</x:v>
      </x:c>
      <x:c r="N170" s="20" t="str">
        <x:v>Cerrar magnitudes/unidades por TipoEventoHabilita.</x:v>
      </x:c>
      <x:c r="O170" s="20" t="str">
        <x:v>No sobrescribir estimación inicial si luego aparece una medición confirmada.</x:v>
      </x:c>
      <x:c r="P170" s="20" t="str">
        <x:v>IOGP environmental spill reporting + análisis v1.1</x:v>
      </x:c>
    </x:row>
    <x:row r="171" ht="64" customHeight="1">
      <x:c r="A171" s="20" t="str">
        <x:v>V0-171</x:v>
      </x:c>
      <x:c r="B171" s="20" t="str">
        <x:v>Habilita</x:v>
      </x:c>
      <x:c r="C171" s="20" t="str">
        <x:v>notificacion_habilita_id</x:v>
      </x:c>
      <x:c r="D171" s="20" t="str">
        <x:v>Registro de una comunicación/notificación requerida por regla hacia cliente, autoridad u otro destinatario, con estado y timestamps.</x:v>
      </x:c>
      <x:c r="E171" s="20" t="str">
        <x:v>NotificacionHabilita</x:v>
      </x:c>
      <x:c r="F171" s="20" t="str">
        <x:v>Habilita compliance / comunicación</x:v>
      </x:c>
      <x:c r="G171" s="20" t="str">
        <x:v>Entidad transaccional</x:v>
      </x:c>
      <x:c r="H171" s="20" t="str">
        <x:v>Habilita / sistema</x:v>
      </x:c>
      <x:c r="I171" s="20" t="str">
        <x:v>Manual/integrado</x:v>
      </x:c>
      <x:c r="J171" s="20" t="str">
        <x:v>No</x:v>
      </x:c>
      <x:c r="K171" s="20" t="str">
        <x:v>Condicional</x:v>
      </x:c>
      <x:c r="L171" s="20" t="str">
        <x:v>notificación posterior según severidad</x:v>
      </x:c>
      <x:c r="M171" s="20" t="str">
        <x:v>Slot necesario</x:v>
      </x:c>
      <x:c r="N171" s="20" t="str">
        <x:v>No fijar destinatarios/plazos hasta recibir reglas VDS/cliente/regulatorias.</x:v>
      </x:c>
      <x:c r="O171" s="20" t="str">
        <x:v>La obligación se deriva de ReglaEscalamientoHabilita; no del TipoParte.</x:v>
      </x:c>
      <x:c r="P171" s="20" t="str">
        <x:v>EI incident reporting benchmark + análisis v1.1</x:v>
      </x:c>
    </x:row>
    <x:row r="172" ht="64" customHeight="1">
      <x:c r="A172" s="20" t="str">
        <x:v>V0-172</x:v>
      </x:c>
      <x:c r="B172" s="20" t="str">
        <x:v>Ejecución / Contratos</x:v>
      </x:c>
      <x:c r="C172" s="20" t="str">
        <x:v>estado_contexto_contractual</x:v>
      </x:c>
      <x:c r="D172" s="20" t="str">
        <x:v>Estado de resolución contractual de una UnidadEjecución/trabajo emergente: resuelto, pendiente, ambiguo o no_aplica.</x:v>
      </x:c>
      <x:c r="E172" s="20" t="str">
        <x:v>UnidadEjecución</x:v>
      </x:c>
      <x:c r="F172" s="20" t="str">
        <x:v>Execution / Commercial boundary</x:v>
      </x:c>
      <x:c r="G172" s="20" t="str">
        <x:v>Estado</x:v>
      </x:c>
      <x:c r="H172" s="20" t="str">
        <x:v>Sistema / back-office</x:v>
      </x:c>
      <x:c r="I172" s="20" t="str">
        <x:v>Calculado + workflow</x:v>
      </x:c>
      <x:c r="J172" s="20" t="str">
        <x:v>No</x:v>
      </x:c>
      <x:c r="K172" s="20" t="str">
        <x:v>Condicional</x:v>
      </x:c>
      <x:c r="L172" s="20" t="str">
        <x:v>trabajo emergente offline sin CC/Item resuelto</x:v>
      </x:c>
      <x:c r="M172" s="20" t="str">
        <x:v>Base sólida de diseño</x:v>
      </x:c>
      <x:c r="N172" s="20" t="str">
        <x:v>Q-02 debe definir cuándo se permite iniciar con estado pendiente y quién autoriza.</x:v>
      </x:c>
      <x:c r="O172" s="20" t="str">
        <x:v>No usar un CentroCosto comodín. El estado expresa incertidumbre sin falsificar imputación.</x:v>
      </x:c>
      <x:c r="P172" s="20" t="str">
        <x:v>Auditoría Gemini REV E + análisis v1.4</x:v>
      </x:c>
    </x:row>
    <x:row r="173" ht="64" customHeight="1">
      <x:c r="A173" s="20" t="str">
        <x:v>V0-173</x:v>
      </x:c>
      <x:c r="B173" s="20" t="str">
        <x:v>Ejecución / Contratos</x:v>
      </x:c>
      <x:c r="C173" s="20" t="str">
        <x:v>regla_inicio_emergente_id</x:v>
      </x:c>
      <x:c r="D173" s="20" t="str">
        <x:v>Regla configurable que determina si un trabajo urgente puede iniciar con contexto contractual incompleto, bajo qué gates, autoridad y mínimos de evidencia.</x:v>
      </x:c>
      <x:c r="E173" s="20" t="str">
        <x:v>ReglaInicioEmergente</x:v>
      </x:c>
      <x:c r="F173" s="20" t="str">
        <x:v>Configuration → Execution</x:v>
      </x:c>
      <x:c r="G173" s="20" t="str">
        <x:v>Regla</x:v>
      </x:c>
      <x:c r="H173" s="20" t="str">
        <x:v>Operaciones / Contratos / Habilita</x:v>
      </x:c>
      <x:c r="I173" s="20" t="str">
        <x:v>Derivado</x:v>
      </x:c>
      <x:c r="J173" s="20" t="str">
        <x:v>No</x:v>
      </x:c>
      <x:c r="K173" s="20" t="str">
        <x:v>Configuración</x:v>
      </x:c>
      <x:c r="L173" s="20" t="str">
        <x:v>BLOQUEAR; PERMITIR_AUTORIZADO; política por contexto</x:v>
      </x:c>
      <x:c r="M173" s="20" t="str">
        <x:v>Provisional fuerte</x:v>
      </x:c>
      <x:c r="N173" s="20" t="str">
        <x:v>Cerrar Q-02 con VDS.</x:v>
      </x:c>
      <x:c r="O173" s="20" t="str">
        <x:v>Los gates Habilita/documentales duros permanecen separados y no se omiten por falta de imputación comercial.</x:v>
      </x:c>
      <x:c r="P173" s="20" t="str">
        <x:v>Auditoría Gemini REV E + análisis v1.4</x:v>
      </x:c>
    </x:row>
    <x:row r="174" ht="64" customHeight="1">
      <x:c r="A174" s="20" t="str">
        <x:v>V0-174</x:v>
      </x:c>
      <x:c r="B174" s="20" t="str">
        <x:v>Habilita</x:v>
      </x:c>
      <x:c r="C174" s="20" t="str">
        <x:v>evaluacion_escalamiento_habilita_id</x:v>
      </x:c>
      <x:c r="D174" s="20" t="str">
        <x:v>Snapshot auditable de la aplicación de ReglaEscalamientoHabilita sobre un EventoHabilita, incluyendo inputs, regla/version aplicada, resultado y acciones requeridas.</x:v>
      </x:c>
      <x:c r="E174" s="20" t="str">
        <x:v>EvaluacionEscalamientoHabilita</x:v>
      </x:c>
      <x:c r="F174" s="20" t="str">
        <x:v>HABILITA Plane</x:v>
      </x:c>
      <x:c r="G174" s="20" t="str">
        <x:v>Entidad derivada append-only</x:v>
      </x:c>
      <x:c r="H174" s="20" t="str">
        <x:v>Motor Habilita</x:v>
      </x:c>
      <x:c r="I174" s="20" t="str">
        <x:v>Automático</x:v>
      </x:c>
      <x:c r="J174" s="20" t="str">
        <x:v>No</x:v>
      </x:c>
      <x:c r="K174" s="20" t="str">
        <x:v>Habilita Core</x:v>
      </x:c>
      <x:c r="L174" s="20" t="str">
        <x:v>tipo + severidad real/potencial + contexto → acciones</x:v>
      </x:c>
      <x:c r="M174" s="20" t="str">
        <x:v>Base sólida de diseño</x:v>
      </x:c>
      <x:c r="N174" s="20" t="str">
        <x:v>Q-06 debe aportar matriz/reglas VDS; no fijar umbrales genéricos.</x:v>
      </x:c>
      <x:c r="O174" s="20" t="str">
        <x:v>No crea un segundo Control Plane: puede generar DirectivaOperativa, NotificacionHabilita o CasoHabilita mediante objetos ya existentes.</x:v>
      </x:c>
      <x:c r="P174" s="20" t="str">
        <x:v>Auditoría Gemini REV E + análisis v1.4</x:v>
      </x:c>
    </x:row>
    <x:row r="175" ht="64" customHeight="1">
      <x:c r="A175" s="20" t="str">
        <x:v>V0-175</x:v>
      </x:c>
      <x:c r="B175" s="20" t="str">
        <x:v>Habilita</x:v>
      </x:c>
      <x:c r="C175" s="20" t="str">
        <x:v>estado_investigacion_habilita</x:v>
      </x:c>
      <x:c r="D175" s="20" t="str">
        <x:v>Estado propio del proceso de investigación dentro de CasoHabilita, separado del estado general del caso.</x:v>
      </x:c>
      <x:c r="E175" s="20" t="str">
        <x:v>CasoHabilita</x:v>
      </x:c>
      <x:c r="F175" s="20" t="str">
        <x:v>Habilita Investigation</x:v>
      </x:c>
      <x:c r="G175" s="20" t="str">
        <x:v>Estado</x:v>
      </x:c>
      <x:c r="H175" s="20" t="str">
        <x:v>Habilita</x:v>
      </x:c>
      <x:c r="I175" s="20" t="str">
        <x:v>Calculado/persistido</x:v>
      </x:c>
      <x:c r="J175" s="20" t="str">
        <x:v>No</x:v>
      </x:c>
      <x:c r="K175" s="20" t="str">
        <x:v>Habilita Downstream</x:v>
      </x:c>
      <x:c r="L175" s="20" t="str">
        <x:v>no_iniciada; en_curso; finalizada</x:v>
      </x:c>
      <x:c r="M175" s="20" t="str">
        <x:v>Base sólida de diseño</x:v>
      </x:c>
      <x:c r="N175" s="20" t="str">
        <x:v>Cerrar nomenclatura con Habilita.</x:v>
      </x:c>
      <x:c r="O175" s="20" t="str">
        <x:v>Permite finalizar investigación mientras acciones correctivas continúan.</x:v>
      </x:c>
      <x:c r="P175" s="20" t="str">
        <x:v>Auditoría Gemini Q-09 + análisis v1.4</x:v>
      </x:c>
    </x:row>
    <x:row r="176" ht="64" customHeight="1">
      <x:c r="A176" s="20" t="str">
        <x:v>V0-176</x:v>
      </x:c>
      <x:c r="B176" s="20" t="str">
        <x:v>Habilita</x:v>
      </x:c>
      <x:c r="C176" s="20" t="str">
        <x:v>estado_accion_correctiva_habilita</x:v>
      </x:c>
      <x:c r="D176" s="20" t="str">
        <x:v>Estado del lifecycle independiente de una AccionCorrectivaHabilita, incluyendo implementación y verificación de efectividad.</x:v>
      </x:c>
      <x:c r="E176" s="20" t="str">
        <x:v>AccionCorrectivaHabilita</x:v>
      </x:c>
      <x:c r="F176" s="20" t="str">
        <x:v>Habilita Improvement</x:v>
      </x:c>
      <x:c r="G176" s="20" t="str">
        <x:v>Estado</x:v>
      </x:c>
      <x:c r="H176" s="20" t="str">
        <x:v>Responsable / Habilita</x:v>
      </x:c>
      <x:c r="I176" s="20" t="str">
        <x:v>Persistido</x:v>
      </x:c>
      <x:c r="J176" s="20" t="str">
        <x:v>No</x:v>
      </x:c>
      <x:c r="K176" s="20" t="str">
        <x:v>Habilita Downstream</x:v>
      </x:c>
      <x:c r="L176" s="20" t="str">
        <x:v>pendiente; en_progreso; implementada; verificada; cerrada</x:v>
      </x:c>
      <x:c r="M176" s="20" t="str">
        <x:v>Base sólida de diseño</x:v>
      </x:c>
      <x:c r="N176" s="20" t="str">
        <x:v>Cerrar nomenclatura y criterios de verificación con Habilita.</x:v>
      </x:c>
      <x:c r="O176" s="20" t="str">
        <x:v>No usar estado_caso_habilita para ocultar acciones todavía abiertas.</x:v>
      </x:c>
      <x:c r="P176" s="20" t="str">
        <x:v>Auditoría Gemini Q-09 + análisis v1.4</x:v>
      </x:c>
    </x:row>
    <x:row r="177" ht="64" customHeight="1">
      <x:c r="A177" s="20" t="str">
        <x:v>V0-177</x:v>
      </x:c>
      <x:c r="B177" s="20" t="str">
        <x:v>Certificación / Lineage</x:v>
      </x:c>
      <x:c r="C177" s="20" t="str">
        <x:v>unidad_comercial_sustituye_a_id</x:v>
      </x:c>
      <x:c r="D177" s="20" t="str">
        <x:v>Referencia de supersession entre una nueva UnidadComercial recalculada y la versión comercial previa derivada de una ejecución luego enmendada.</x:v>
      </x:c>
      <x:c r="E177" s="20" t="str">
        <x:v>UnidadComercial</x:v>
      </x:c>
      <x:c r="F177" s="20" t="str">
        <x:v>Certificación / Lineage</x:v>
      </x:c>
      <x:c r="G177" s="20" t="str">
        <x:v>Relación/versionado</x:v>
      </x:c>
      <x:c r="H177" s="20" t="str">
        <x:v>Sistema</x:v>
      </x:c>
      <x:c r="I177" s="20" t="str">
        <x:v>Derivado</x:v>
      </x:c>
      <x:c r="J177" s="20" t="str">
        <x:v>No</x:v>
      </x:c>
      <x:c r="K177" s="20" t="str">
        <x:v>Downstream</x:v>
      </x:c>
      <x:c r="L177" s="20" t="str">
        <x:v>UC v2 sustituye UC v1 tras EnmiendaOperativa</x:v>
      </x:c>
      <x:c r="M177" s="20" t="str">
        <x:v>Base sólida de diseño</x:v>
      </x:c>
      <x:c r="N177" s="20" t="str">
        <x:v>Q-04 debe definir tratamiento cuando UC previa ya fue aceptada/facturada.</x:v>
      </x:c>
      <x:c r="O177" s="20" t="str">
        <x:v>La UC anterior nunca se elimina; queda histórica y marcada como sustituida/inválida según workflow.</x:v>
      </x:c>
      <x:c r="P177" s="20" t="str">
        <x:v>Auditoría Gemini Q-04 + análisis v1.4</x:v>
      </x:c>
    </x:row>
    <x:row r="178" ht="64" customHeight="1">
      <x:c r="A178" s="20" t="str">
        <x:v>V0-178</x:v>
      </x:c>
      <x:c r="B178" s="20" t="str">
        <x:v>Certificación / Lineage</x:v>
      </x:c>
      <x:c r="C178" s="20" t="str">
        <x:v>estado_supersession_comercial</x:v>
      </x:c>
      <x:c r="D178" s="20" t="str">
        <x:v>Estado que expresa si una UnidadComercial sigue vigente, fue sustituida por una nueva versión, quedó invalidada o requiere revisión por cambio de fuente.</x:v>
      </x:c>
      <x:c r="E178" s="20" t="str">
        <x:v>UnidadComercial</x:v>
      </x:c>
      <x:c r="F178" s="20" t="str">
        <x:v>Certificación / Lineage</x:v>
      </x:c>
      <x:c r="G178" s="20" t="str">
        <x:v>Estado</x:v>
      </x:c>
      <x:c r="H178" s="20" t="str">
        <x:v>Sistema / Certificaciones</x:v>
      </x:c>
      <x:c r="I178" s="20" t="str">
        <x:v>Calculado + workflow</x:v>
      </x:c>
      <x:c r="J178" s="20" t="str">
        <x:v>No</x:v>
      </x:c>
      <x:c r="K178" s="20" t="str">
        <x:v>Downstream</x:v>
      </x:c>
      <x:c r="L178" s="20" t="str">
        <x:v>vigente; requiere_recalculo; sustituida; invalidada; en_revision</x:v>
      </x:c>
      <x:c r="M178" s="20" t="str">
        <x:v>Base sólida inicial</x:v>
      </x:c>
      <x:c r="N178" s="20" t="str">
        <x:v>Q-04 debe cerrar estados posteriores a aceptación/facturación.</x:v>
      </x:c>
      <x:c r="O178" s="20" t="str">
        <x:v>Se suma a estado_certificabilidad; no lo reemplaza: uno expresa workflow de aceptación y otro vigencia respecto de la fuente.</x:v>
      </x:c>
      <x:c r="P178" s="20" t="str">
        <x:v>Auditoría Gemini Q-04 + análisis v1.4</x:v>
      </x:c>
    </x:row>
    <x:row r="179" ht="64" customHeight="1">
      <x:c r="A179" s="20" t="str">
        <x:v>V0-179</x:v>
      </x:c>
      <x:c r="B179" s="20" t="str">
        <x:v>Perfil / Ruteo</x:v>
      </x:c>
      <x:c r="C179" s="20" t="str">
        <x:v>persona_perfil_operativo_id</x:v>
      </x:c>
      <x:c r="D179" s="20" t="str">
        <x:v>Relación temporal entre Persona y PerfilOperativo; permite que una persona tenga uno o más perfiles/cursos operativos válidos por período.</x:v>
      </x:c>
      <x:c r="E179" s="20" t="str">
        <x:v>PersonaPerfilOperativo</x:v>
      </x:c>
      <x:c r="F179" s="20" t="str">
        <x:v>Maestros / ruteo</x:v>
      </x:c>
      <x:c r="G179" s="20" t="str">
        <x:v>Entidad puente N:M</x:v>
      </x:c>
      <x:c r="H179" s="20" t="str">
        <x:v>RRHH / seguridad</x:v>
      </x:c>
      <x:c r="I179" s="20" t="str">
        <x:v>Heredado</x:v>
      </x:c>
      <x:c r="J179" s="20" t="str">
        <x:v>No</x:v>
      </x:c>
      <x:c r="K179" s="20" t="str">
        <x:v>Referencia</x:v>
      </x:c>
      <x:c r="L179" s="20" t="str">
        <x:v>persona + perfil</x:v>
      </x:c>
      <x:c r="M179" s="20" t="str">
        <x:v>Base sólida v2.0</x:v>
      </x:c>
      <x:c r="N179" s="20" t="str">
        <x:v>Definir vigencias y prioridad de perfiles.</x:v>
      </x:c>
      <x:c r="O179" s="20" t="str">
        <x:v>Evita guardar un único perfil rígido en Persona.</x:v>
      </x:c>
      <x:c r="P179" s="20" t="str">
        <x:v>Normalización relacional v2.0</x:v>
      </x:c>
    </x:row>
    <x:row r="180" ht="64" customHeight="1">
      <x:c r="A180" s="20" t="str">
        <x:v>V0-180</x:v>
      </x:c>
      <x:c r="B180" s="20" t="str">
        <x:v>Planificación</x:v>
      </x:c>
      <x:c r="C180" s="20" t="str">
        <x:v>asignacion_persona_planificada_id</x:v>
      </x:c>
      <x:c r="D180" s="20" t="str">
        <x:v>Relación entre una AsignacionPlanificada/UnidadPlanificada y una Persona prevista, con rol y vigencia/ventana prevista.</x:v>
      </x:c>
      <x:c r="E180" s="20" t="str">
        <x:v>AsignacionPersonaPlanificada</x:v>
      </x:c>
      <x:c r="F180" s="20" t="str">
        <x:v>Planificación</x:v>
      </x:c>
      <x:c r="G180" s="20" t="str">
        <x:v>Entidad puente</x:v>
      </x:c>
      <x:c r="H180" s="20" t="str">
        <x:v>Planificación</x:v>
      </x:c>
      <x:c r="I180" s="20" t="str">
        <x:v>Generado por planificación</x:v>
      </x:c>
      <x:c r="J180" s="20" t="str">
        <x:v>No</x:v>
      </x:c>
      <x:c r="K180" s="20" t="str">
        <x:v>Upstream</x:v>
      </x:c>
      <x:c r="L180" s="20" t="str">
        <x:v>persona prevista</x:v>
      </x:c>
      <x:c r="M180" s="20" t="str">
        <x:v>Base sólida v2.0</x:v>
      </x:c>
      <x:c r="N180" s="20" t="str">
        <x:v>Definir si el vínculo cuelga de Asignación o Unidad según granularidad.</x:v>
      </x:c>
      <x:c r="O180" s="20" t="str">
        <x:v>Preserva diferencia planificado vs real.</x:v>
      </x:c>
      <x:c r="P180" s="20" t="str">
        <x:v>Normalización relacional v2.0</x:v>
      </x:c>
    </x:row>
    <x:row r="181" ht="64" customHeight="1">
      <x:c r="A181" s="20" t="str">
        <x:v>V0-181</x:v>
      </x:c>
      <x:c r="B181" s="20" t="str">
        <x:v>Planificación</x:v>
      </x:c>
      <x:c r="C181" s="20" t="str">
        <x:v>asignacion_recurso_planificada_id</x:v>
      </x:c>
      <x:c r="D181" s="20" t="str">
        <x:v>Relación entre una AsignacionPlanificada/UnidadPlanificada y un Recurso nominal previsto, con rol/ventana.</x:v>
      </x:c>
      <x:c r="E181" s="20" t="str">
        <x:v>AsignacionRecursoPlanificada</x:v>
      </x:c>
      <x:c r="F181" s="20" t="str">
        <x:v>Planificación</x:v>
      </x:c>
      <x:c r="G181" s="20" t="str">
        <x:v>Entidad puente</x:v>
      </x:c>
      <x:c r="H181" s="20" t="str">
        <x:v>Planificación</x:v>
      </x:c>
      <x:c r="I181" s="20" t="str">
        <x:v>Generado por planificación</x:v>
      </x:c>
      <x:c r="J181" s="20" t="str">
        <x:v>No</x:v>
      </x:c>
      <x:c r="K181" s="20" t="str">
        <x:v>Upstream</x:v>
      </x:c>
      <x:c r="L181" s="20" t="str">
        <x:v>recurso previsto</x:v>
      </x:c>
      <x:c r="M181" s="20" t="str">
        <x:v>Base sólida v2.0</x:v>
      </x:c>
      <x:c r="N181" s="20" t="str">
        <x:v>Puede no existir cuando se planifica solo por capacidad.</x:v>
      </x:c>
      <x:c r="O181" s="20" t="str">
        <x:v>No reemplaza RequerimientoRecurso.</x:v>
      </x:c>
      <x:c r="P181" s="20" t="str">
        <x:v>Normalización relacional v2.0</x:v>
      </x:c>
    </x:row>
    <x:row r="182" ht="64" customHeight="1">
      <x:c r="A182" s="20" t="str">
        <x:v>V0-182</x:v>
      </x:c>
      <x:c r="B182" s="20" t="str">
        <x:v>Permiso de trabajo</x:v>
      </x:c>
      <x:c r="C182" s="20" t="str">
        <x:v>permiso_trabajo_unidad_ejecucion_id</x:v>
      </x:c>
      <x:c r="D182" s="20" t="str">
        <x:v>Relación N:M entre PermisoTrabajo y UnidadEjecución indicando alcance/rol del permiso sobre una o más unidades.</x:v>
      </x:c>
      <x:c r="E182" s="20" t="str">
        <x:v>PermisoTrabajoUnidadEjecucion</x:v>
      </x:c>
      <x:c r="F182" s="20" t="str">
        <x:v>Habilita PREVENT</x:v>
      </x:c>
      <x:c r="G182" s="20" t="str">
        <x:v>Entidad puente N:M</x:v>
      </x:c>
      <x:c r="H182" s="20" t="str">
        <x:v>Sistema / Habilita</x:v>
      </x:c>
      <x:c r="I182" s="20" t="str">
        <x:v>Generado/confirmado</x:v>
      </x:c>
      <x:c r="J182" s="20" t="str">
        <x:v>No</x:v>
      </x:c>
      <x:c r="K182" s="20" t="str">
        <x:v>Condicional</x:v>
      </x:c>
      <x:c r="L182" s="20" t="str">
        <x:v>0..N permisos por intervención</x:v>
      </x:c>
      <x:c r="M182" s="20" t="str">
        <x:v>Base sólida v2.0</x:v>
      </x:c>
      <x:c r="N182" s="20" t="str">
        <x:v>Validar roles de cobertura/alcance.</x:v>
      </x:c>
      <x:c r="O182" s="20" t="str">
        <x:v>Evita asumir un permiso exclusivo por UnidadEjecución.</x:v>
      </x:c>
      <x:c r="P182" s="20" t="str">
        <x:v>Arquitectura PTW + normalización v2.0</x:v>
      </x:c>
    </x:row>
    <x:row r="183" ht="64" customHeight="1">
      <x:c r="A183" s="20" t="str">
        <x:v>V0-183</x:v>
      </x:c>
      <x:c r="B183" s="20" t="str">
        <x:v>Evidencia</x:v>
      </x:c>
      <x:c r="C183" s="20" t="str">
        <x:v>evidencia_vinculo_id</x:v>
      </x:c>
      <x:c r="D183" s="20" t="str">
        <x:v>Asociación lógica entre Evidencia y el objeto que valida/documenta (Parte, UnidadEjecución, PermisoTrabajo, EventoHabilita, UnidadComercial, Paquete u otro scope permitido).</x:v>
      </x:c>
      <x:c r="E183" s="20" t="str">
        <x:v>EvidenciaVinculo</x:v>
      </x:c>
      <x:c r="F183" s="20" t="str">
        <x:v>Trace / Evidence</x:v>
      </x:c>
      <x:c r="G183" s="20" t="str">
        <x:v>Entidad de asociación</x:v>
      </x:c>
      <x:c r="H183" s="20" t="str">
        <x:v>Sistema</x:v>
      </x:c>
      <x:c r="I183" s="20" t="str">
        <x:v>Generado</x:v>
      </x:c>
      <x:c r="J183" s="20" t="str">
        <x:v>No</x:v>
      </x:c>
      <x:c r="K183" s="20" t="str">
        <x:v>Transversal</x:v>
      </x:c>
      <x:c r="L183" s="20" t="str">
        <x:v>evidencia multi-scope</x:v>
      </x:c>
      <x:c r="M183" s="20" t="str">
        <x:v>Base sólida lógica</x:v>
      </x:c>
      <x:c r="N183" s="20" t="str">
        <x:v>En implementación preferir asociaciones tipadas/FK verificables por scope.</x:v>
      </x:c>
      <x:c r="O183" s="20" t="str">
        <x:v>Permite una Evidencia independiente y reutilizable sin columnas repetidas.</x:v>
      </x:c>
      <x:c r="P183" s="20" t="str">
        <x:v>Normalización relacional v2.0</x:v>
      </x:c>
    </x:row>
    <x:row r="184" ht="64" customHeight="1">
      <x:c r="A184" s="20" t="str">
        <x:v>V0-184</x:v>
      </x:c>
      <x:c r="B184" s="20" t="str">
        <x:v>Certificación / Lineage</x:v>
      </x:c>
      <x:c r="C184" s="20" t="str">
        <x:v>unidad_comercial_fuente_ejecucion_id</x:v>
      </x:c>
      <x:c r="D184" s="20" t="str">
        <x:v>Relación N:M entre UnidadComercial y UnidadEjecución/ImputacionEjecucion fuente, preservando la versión exacta de la verdad operativa utilizada.</x:v>
      </x:c>
      <x:c r="E184" s="20" t="str">
        <x:v>UnidadComercialFuenteEjecucion</x:v>
      </x:c>
      <x:c r="F184" s="20" t="str">
        <x:v>Interface B / Lineage</x:v>
      </x:c>
      <x:c r="G184" s="20" t="str">
        <x:v>Entidad puente N:M</x:v>
      </x:c>
      <x:c r="H184" s="20" t="str">
        <x:v>Motor contractual</x:v>
      </x:c>
      <x:c r="I184" s="20" t="str">
        <x:v>Generado automático</x:v>
      </x:c>
      <x:c r="J184" s="20" t="str">
        <x:v>No</x:v>
      </x:c>
      <x:c r="K184" s="20" t="str">
        <x:v>Downstream</x:v>
      </x:c>
      <x:c r="L184" s="20" t="str">
        <x:v>N ejecuciones → 1 UC; 1 ejecución → N UC</x:v>
      </x:c>
      <x:c r="M184" s="20" t="str">
        <x:v>Base sólida v2.0</x:v>
      </x:c>
      <x:c r="N184" s="20" t="str">
        <x:v>Cerrar claves naturales por ReglaGranoUnidadComercial.</x:v>
      </x:c>
      <x:c r="O184" s="20" t="str">
        <x:v>Resuelve anomalía del antiguo fuente_ejecucion_version_id escalar.</x:v>
      </x:c>
      <x:c r="P184" s="20" t="str">
        <x:v>Normalización relacional v2.0</x:v>
      </x:c>
    </x:row>
    <x:row r="185" ht="64" customHeight="1">
      <x:c r="A185" s="20" t="str">
        <x:v>V0-185</x:v>
      </x:c>
      <x:c r="B185" s="20" t="str">
        <x:v>Certificación</x:v>
      </x:c>
      <x:c r="C185" s="20" t="str">
        <x:v>paquete_certificacion_unidad_comercial_id</x:v>
      </x:c>
      <x:c r="D185" s="20" t="str">
        <x:v>Relación versionable entre PaqueteCertificacion y UnidadComercial incluida, con estado de inclusión/vigencia.</x:v>
      </x:c>
      <x:c r="E185" s="20" t="str">
        <x:v>PaqueteCertificacionUnidadComercial</x:v>
      </x:c>
      <x:c r="F185" s="20" t="str">
        <x:v>Certificación</x:v>
      </x:c>
      <x:c r="G185" s="20" t="str">
        <x:v>Entidad puente N:M/versionada</x:v>
      </x:c>
      <x:c r="H185" s="20" t="str">
        <x:v>Sistema</x:v>
      </x:c>
      <x:c r="I185" s="20" t="str">
        <x:v>Generado por regla/workflow</x:v>
      </x:c>
      <x:c r="J185" s="20" t="str">
        <x:v>No</x:v>
      </x:c>
      <x:c r="K185" s="20" t="str">
        <x:v>Downstream</x:v>
      </x:c>
      <x:c r="L185" s="20" t="str">
        <x:v>agrupación por pozo/período/ítem</x:v>
      </x:c>
      <x:c r="M185" s="20" t="str">
        <x:v>Base sólida v2.0</x:v>
      </x:c>
      <x:c r="N185" s="20" t="str">
        <x:v>Definir restricción de una sola inclusión efectiva por versión/regla.</x:v>
      </x:c>
      <x:c r="O185" s="20" t="str">
        <x:v>Permite rearmar/reversionar paquetes sin mover o borrar la UC histórica.</x:v>
      </x:c>
      <x:c r="P185" s="20" t="str">
        <x:v>Normalización relacional v2.0</x:v>
      </x:c>
    </x:row>
    <x:row r="186" ht="64" customHeight="1">
      <x:c r="A186" s="20" t="str">
        <x:v>V0-186</x:v>
      </x:c>
      <x:c r="B186" s="20" t="str">
        <x:v>Gobernanza contractual</x:v>
      </x:c>
      <x:c r="C186" s="20" t="str">
        <x:v>contrato_servicio_centro_costo_id</x:v>
      </x:c>
      <x:c r="D186" s="20" t="str">
        <x:v>Relación configurable entre ContratoServicio y CentroCosto aplicable, con vigencia/contexto; evita tratar el CentroCosto como hijo rígido del Contrato.</x:v>
      </x:c>
      <x:c r="E186" s="20" t="str">
        <x:v>ContratoServicioCentroCosto</x:v>
      </x:c>
      <x:c r="F186" s="20" t="str">
        <x:v>Configuration Plane</x:v>
      </x:c>
      <x:c r="G186" s="20" t="str">
        <x:v>Entidad puente N:M</x:v>
      </x:c>
      <x:c r="H186" s="20" t="str">
        <x:v>Contrato / ERP</x:v>
      </x:c>
      <x:c r="I186" s="20" t="str">
        <x:v>Configurado/integrado</x:v>
      </x:c>
      <x:c r="J186" s="20" t="str">
        <x:v>No</x:v>
      </x:c>
      <x:c r="K186" s="20" t="str">
        <x:v>Configuración</x:v>
      </x:c>
      <x:c r="L186" s="20" t="str">
        <x:v>CC26/CC27/CC80</x:v>
      </x:c>
      <x:c r="M186" s="20" t="str">
        <x:v>Provisional fuerte v2.0</x:v>
      </x:c>
      <x:c r="N186" s="20" t="str">
        <x:v>Recibir maestro real y vigencias.</x:v>
      </x:c>
      <x:c r="O186" s="20" t="str">
        <x:v>CentroCosto sigue siendo dimensión independiente.</x:v>
      </x:c>
      <x:c r="P186" s="20" t="str">
        <x:v>Normalización relacional v2.0</x:v>
      </x:c>
    </x:row>
    <x:row r="187" ht="64" customHeight="1">
      <x:c r="A187" s="20" t="str">
        <x:v>V0-187</x:v>
      </x:c>
      <x:c r="B187" s="20" t="str">
        <x:v>Control Plane</x:v>
      </x:c>
      <x:c r="C187" s="20" t="str">
        <x:v>directiva_operativa_objetivo_id</x:v>
      </x:c>
      <x:c r="D187" s="20" t="str">
        <x:v>Relación entre DirectivaOperativa y uno o más objetivos afectados (Asignación, UnidadPlanificada, Parte o UnidadEjecución) conservando tipo de alcance.</x:v>
      </x:c>
      <x:c r="E187" s="20" t="str">
        <x:v>DirectivaOperativaObjetivo</x:v>
      </x:c>
      <x:c r="F187" s="20" t="str">
        <x:v>Control Plane</x:v>
      </x:c>
      <x:c r="G187" s="20" t="str">
        <x:v>Entidad puente / target</x:v>
      </x:c>
      <x:c r="H187" s="20" t="str">
        <x:v>Sistema</x:v>
      </x:c>
      <x:c r="I187" s="20" t="str">
        <x:v>Generado</x:v>
      </x:c>
      <x:c r="J187" s="20" t="str">
        <x:v>No</x:v>
      </x:c>
      <x:c r="K187" s="20" t="str">
        <x:v>Transversal</x:v>
      </x:c>
      <x:c r="L187" s="20" t="str">
        <x:v>cancelar/suspender/cambiar alcance</x:v>
      </x:c>
      <x:c r="M187" s="20" t="str">
        <x:v>Base sólida lógica</x:v>
      </x:c>
      <x:c r="N187" s="20" t="str">
        <x:v>Implementación física debe preservar integridad referencial de targets.</x:v>
      </x:c>
      <x:c r="O187" s="20" t="str">
        <x:v>Una directiva puede afectar más de un objeto sin mutar la historia.</x:v>
      </x:c>
      <x:c r="P187" s="20" t="str">
        <x:v>Normalización relacional v2.0</x:v>
      </x:c>
    </x:row>
    <x:row r="188" ht="64" customHeight="1">
      <x:c r="A188" s="20" t="str">
        <x:v>V0-188</x:v>
      </x:c>
      <x:c r="B188" s="20" t="str">
        <x:v>Control documental</x:v>
      </x:c>
      <x:c r="C188" s="20" t="str">
        <x:v>cumplimiento_habilitacion_id</x:v>
      </x:c>
      <x:c r="D188" s="20" t="str">
        <x:v>Relación entre un RequisitoHabilitacion y el sujeto/documento que demuestra cumplimiento, con vigencia y estado evaluable.</x:v>
      </x:c>
      <x:c r="E188" s="20" t="str">
        <x:v>CumplimientoHabilitacion</x:v>
      </x:c>
      <x:c r="F188" s="20" t="str">
        <x:v>Control documental</x:v>
      </x:c>
      <x:c r="G188" s="20" t="str">
        <x:v>Entidad transaccional/puente</x:v>
      </x:c>
      <x:c r="H188" s="20" t="str">
        <x:v>Gestión documental</x:v>
      </x:c>
      <x:c r="I188" s="20" t="str">
        <x:v>Heredado/integrado</x:v>
      </x:c>
      <x:c r="J188" s="20" t="str">
        <x:v>No</x:v>
      </x:c>
      <x:c r="K188" s="20" t="str">
        <x:v>Transversal</x:v>
      </x:c>
      <x:c r="L188" s="20" t="str">
        <x:v>persona/recurso/empresa habilitada</x:v>
      </x:c>
      <x:c r="M188" s="20" t="str">
        <x:v>Base lógica v2.0</x:v>
      </x:c>
      <x:c r="N188" s="20" t="str">
        <x:v>Implementar sujeto habilitable mediante subtipos o asociaciones tipadas.</x:v>
      </x:c>
      <x:c r="O188" s="20" t="str">
        <x:v>Separa regla de requisito de la evidencia concreta que la satisface.</x:v>
      </x:c>
      <x:c r="P188" s="20" t="str">
        <x:v>Normalización relacional v2.0</x:v>
      </x:c>
    </x:row>
    <x:row r="189" ht="68" customHeight="1">
      <x:c r="A189" s="20" t="str">
        <x:v>V0-189</x:v>
      </x:c>
      <x:c r="B189" s="20" t="str">
        <x:v>Rule Engine</x:v>
      </x:c>
      <x:c r="C189" s="20" t="str">
        <x:v>decision_trace_id</x:v>
      </x:c>
      <x:c r="D189" s="20" t="str">
        <x:v>Identificador de una decisión producida por el motor de reglas. Conserva inputs normalizados, contexto, ruleset/version, reglas evaluadas/aplicadas, decisión, side effects y overrides.</x:v>
      </x:c>
      <x:c r="E189" s="20" t="str">
        <x:v>DecisionTrace</x:v>
      </x:c>
      <x:c r="F189" s="20" t="str">
        <x:v>Trace / Rule Engine</x:v>
      </x:c>
      <x:c r="G189" s="20" t="str">
        <x:v>Entidad append-only</x:v>
      </x:c>
      <x:c r="H189" s="20" t="str">
        <x:v>Motor de reglas</x:v>
      </x:c>
      <x:c r="I189" s="20" t="str">
        <x:v>Generado automático</x:v>
      </x:c>
      <x:c r="J189" s="20" t="str">
        <x:v>No</x:v>
      </x:c>
      <x:c r="K189" s="20" t="str">
        <x:v>Transversal</x:v>
      </x:c>
      <x:c r="L189" s="20" t="str">
        <x:v>por qué Start Work fue bloqueado / por qué se derivó una UC</x:v>
      </x:c>
      <x:c r="M189" s="20" t="str">
        <x:v>Base sólida v2.3</x:v>
      </x:c>
      <x:c r="N189" s="20" t="str">
        <x:v>Definir payload físico después; funcionalmente debe ser explicable y reproducible.</x:v>
      </x:c>
      <x:c r="O189" s="20" t="str">
        <x:v>No guardar solo 'permitido=true': conservar la explicación de la decisión.</x:v>
      </x:c>
      <x:c r="P189" s="20" t="str">
        <x:v>Master Rule Engine v0.1</x:v>
      </x:c>
    </x:row>
    <x:row r="190" ht="68" customHeight="1">
      <x:c r="A190" s="20" t="str">
        <x:v>V0-190</x:v>
      </x:c>
      <x:c r="B190" s="20" t="str">
        <x:v>Rule Engine</x:v>
      </x:c>
      <x:c r="C190" s="20" t="str">
        <x:v>decision_trace_ruleset_version</x:v>
      </x:c>
      <x:c r="D190" s="20" t="str">
        <x:v>Versión del conjunto de reglas/configuración utilizada al evaluar una decisión.</x:v>
      </x:c>
      <x:c r="E190" s="20" t="str">
        <x:v>DecisionTrace</x:v>
      </x:c>
      <x:c r="F190" s="20" t="str">
        <x:v>Trace / Rule Engine</x:v>
      </x:c>
      <x:c r="G190" s="20" t="str">
        <x:v>Atributo versionado</x:v>
      </x:c>
      <x:c r="H190" s="20" t="str">
        <x:v>Motor de reglas</x:v>
      </x:c>
      <x:c r="I190" s="20" t="str">
        <x:v>Derivado</x:v>
      </x:c>
      <x:c r="J190" s="20" t="str">
        <x:v>No</x:v>
      </x:c>
      <x:c r="K190" s="20" t="str">
        <x:v>Transversal</x:v>
      </x:c>
      <x:c r="L190" s="20" t="str">
        <x:v>REV E ruleset / configuración cliente-servicio</x:v>
      </x:c>
      <x:c r="M190" s="20" t="str">
        <x:v>Base sólida v2.3</x:v>
      </x:c>
      <x:c r="N190" s="20" t="str">
        <x:v>Puede materializarse como FK a RulesetVersion en diseño técnico si se necesita.</x:v>
      </x:c>
      <x:c r="O190" s="20" t="str">
        <x:v>Permite reproducir una decisión histórica aun cuando cambien reglas futuras.</x:v>
      </x:c>
      <x:c r="P190" s="20" t="str">
        <x:v>Master Rule Engine v0.1</x:v>
      </x:c>
    </x:row>
  </x:sheetData>
  <x:conditionalFormatting sqref="M2:M55">
    <x:cfRule type="expression" dxfId="0" priority="1">
      <x:formula>M2="Base sólida"</x:formula>
    </x:cfRule>
    <x:cfRule type="expression" dxfId="1" priority="2">
      <x:formula>M2="Provisional"</x:formula>
    </x:cfRule>
    <x:cfRule type="expression" dxfId="2" priority="3">
      <x:formula>M2="Patrón de extensión"</x:formula>
    </x:cfRule>
  </x:conditionalFormatting>
  <x:dataValidations count="3">
    <x:dataValidation type="list" sqref="J2:J55">
      <x:formula1>99_Listas!$B$2:$B$5</x:formula1>
    </x:dataValidation>
    <x:dataValidation type="list" sqref="K2:K55">
      <x:formula1>99_Listas!$C$2:$C$6</x:formula1>
    </x:dataValidation>
    <x:dataValidation type="list" sqref="M2:M55">
      <x:formula1>99_Listas!$A$2:$A$6</x:formula1>
    </x:dataValidation>
  </x:dataValidations>
  <x:pageMargins left="0.7" right="0.7" top="0.75" bottom="0.75" header="0.3" footer="0.3"/>
  <x:tableParts count="1">
    <x:tablePart xmlns:r="http://schemas.openxmlformats.org/officeDocument/2006/relationships" r:id="R706d613361e14dcd"/>
  </x:tableParts>
</x:worksheet>
</file>

<file path=xl/worksheets/sheet3.xml><?xml version="1.0" encoding="utf-8"?>
<x:worksheet xmlns:x="http://schemas.openxmlformats.org/spreadsheetml/2006/main">
  <x:sheetFormatPr defaultRowHeight="15"/>
  <x:cols>
    <x:col min="1" max="1" width="28" hidden="0" customWidth="1"/>
    <x:col min="2" max="2" width="45" hidden="0" customWidth="1"/>
    <x:col min="3" max="3" width="36" hidden="0" customWidth="1"/>
    <x:col min="4" max="4" width="42" hidden="0" customWidth="1"/>
    <x:col min="5" max="5" width="22" hidden="0" customWidth="1"/>
    <x:col min="6" max="6" width="18" hidden="0" customWidth="1"/>
    <x:col min="7" max="7" width="48" hidden="0" customWidth="1"/>
    <x:col min="8" max="8" width="10" hidden="0" customWidth="1"/>
    <x:col min="9" max="9" width="22" hidden="0" customWidth="1"/>
  </x:cols>
  <x:sheetData>
    <x:row r="1" ht="30" customHeight="1">
      <x:c r="A1" s="52" t="str">
        <x:v>Variable homologada original</x:v>
      </x:c>
      <x:c r="B1" s="52" t="str">
        <x:v>Descripción original</x:v>
      </x:c>
      <x:c r="C1" s="52" t="str">
        <x:v>Archivos donde aparece</x:v>
      </x:c>
      <x:c r="D1" s="52" t="str">
        <x:v>Nombres alternativos</x:v>
      </x:c>
      <x:c r="E1" s="52" t="str">
        <x:v>Destino v0 (ID)</x:v>
      </x:c>
      <x:c r="F1" s="52" t="str">
        <x:v>Decisión</x:v>
      </x:c>
      <x:c r="G1" s="52" t="str">
        <x:v>Criterio de diseño</x:v>
      </x:c>
      <x:c r="H1" s="52" t="str">
        <x:v>PAE-only</x:v>
      </x:c>
      <x:c r="I1" s="52" t="str">
        <x:v>Tipo esperado original</x:v>
      </x:c>
    </x:row>
    <x:row r="2">
      <x:c r="A2" s="34" t="str">
        <x:v>Descripción de la Tarea</x:v>
      </x:c>
      <x:c r="B2" s="34" t="str">
        <x:v>Detalle de la actividad realizada en el tramo horario</x:v>
      </x:c>
      <x:c r="C2" s="34" t="str">
        <x:v>TK (Limpieza), Pulling, Saneamiento, TERMAP, PAE, PECOM CC26-CC27</x:v>
      </x:c>
      <x:c r="D2" s="34" t="str">
        <x:v>detalle, Descripción de la tarea, Descripcion de la tarea, Detalle, Descripcion Operaciones, Descripción</x:v>
      </x:c>
      <x:c r="E2" s="34" t="str">
        <x:v>V0-008; V0-025</x:v>
      </x:c>
      <x:c r="F2" s="34" t="str">
        <x:v>DIVIDIR</x:v>
      </x:c>
      <x:c r="G2" s="34" t="str">
        <x:v>La descripción histórica mezcla actividad catalogable y detalle real. Se conserva actividad estructurada + texto condicional.</x:v>
      </x:c>
      <x:c r="H2" s="34" t="str">
        <x:v>No</x:v>
      </x:c>
      <x:c r="I2" s="34" t="str">
        <x:v>Texto libre</x:v>
      </x:c>
    </x:row>
    <x:row r="3">
      <x:c r="A3" s="34" t="str">
        <x:v>Fecha del Parte</x:v>
      </x:c>
      <x:c r="B3" s="34" t="str">
        <x:v>Fecha en que se solicita el trabajo</x:v>
      </x:c>
      <x:c r="C3" s="34" t="str">
        <x:v>TK (Limpieza), Pulling, Saneamiento, TERMAP, PAE, PECOM CC26-CC27</x:v>
      </x:c>
      <x:c r="D3" s="34" t="str">
        <x:v>fecha, Fecha, FECHA, Fecha Inicio, Fecha Fin, Fecha (día/mes/año)</x:v>
      </x:c>
      <x:c r="E3" s="34" t="str">
        <x:v>V0-010; V0-011; V0-012</x:v>
      </x:c>
      <x:c r="F3" s="34" t="str">
        <x:v>DIVIDIR</x:v>
      </x:c>
      <x:c r="G3" s="34" t="str">
        <x:v>No tratar Fecha/Fecha Inicio/Fecha Fin como un único concepto. Fecha operativa + timestamps reales.</x:v>
      </x:c>
      <x:c r="H3" s="34" t="str">
        <x:v>No</x:v>
      </x:c>
      <x:c r="I3" s="34" t="str">
        <x:v>Fecha</x:v>
      </x:c>
    </x:row>
    <x:row r="4">
      <x:c r="A4" s="34" t="str">
        <x:v>Observaciones / Comentarios</x:v>
      </x:c>
      <x:c r="B4" s="34" t="str">
        <x:v>Observaciones adicionales sobre el trabajo</x:v>
      </x:c>
      <x:c r="C4" s="34" t="str">
        <x:v>TK (Limpieza), Pulling, Saneamiento, TERMAP, PAE, PECOM CC26-CC27</x:v>
      </x:c>
      <x:c r="D4" s="34" t="str">
        <x:v>observaciones, Observaciones, Comentarios, OBSERVACIONES, Observaciones Tarea, Comentarios de Ejecucion</x:v>
      </x:c>
      <x:c r="E4" s="34" t="str">
        <x:v>V0-009</x:v>
      </x:c>
      <x:c r="F4" s="34" t="str">
        <x:v>MAPEAR</x:v>
      </x:c>
      <x:c r="G4" s="34" t="str">
        <x:v>Reservar para excepciones; reducir uso como contenedor genérico.</x:v>
      </x:c>
      <x:c r="H4" s="34" t="str">
        <x:v>No</x:v>
      </x:c>
      <x:c r="I4" s="34" t="str">
        <x:v>Texto libre</x:v>
      </x:c>
    </x:row>
    <x:row r="5">
      <x:c r="A5" s="34" t="str">
        <x:v>Hora de Fin</x:v>
      </x:c>
      <x:c r="B5" s="34" t="str">
        <x:v>Hora de fin del tramo de actividad</x:v>
      </x:c>
      <x:c r="C5" s="34" t="str">
        <x:v>TK (Limpieza), Pulling, TERMAP, PAE, PECOM CC26-CC27</x:v>
      </x:c>
      <x:c r="D5" s="34" t="str">
        <x:v>hora_fin, Hora de fin, Hora Fin, Hora fin</x:v>
      </x:c>
      <x:c r="E5" s="34" t="str">
        <x:v>V0-012</x:v>
      </x:c>
      <x:c r="F5" s="34" t="str">
        <x:v>MAPEAR</x:v>
      </x:c>
      <x:c r="G5" s="34" t="str">
        <x:v>Timestamp de fin; idealmente generado por evento.</x:v>
      </x:c>
      <x:c r="H5" s="34" t="str">
        <x:v>No</x:v>
      </x:c>
      <x:c r="I5" s="34" t="str">
        <x:v>Hora</x:v>
      </x:c>
    </x:row>
    <x:row r="6">
      <x:c r="A6" s="34" t="str">
        <x:v>Hora de Inicio</x:v>
      </x:c>
      <x:c r="B6" s="34" t="str">
        <x:v>Hora de inicio del tramo de actividad</x:v>
      </x:c>
      <x:c r="C6" s="34" t="str">
        <x:v>TK (Limpieza), Pulling, TERMAP, PAE, PECOM CC26-CC27</x:v>
      </x:c>
      <x:c r="D6" s="34" t="str">
        <x:v>hora_inicio, Hora inicio, Hora Ini, Hora Inicio</x:v>
      </x:c>
      <x:c r="E6" s="34" t="str">
        <x:v>V0-011</x:v>
      </x:c>
      <x:c r="F6" s="34" t="str">
        <x:v>MAPEAR</x:v>
      </x:c>
      <x:c r="G6" s="34" t="str">
        <x:v>Timestamp de inicio; idealmente generado por evento.</x:v>
      </x:c>
      <x:c r="H6" s="34" t="str">
        <x:v>No</x:v>
      </x:c>
      <x:c r="I6" s="34" t="str">
        <x:v>Hora</x:v>
      </x:c>
    </x:row>
    <x:row r="7">
      <x:c r="A7" s="34" t="str">
        <x:v>ID / N° de Parte</x:v>
      </x:c>
      <x:c r="B7" s="34" t="str">
        <x:v>Identificador unico del parte (clave primaria de la hoja Partes; se repite como FK en Actividades y Personal_Equipo)</x:v>
      </x:c>
      <x:c r="C7" s="34" t="str">
        <x:v>TK (Limpieza), Saneamiento, TERMAP, PAE, PECOM CC26-CC27</x:v>
      </x:c>
      <x:c r="D7" s="34" t="str">
        <x:v>parte_id, Parte N., PARTE, Parte de Trabajo N°, N° Parte, Parte N°, Reporte Diario de Operación N°</x:v>
      </x:c>
      <x:c r="E7" s="34" t="str">
        <x:v>V0-001; V0-002</x:v>
      </x:c>
      <x:c r="F7" s="34" t="str">
        <x:v>DIVIDIR</x:v>
      </x:c>
      <x:c r="G7" s="34" t="str">
        <x:v>Separar PK interna de numeración visible.</x:v>
      </x:c>
      <x:c r="H7" s="34" t="str">
        <x:v>No</x:v>
      </x:c>
      <x:c r="I7" s="34" t="str">
        <x:v>Identificador</x:v>
      </x:c>
    </x:row>
    <x:row r="8">
      <x:c r="A8" s="34" t="str">
        <x:v>Imputación (Centro de Costo)</x:v>
      </x:c>
      <x:c r="B8" s="34" t="str">
        <x:v>Centro de costo o codigo de imputacion</x:v>
      </x:c>
      <x:c r="C8" s="34" t="str">
        <x:v>TK (Limpieza), Pulling, Saneamiento, TERMAP, PECOM CC26-CC27</x:v>
      </x:c>
      <x:c r="D8" s="34" t="str">
        <x:v>imputacion, Imputación, Imputacion (CeCo), IMPUTACION</x:v>
      </x:c>
      <x:c r="E8" s="34" t="str">
        <x:v>V0-038</x:v>
      </x:c>
      <x:c r="F8" s="34" t="str">
        <x:v>MAPEAR</x:v>
      </x:c>
      <x:c r="G8" s="34" t="str">
        <x:v>Referencia administrativa heredada/derivada, no input recurrente.</x:v>
      </x:c>
      <x:c r="H8" s="34" t="str">
        <x:v>No</x:v>
      </x:c>
      <x:c r="I8" s="34" t="str">
        <x:v>Codigo</x:v>
      </x:c>
    </x:row>
    <x:row r="9">
      <x:c r="A9" s="34" t="str">
        <x:v>Interno (código empleado/unidad)</x:v>
      </x:c>
      <x:c r="B9" s="34" t="str">
        <x:v>Codigo interno del empleado o del vehiculo asociado</x:v>
      </x:c>
      <x:c r="C9" s="34" t="str">
        <x:v>TK (Limpieza), Pulling, Saneamiento, TERMAP, PECOM CC26-CC27</x:v>
      </x:c>
      <x:c r="D9" s="34" t="str">
        <x:v>interno, Interno, Interno (Int), Personal Turno Noche - Interno</x:v>
      </x:c>
      <x:c r="E9" s="34" t="str">
        <x:v>V0-028; V0-033</x:v>
      </x:c>
      <x:c r="F9" s="34" t="str">
        <x:v>DIVIDIR</x:v>
      </x:c>
      <x:c r="G9" s="34" t="str">
        <x:v>El campo actual mezcla identificador de persona y recurso físico.</x:v>
      </x:c>
      <x:c r="H9" s="34" t="str">
        <x:v>No</x:v>
      </x:c>
      <x:c r="I9" s="34" t="str">
        <x:v>Codigo / Entero</x:v>
      </x:c>
    </x:row>
    <x:row r="10">
      <x:c r="A10" s="34" t="str">
        <x:v>Nombre del Personal</x:v>
      </x:c>
      <x:c r="B10" s="34" t="str">
        <x:v>Nombre/firma/interno del personal de turno dia (campo compuesto)</x:v>
      </x:c>
      <x:c r="C10" s="34" t="str">
        <x:v>TK (Limpieza), Pulling, TERMAP, PAE, PECOM CC26-CC27</x:v>
      </x:c>
      <x:c r="D10" s="34" t="str">
        <x:v>personal, Personal, Ejecutante 1, Ejecutante 2, Ejecutante 3, Ejecutante 4, Nombre (personal), Personal (nombre), Personal Turno Noche - Nombre, Personal Turno Día - Nombre / Firma / Interno</x:v>
      </x:c>
      <x:c r="E10" s="34" t="str">
        <x:v>V0-027; V0-029</x:v>
      </x:c>
      <x:c r="F10" s="34" t="str">
        <x:v>NORMALIZAR</x:v>
      </x:c>
      <x:c r="G10" s="34" t="str">
        <x:v>Persona maestra + rol/asignación en ejecución.</x:v>
      </x:c>
      <x:c r="H10" s="34" t="str">
        <x:v>No</x:v>
      </x:c>
      <x:c r="I10" s="34" t="str">
        <x:v>Texto</x:v>
      </x:c>
    </x:row>
    <x:row r="11">
      <x:c r="A11" s="34" t="str">
        <x:v>Contrato Marco N°</x:v>
      </x:c>
      <x:c r="B11" s="34" t="str">
        <x:v>Numero de contrato marco e importe asociado (campo compuesto)</x:v>
      </x:c>
      <x:c r="C11" s="34" t="str">
        <x:v>TK (Limpieza), Pulling, TERMAP, PECOM CC26-CC27</x:v>
      </x:c>
      <x:c r="D11" s="34" t="str">
        <x:v>contrato_marco, Contrato Marco N°, CONTRATO MARCO, Contrato Marco N° / Importe ($)</x:v>
      </x:c>
      <x:c r="E11" s="34" t="str">
        <x:v>V0-036</x:v>
      </x:c>
      <x:c r="F11" s="34" t="str">
        <x:v>NORMALIZAR</x:v>
      </x:c>
      <x:c r="G11" s="34" t="str">
        <x:v>Número de contrato como relación; el importe no debe formar parte del mismo campo.</x:v>
      </x:c>
      <x:c r="H11" s="34" t="str">
        <x:v>No</x:v>
      </x:c>
      <x:c r="I11" s="34" t="str">
        <x:v>Codigo / Texto / Moneda</x:v>
      </x:c>
    </x:row>
    <x:row r="12">
      <x:c r="A12" s="34" t="str">
        <x:v>Ejecutó (firma o nombre)</x:v>
      </x:c>
      <x:c r="B12" s="34" t="str">
        <x:v>Firma de quien ejecuto y/o del solicitante (campo compuesto)</x:v>
      </x:c>
      <x:c r="C12" s="34" t="str">
        <x:v>TK (Limpieza), Pulling, TERMAP, PECOM CC26-CC27</x:v>
      </x:c>
      <x:c r="D12" s="34" t="str">
        <x:v>ejecuto, Ejecutó, EJECUTO, Ejecutó / Firma del solicitante</x:v>
      </x:c>
      <x:c r="E12" s="34" t="str">
        <x:v>V0-027; V0-029; V0-041; V0-043; V0-044; V0-047</x:v>
      </x:c>
      <x:c r="F12" s="34" t="str">
        <x:v>DIVIDIR</x:v>
      </x:c>
      <x:c r="G12" s="34" t="str">
        <x:v>Separar quién ejecutó, su rol y la evidencia/firma.</x:v>
      </x:c>
      <x:c r="H12" s="34" t="str">
        <x:v>No</x:v>
      </x:c>
      <x:c r="I12" s="34" t="str">
        <x:v>Texto / Firma/Imagen</x:v>
      </x:c>
    </x:row>
    <x:row r="13">
      <x:c r="A13" s="34" t="str">
        <x:v>Equipo / Equipamiento</x:v>
      </x:c>
      <x:c r="B13" s="34" t="str">
        <x:v>Equipo o vehiculo utilizado por el trabajador</x:v>
      </x:c>
      <x:c r="C13" s="34" t="str">
        <x:v>TK (Limpieza), Pulling, TERMAP, PECOM CC26-CC27</x:v>
      </x:c>
      <x:c r="D13" s="34" t="str">
        <x:v>equipamiento, Equipos, Detalle del Equipamiento, Equipo</x:v>
      </x:c>
      <x:c r="E13" s="34" t="str">
        <x:v>V0-031; V0-032; V0-034; V0-023</x:v>
      </x:c>
      <x:c r="F13" s="34" t="str">
        <x:v>DIVIDIR</x:v>
      </x:c>
      <x:c r="G13" s="34" t="str">
        <x:v>Distinguir recurso VDS usado de activo del cliente intervenido.</x:v>
      </x:c>
      <x:c r="H13" s="34" t="str">
        <x:v>No</x:v>
      </x:c>
      <x:c r="I13" s="34" t="str">
        <x:v>Texto / Codigo</x:v>
      </x:c>
    </x:row>
    <x:row r="14">
      <x:c r="A14" s="34" t="str">
        <x:v>Instalación / Locación</x:v>
      </x:c>
      <x:c r="B14" s="34" t="str">
        <x:v>Planta, pozo o instalacion donde se ejecuta el trabajo</x:v>
      </x:c>
      <x:c r="C14" s="34" t="str">
        <x:v>TK (Limpieza), Pulling, TERMAP, PECOM CC26-CC27</x:v>
      </x:c>
      <x:c r="D14" s="34" t="str">
        <x:v>instalacion, Instalación, INSTALACION, Equipo / Locación, Locación</x:v>
      </x:c>
      <x:c r="E14" s="34" t="str">
        <x:v>V0-018; V0-019</x:v>
      </x:c>
      <x:c r="F14" s="34" t="str">
        <x:v>NORMALIZAR</x:v>
      </x:c>
      <x:c r="G14" s="34" t="str">
        <x:v>Ubicación técnica tipada + rol de ubicación.</x:v>
      </x:c>
      <x:c r="H14" s="34" t="str">
        <x:v>No</x:v>
      </x:c>
      <x:c r="I14" s="34" t="str">
        <x:v>Texto / Codigo</x:v>
      </x:c>
    </x:row>
    <x:row r="15">
      <x:c r="A15" s="34" t="str">
        <x:v>Obra / Servicio</x:v>
      </x:c>
      <x:c r="B15" s="34" t="str">
        <x:v>Nombre de la obra/servicio (ej. 'Servicio de Pulling')</x:v>
      </x:c>
      <x:c r="C15" s="34" t="str">
        <x:v>TK (Limpieza), Pulling, TERMAP, PECOM CC26-CC27</x:v>
      </x:c>
      <x:c r="D15" s="34" t="str">
        <x:v>obra, Obra, OBRA</x:v>
      </x:c>
      <x:c r="E15" s="34" t="str">
        <x:v>V0-024; V0-026</x:v>
      </x:c>
      <x:c r="F15" s="34" t="str">
        <x:v>DIVIDIR</x:v>
      </x:c>
      <x:c r="G15" s="34" t="str">
        <x:v>Validar si Obra/Proyecto y Servicio son conceptos diferentes.</x:v>
      </x:c>
      <x:c r="H15" s="34" t="str">
        <x:v>No</x:v>
      </x:c>
      <x:c r="I15" s="34" t="str">
        <x:v>Texto</x:v>
      </x:c>
    </x:row>
    <x:row r="16">
      <x:c r="A16" s="34" t="str">
        <x:v>Solicitó (persona/empresa)</x:v>
      </x:c>
      <x:c r="B16" s="34" t="str">
        <x:v>Empresa o persona que solicita el trabajo</x:v>
      </x:c>
      <x:c r="C16" s="34" t="str">
        <x:v>TK (Limpieza), Pulling, TERMAP, PECOM CC26-CC27</x:v>
      </x:c>
      <x:c r="D16" s="34" t="str">
        <x:v>solicito, Solicitó, SOLICITO</x:v>
      </x:c>
      <x:c r="E16" s="34" t="str">
        <x:v>V0-027; V0-029; V0-035</x:v>
      </x:c>
      <x:c r="F16" s="34" t="str">
        <x:v>DIVIDIR</x:v>
      </x:c>
      <x:c r="G16" s="34" t="str">
        <x:v>Solicitante puede ser persona o entidad; modelar rol y contexto.</x:v>
      </x:c>
      <x:c r="H16" s="34" t="str">
        <x:v>No</x:v>
      </x:c>
      <x:c r="I16" s="34" t="str">
        <x:v>Texto</x:v>
      </x:c>
    </x:row>
    <x:row r="17">
      <x:c r="A17" s="34" t="str">
        <x:v>Trabajo Solicitado</x:v>
      </x:c>
      <x:c r="B17" s="34" t="str">
        <x:v>Descripcion breve del tipo de trabajo solicitado</x:v>
      </x:c>
      <x:c r="C17" s="34" t="str">
        <x:v>TK (Limpieza), Pulling, TERMAP, PECOM CC26-CC27</x:v>
      </x:c>
      <x:c r="D17" s="34" t="str">
        <x:v>trabajo_solicitado, Trabajo solicitado, TRABAJO SOLICITADO</x:v>
      </x:c>
      <x:c r="E17" s="34" t="str">
        <x:v>V0-024; V0-025; V0-008</x:v>
      </x:c>
      <x:c r="F17" s="34" t="str">
        <x:v>REUBICAR</x:v>
      </x:c>
      <x:c r="G17" s="34" t="str">
        <x:v>Principalmente upstream; en Parte conservar servicio/actividad y detalle real.</x:v>
      </x:c>
      <x:c r="H17" s="34" t="str">
        <x:v>No</x:v>
      </x:c>
      <x:c r="I17" s="34" t="str">
        <x:v>Texto / Texto libre</x:v>
      </x:c>
    </x:row>
    <x:row r="18">
      <x:c r="A18" s="34" t="str">
        <x:v>Firma (imagen) del Aprobador</x:v>
      </x:c>
      <x:c r="B18" s="34" t="str">
        <x:v>Firmas de cierre: chofer, supervisor y cliente (campo compuesto)</x:v>
      </x:c>
      <x:c r="C18" s="34" t="str">
        <x:v>Saneamiento, PAE, PECOM CC26-CC27</x:v>
      </x:c>
      <x:c r="D18" s="34" t="str">
        <x:v>Validacion contratista - Firma, Oficial Contratista - Firma, Supervisor Contratista - Firma, Recepciono por PAE - Firma, Carga en SAP PM - Firma, Personal Turno Noche - Firma, Chofer / Supervisor / Cliente Clear - Firma, Aclaración, Cargo</x:v>
      </x:c>
      <x:c r="E18" s="34" t="str">
        <x:v>V0-041; V0-042; V0-043; V0-044; V0-045; V0-047</x:v>
      </x:c>
      <x:c r="F18" s="34" t="str">
        <x:v>DIVIDIR</x:v>
      </x:c>
      <x:c r="G18" s="34" t="str">
        <x:v>Firma pasa a entidad Evidencia con actor/rol/timestamp/contenido.</x:v>
      </x:c>
      <x:c r="H18" s="34" t="str">
        <x:v>No</x:v>
      </x:c>
      <x:c r="I18" s="34" t="str">
        <x:v>Firma/Imagen</x:v>
      </x:c>
    </x:row>
    <x:row r="19">
      <x:c r="A19" s="34" t="str">
        <x:v>Firma del Solicitante</x:v>
      </x:c>
      <x:c r="B19" s="34" t="str">
        <x:v>Nombre de quien firma, con sello de fecha/hora si es digital</x:v>
      </x:c>
      <x:c r="C19" s="34" t="str">
        <x:v>Pulling, TERMAP, PECOM CC26-CC27</x:v>
      </x:c>
      <x:c r="D19" s="34" t="str">
        <x:v>Firma del solicitante, FIRMA SOLICITANTE</x:v>
      </x:c>
      <x:c r="E19" s="34" t="str">
        <x:v>V0-041; V0-042; V0-043; V0-044; V0-045; V0-047</x:v>
      </x:c>
      <x:c r="F19" s="34" t="str">
        <x:v>DIVIDIR</x:v>
      </x:c>
      <x:c r="G19" s="34" t="str">
        <x:v>Mismo patrón de Evidencia.</x:v>
      </x:c>
      <x:c r="H19" s="34" t="str">
        <x:v>No</x:v>
      </x:c>
      <x:c r="I19" s="34" t="str">
        <x:v>Firma/Imagen</x:v>
      </x:c>
    </x:row>
    <x:row r="20">
      <x:c r="A20" s="34" t="str">
        <x:v>Cantidad de Horas</x:v>
      </x:c>
      <x:c r="B20" s="34" t="str">
        <x:v>Cantidad de horas trabajadas</x:v>
      </x:c>
      <x:c r="C20" s="34" t="str">
        <x:v>Saneamiento, PAE</x:v>
      </x:c>
      <x:c r="D20" s="34" t="str">
        <x:v>Tiempos varios, Tiempo viaje, Tiempo reparacion, Cant. Hs.</x:v>
      </x:c>
      <x:c r="E20" s="34" t="str">
        <x:v>V0-013; V0-014; V0-015; V0-016; V0-017</x:v>
      </x:c>
      <x:c r="F20" s="34" t="str">
        <x:v>RECALCULAR</x:v>
      </x:c>
      <x:c r="G20" s="34" t="str">
        <x:v>Duración total calculada; tiempos específicos como eventos.</x:v>
      </x:c>
      <x:c r="H20" s="34" t="str">
        <x:v>No</x:v>
      </x:c>
      <x:c r="I20" s="34" t="str">
        <x:v>Decimal</x:v>
      </x:c>
    </x:row>
    <x:row r="21">
      <x:c r="A21" s="34" t="str">
        <x:v>Empresa Contratista</x:v>
      </x:c>
      <x:c r="B21" s="34" t="str">
        <x:v>Logo/nombre de la empresa que ejecuta (ej. 'Vientos del Sur')</x:v>
      </x:c>
      <x:c r="C21" s="34" t="str">
        <x:v>Pulling, PAE</x:v>
      </x:c>
      <x:c r="D21" s="34" t="str">
        <x:v>Empresa ejecutora, Contratista, N° Contratista</x:v>
      </x:c>
      <x:c r="E21" s="34" t="str">
        <x:v>V0-040</x:v>
      </x:c>
      <x:c r="F21" s="34" t="str">
        <x:v>DERIVAR</x:v>
      </x:c>
      <x:c r="G21" s="34" t="str">
        <x:v>En sistema VDS no debe completarse VDS en cada Parte.</x:v>
      </x:c>
      <x:c r="H21" s="34" t="str">
        <x:v>No</x:v>
      </x:c>
      <x:c r="I21" s="34" t="str">
        <x:v>Texto / Codigo</x:v>
      </x:c>
    </x:row>
    <x:row r="22">
      <x:c r="A22" s="34" t="str">
        <x:v>Fecha de Firma/Aprobación</x:v>
      </x:c>
      <x:c r="B22" s="34" t="str">
        <x:v>Fecha de firma del supervisor contratista</x:v>
      </x:c>
      <x:c r="C22" s="34" t="str">
        <x:v>Saneamiento, PAE</x:v>
      </x:c>
      <x:c r="D22" s="34" t="str">
        <x:v>Validacion contratista - Fecha, Oficial Contratista - Fecha, Supervisor Contratista - Fecha, Recepciono por PAE - Fecha Recepcion, Carga en SAP PM - Fecha Carga Sistema</x:v>
      </x:c>
      <x:c r="E22" s="34" t="str">
        <x:v>V0-045</x:v>
      </x:c>
      <x:c r="F22" s="34" t="str">
        <x:v>DERIVAR</x:v>
      </x:c>
      <x:c r="G22" s="34" t="str">
        <x:v>Timestamp automático de la evidencia.</x:v>
      </x:c>
      <x:c r="H22" s="34" t="str">
        <x:v>No</x:v>
      </x:c>
      <x:c r="I22" s="34" t="str">
        <x:v>Fecha</x:v>
      </x:c>
    </x:row>
    <x:row r="23">
      <x:c r="A23" s="34" t="str">
        <x:v>Legajo</x:v>
      </x:c>
      <x:c r="B23" s="34" t="str">
        <x:v>Firma/legajo/aclaracion del chofer que ejecuta (campo compuesto)</x:v>
      </x:c>
      <x:c r="C23" s="34" t="str">
        <x:v>Pulling, PECOM CC26-CC27</x:v>
      </x:c>
      <x:c r="D23" s="34" t="str">
        <x:v>Legajo, Firma de la contratista / N° de Legajo / Firma y Aclaración del Chofer</x:v>
      </x:c>
      <x:c r="E23" s="34" t="str">
        <x:v>V0-028</x:v>
      </x:c>
      <x:c r="F23" s="34" t="str">
        <x:v>REUBICAR</x:v>
      </x:c>
      <x:c r="G23" s="34" t="str">
        <x:v>Atributo maestro de Persona, no campo repetido del Parte.</x:v>
      </x:c>
      <x:c r="H23" s="34" t="str">
        <x:v>No</x:v>
      </x:c>
      <x:c r="I23" s="34" t="str">
        <x:v>Codigo / Entero</x:v>
      </x:c>
    </x:row>
    <x:row r="24">
      <x:c r="A24" s="34" t="str">
        <x:v>Nombre del Firmante/Aprobador</x:v>
      </x:c>
      <x:c r="B24" s="34" t="str">
        <x:v>Nombre del supervisor contratista que firma</x:v>
      </x:c>
      <x:c r="C24" s="34" t="str">
        <x:v>Saneamiento, PAE</x:v>
      </x:c>
      <x:c r="D24" s="34" t="str">
        <x:v>Autorizantes, Validacion contratista - Aclaracion, Oficial Contratista - Nombre, Supervisor Contratista - Nombre, Recepciono por PAE - Nombre, Carga en SAP PM - Nombre</x:v>
      </x:c>
      <x:c r="E24" s="34" t="str">
        <x:v>V0-027; V0-043; V0-044</x:v>
      </x:c>
      <x:c r="F24" s="34" t="str">
        <x:v>NORMALIZAR</x:v>
      </x:c>
      <x:c r="G24" s="34" t="str">
        <x:v>Actor de evidencia + rol.</x:v>
      </x:c>
      <x:c r="H24" s="34" t="str">
        <x:v>No</x:v>
      </x:c>
      <x:c r="I24" s="34" t="str">
        <x:v>Texto</x:v>
      </x:c>
    </x:row>
    <x:row r="25">
      <x:c r="A25" s="34" t="str">
        <x:v>N° de Formulario (correlativo impreso)</x:v>
      </x:c>
      <x:c r="B25" s="34" t="str">
        <x:v>Codigo alfanumerico impreso del reporte</x:v>
      </x:c>
      <x:c r="C25" s="34" t="str">
        <x:v>Pulling, PECOM CC26-CC27</x:v>
      </x:c>
      <x:c r="D25" s="34" t="str">
        <x:v>N° de formulario, N° (ej. 01-0002938), Código (ej. W4WAJ25110200152)</x:v>
      </x:c>
      <x:c r="E25" s="34" t="str">
        <x:v>V0-003</x:v>
      </x:c>
      <x:c r="F25" s="34" t="str">
        <x:v>CONDICIONAL</x:v>
      </x:c>
      <x:c r="G25" s="34" t="str">
        <x:v>Conservar solo como referencia externa si un cliente lo requiere.</x:v>
      </x:c>
      <x:c r="H25" s="34" t="str">
        <x:v>No</x:v>
      </x:c>
      <x:c r="I25" s="34" t="str">
        <x:v>Codigo</x:v>
      </x:c>
    </x:row>
    <x:row r="26">
      <x:c r="A26" s="34" t="str">
        <x:v>Pozo</x:v>
      </x:c>
      <x:c r="B26" s="34" t="str">
        <x:v>Identificador del pozo</x:v>
      </x:c>
      <x:c r="C26" s="34" t="str">
        <x:v>Saneamiento, PECOM CC26-CC27</x:v>
      </x:c>
      <x:c r="D26" s="34" t="str">
        <x:v>Pozo</x:v>
      </x:c>
      <x:c r="E26" s="34" t="str">
        <x:v>V0-018</x:v>
      </x:c>
      <x:c r="F26" s="34" t="str">
        <x:v>ABSORBER</x:v>
      </x:c>
      <x:c r="G26" s="34" t="str">
        <x:v>Pozo es tipo de Ubicación Técnica, no columna independiente.</x:v>
      </x:c>
      <x:c r="H26" s="34" t="str">
        <x:v>No</x:v>
      </x:c>
      <x:c r="I26" s="34" t="str">
        <x:v>Codigo</x:v>
      </x:c>
    </x:row>
    <x:row r="27">
      <x:c r="A27" s="34" t="str">
        <x:v>Vehículo / Móvil (N° o patente)</x:v>
      </x:c>
      <x:c r="B27" s="34" t="str">
        <x:v>Numero identificador del acoplado/semirremolque</x:v>
      </x:c>
      <x:c r="C27" s="34" t="str">
        <x:v>PAE, PECOM CC26-CC27</x:v>
      </x:c>
      <x:c r="D27" s="34" t="str">
        <x:v>Movil 1, Movil 2, Camión N°, Acoplado / Semi N°</x:v>
      </x:c>
      <x:c r="E27" s="34" t="str">
        <x:v>V0-031; V0-032; V0-033; V0-034</x:v>
      </x:c>
      <x:c r="F27" s="34" t="str">
        <x:v>NORMALIZAR</x:v>
      </x:c>
      <x:c r="G27" s="34" t="str">
        <x:v>Recurso maestro + identificador + asignación real.</x:v>
      </x:c>
      <x:c r="H27" s="34" t="str">
        <x:v>No</x:v>
      </x:c>
      <x:c r="I27" s="34" t="str">
        <x:v>Codigo</x:v>
      </x:c>
    </x:row>
    <x:row r="28">
      <x:c r="A28" s="34" t="str">
        <x:v>Activo (código)</x:v>
      </x:c>
      <x:c r="B28" s="34" t="str">
        <x:v>Codigo de activo</x:v>
      </x:c>
      <x:c r="C28" s="34" t="str">
        <x:v>Saneamiento</x:v>
      </x:c>
      <x:c r="D28" s="34" t="str">
        <x:v>Activo</x:v>
      </x:c>
      <x:c r="E28" s="34" t="str">
        <x:v>V0-023</x:v>
      </x:c>
      <x:c r="F28" s="34" t="str">
        <x:v>MAPEAR</x:v>
      </x:c>
      <x:c r="G28" s="34" t="str">
        <x:v>Activo intervenido, sujeto a validar frontera con ubicación.</x:v>
      </x:c>
      <x:c r="H28" s="34" t="str">
        <x:v>No</x:v>
      </x:c>
      <x:c r="I28" s="34" t="str">
        <x:v>Codigo</x:v>
      </x:c>
    </x:row>
    <x:row r="29">
      <x:c r="A29" s="34" t="str">
        <x:v>Batea</x:v>
      </x:c>
      <x:c r="B29" s="34" t="str">
        <x:v>Identificador de la batea</x:v>
      </x:c>
      <x:c r="C29" s="34" t="str">
        <x:v>PECOM CC26-CC27</x:v>
      </x:c>
      <x:c r="D29" s="34" t="str">
        <x:v>Batea</x:v>
      </x:c>
      <x:c r="E29" s="34" t="str">
        <x:v>V0-031; V0-032; V0-034</x:v>
      </x:c>
      <x:c r="F29" s="34" t="str">
        <x:v>ABSORBER</x:v>
      </x:c>
      <x:c r="G29" s="34" t="str">
        <x:v>Batea como tipo de recurso, salvo que negocio confirme otra semántica.</x:v>
      </x:c>
      <x:c r="H29" s="34" t="str">
        <x:v>No</x:v>
      </x:c>
      <x:c r="I29" s="34" t="str">
        <x:v>Codigo</x:v>
      </x:c>
    </x:row>
    <x:row r="30">
      <x:c r="A30" s="34" t="str">
        <x:v>Batería</x:v>
      </x:c>
      <x:c r="B30" s="34" t="str">
        <x:v>Numero de bateria</x:v>
      </x:c>
      <x:c r="C30" s="34" t="str">
        <x:v>Saneamiento</x:v>
      </x:c>
      <x:c r="D30" s="34" t="str">
        <x:v>Bateria</x:v>
      </x:c>
      <x:c r="E30" s="34" t="str">
        <x:v>V0-018</x:v>
      </x:c>
      <x:c r="F30" s="34" t="str">
        <x:v>ABSORBER</x:v>
      </x:c>
      <x:c r="G30" s="34" t="str">
        <x:v>Batería es tipo de Ubicación Técnica.</x:v>
      </x:c>
      <x:c r="H30" s="34" t="str">
        <x:v>No</x:v>
      </x:c>
      <x:c r="I30" s="34" t="str">
        <x:v>Entero</x:v>
      </x:c>
    </x:row>
    <x:row r="31">
      <x:c r="A31" s="34" t="str">
        <x:v>Cantera</x:v>
      </x:c>
      <x:c r="B31" s="34" t="str">
        <x:v>Cantera asociada</x:v>
      </x:c>
      <x:c r="C31" s="34" t="str">
        <x:v>PECOM CC26-CC27</x:v>
      </x:c>
      <x:c r="D31" s="34" t="str">
        <x:v>Cantera</x:v>
      </x:c>
      <x:c r="E31" s="34" t="str">
        <x:v>V0-018; V0-019</x:v>
      </x:c>
      <x:c r="F31" s="34" t="str">
        <x:v>ABSORBER</x:v>
      </x:c>
      <x:c r="G31" s="34" t="str">
        <x:v>Ubicación Técnica con rol origen/carga si aplica.</x:v>
      </x:c>
      <x:c r="H31" s="34" t="str">
        <x:v>No</x:v>
      </x:c>
      <x:c r="I31" s="34" t="str">
        <x:v>Texto</x:v>
      </x:c>
    </x:row>
    <x:row r="32">
      <x:c r="A32" s="34" t="str">
        <x:v>Cantidad de Material</x:v>
      </x:c>
      <x:c r="B32" s="34" t="str">
        <x:v>Cantidad de material/insumo</x:v>
      </x:c>
      <x:c r="C32" s="34" t="str">
        <x:v>PAE</x:v>
      </x:c>
      <x:c r="D32" s="34" t="str">
        <x:v>Cant.</x:v>
      </x:c>
      <x:c r="E32" s="34" t="str">
        <x:v>V0-048; V0-049; V0-050</x:v>
      </x:c>
      <x:c r="F32" s="34" t="str">
        <x:v>BENCHMARK PAE</x:v>
      </x:c>
      <x:c r="G32" s="34" t="str">
        <x:v>PAE-only; solo confirma patrón de mediciones específicas.</x:v>
      </x:c>
      <x:c r="H32" s="34" t="str">
        <x:v>Sí</x:v>
      </x:c>
      <x:c r="I32" s="34" t="str">
        <x:v>Decimal</x:v>
      </x:c>
    </x:row>
    <x:row r="33">
      <x:c r="A33" s="34" t="str">
        <x:v>Cargadero (m³)</x:v>
      </x:c>
      <x:c r="B33" s="34" t="str">
        <x:v>Volumen cargado en metros cubicos</x:v>
      </x:c>
      <x:c r="C33" s="34" t="str">
        <x:v>PECOM CC26-CC27</x:v>
      </x:c>
      <x:c r="D33" s="34" t="str">
        <x:v>Cargadero m³</x:v>
      </x:c>
      <x:c r="E33" s="34" t="str">
        <x:v>V0-048; V0-049; V0-050</x:v>
      </x:c>
      <x:c r="F33" s="34" t="str">
        <x:v>EXTENSIÓN</x:v>
      </x:c>
      <x:c r="G33" s="34" t="str">
        <x:v>Métrica específica de servicio: volumen cargado.</x:v>
      </x:c>
      <x:c r="H33" s="34" t="str">
        <x:v>No</x:v>
      </x:c>
      <x:c r="I33" s="34" t="str">
        <x:v>Decimal</x:v>
      </x:c>
    </x:row>
    <x:row r="34">
      <x:c r="A34" s="34" t="str">
        <x:v>Cliente</x:v>
      </x:c>
      <x:c r="B34" s="34" t="str">
        <x:v>Cliente para el que se realiza el transporte</x:v>
      </x:c>
      <x:c r="C34" s="34" t="str">
        <x:v>PECOM CC26-CC27</x:v>
      </x:c>
      <x:c r="D34" s="34" t="str">
        <x:v>Cliente</x:v>
      </x:c>
      <x:c r="E34" s="34" t="str">
        <x:v>V0-035</x:v>
      </x:c>
      <x:c r="F34" s="34" t="str">
        <x:v>MAPEAR</x:v>
      </x:c>
      <x:c r="G34" s="34" t="str">
        <x:v>Entidad maestra / contexto comercial.</x:v>
      </x:c>
      <x:c r="H34" s="34" t="str">
        <x:v>No</x:v>
      </x:c>
      <x:c r="I34" s="34" t="str">
        <x:v>Texto</x:v>
      </x:c>
    </x:row>
    <x:row r="35">
      <x:c r="A35" s="34" t="str">
        <x:v>Contenedores</x:v>
      </x:c>
      <x:c r="B35" s="34" t="str">
        <x:v>Cantidad de contenedores</x:v>
      </x:c>
      <x:c r="C35" s="34" t="str">
        <x:v>PECOM CC26-CC27</x:v>
      </x:c>
      <x:c r="D35" s="34" t="str">
        <x:v>Contenedores</x:v>
      </x:c>
      <x:c r="E35" s="34" t="str">
        <x:v>V0-048; V0-049</x:v>
      </x:c>
      <x:c r="F35" s="34" t="str">
        <x:v>EXTENSIÓN</x:v>
      </x:c>
      <x:c r="G35" s="34" t="str">
        <x:v>Métrica específica de servicio.</x:v>
      </x:c>
      <x:c r="H35" s="34" t="str">
        <x:v>No</x:v>
      </x:c>
      <x:c r="I35" s="34" t="str">
        <x:v>Entero</x:v>
      </x:c>
    </x:row>
    <x:row r="36">
      <x:c r="A36" s="34" t="str">
        <x:v>Contenedores Adicionales</x:v>
      </x:c>
      <x:c r="B36" s="34" t="str">
        <x:v>Cantidad de contenedores adicionales</x:v>
      </x:c>
      <x:c r="C36" s="34" t="str">
        <x:v>PECOM CC26-CC27</x:v>
      </x:c>
      <x:c r="D36" s="34" t="str">
        <x:v>Contenedores adicionales</x:v>
      </x:c>
      <x:c r="E36" s="34" t="str">
        <x:v>V0-048; V0-049; V0-051</x:v>
      </x:c>
      <x:c r="F36" s="34" t="str">
        <x:v>EXTENSIÓN</x:v>
      </x:c>
      <x:c r="G36" s="34" t="str">
        <x:v>Misma métrica con calificador adicional.</x:v>
      </x:c>
      <x:c r="H36" s="34" t="str">
        <x:v>No</x:v>
      </x:c>
      <x:c r="I36" s="34" t="str">
        <x:v>Entero</x:v>
      </x:c>
    </x:row>
    <x:row r="37">
      <x:c r="A37" s="34" t="str">
        <x:v>Código / Descripción de Material</x:v>
      </x:c>
      <x:c r="B37" s="34" t="str">
        <x:v>Descripcion del codigo de material/insumo</x:v>
      </x:c>
      <x:c r="C37" s="34" t="str">
        <x:v>PAE</x:v>
      </x:c>
      <x:c r="D37" s="34" t="str">
        <x:v>N° Codigo, Desc. Cod.</x:v>
      </x:c>
      <x:c r="E37" s="34" t="str">
        <x:v>V0-048</x:v>
      </x:c>
      <x:c r="F37" s="34" t="str">
        <x:v>BENCHMARK PAE</x:v>
      </x:c>
      <x:c r="G37" s="34" t="str">
        <x:v>PAE-only; si VDS lo necesitara, requerirá catálogo de material específico.</x:v>
      </x:c>
      <x:c r="H37" s="34" t="str">
        <x:v>Sí</x:v>
      </x:c>
      <x:c r="I37" s="34" t="str">
        <x:v>Codigo / Texto</x:v>
      </x:c>
    </x:row>
    <x:row r="38">
      <x:c r="A38" s="34" t="str">
        <x:v>Descarga (Batería/Equipo)</x:v>
      </x:c>
      <x:c r="B38" s="34" t="str">
        <x:v>Bateria o equipo donde se realiza la descarga</x:v>
      </x:c>
      <x:c r="C38" s="34" t="str">
        <x:v>PECOM CC26-CC27</x:v>
      </x:c>
      <x:c r="D38" s="34" t="str">
        <x:v>Descarga Bat/Eq</x:v>
      </x:c>
      <x:c r="E38" s="34" t="str">
        <x:v>V0-018; V0-019; V0-023</x:v>
      </x:c>
      <x:c r="F38" s="34" t="str">
        <x:v>DIVIDIR</x:v>
      </x:c>
      <x:c r="G38" s="34" t="str">
        <x:v>Puede ser ubicación de descarga o activo destino; validar por servicio.</x:v>
      </x:c>
      <x:c r="H38" s="34" t="str">
        <x:v>No</x:v>
      </x:c>
      <x:c r="I38" s="34" t="str">
        <x:v>Codigo</x:v>
      </x:c>
    </x:row>
    <x:row r="39">
      <x:c r="A39" s="34" t="str">
        <x:v>Día de Ejecución</x:v>
      </x:c>
      <x:c r="B39" s="34" t="str">
        <x:v>Dia de ejecucion del trabajo</x:v>
      </x:c>
      <x:c r="C39" s="34" t="str">
        <x:v>PAE</x:v>
      </x:c>
      <x:c r="D39" s="34" t="str">
        <x:v>Dia de Ejecucion</x:v>
      </x:c>
      <x:c r="E39" s="34" t="str">
        <x:v>V0-010</x:v>
      </x:c>
      <x:c r="F39" s="34" t="str">
        <x:v>BENCHMARK PAE</x:v>
      </x:c>
      <x:c r="G39" s="34" t="str">
        <x:v>PAE-only; confirma necesidad de fecha real de ejecución.</x:v>
      </x:c>
      <x:c r="H39" s="34" t="str">
        <x:v>Sí</x:v>
      </x:c>
      <x:c r="I39" s="34" t="str">
        <x:v>Categorico</x:v>
      </x:c>
    </x:row>
    <x:row r="40">
      <x:c r="A40" s="34" t="str">
        <x:v>Encargado de Cuadrilla</x:v>
      </x:c>
      <x:c r="B40" s="34" t="str">
        <x:v>Responsable de la cuadrilla</x:v>
      </x:c>
      <x:c r="C40" s="34" t="str">
        <x:v>Saneamiento</x:v>
      </x:c>
      <x:c r="D40" s="34" t="str">
        <x:v>Encargado de cuadrilla</x:v>
      </x:c>
      <x:c r="E40" s="34" t="str">
        <x:v>V0-027; V0-029; V0-030</x:v>
      </x:c>
      <x:c r="F40" s="34" t="str">
        <x:v>NORMALIZAR</x:v>
      </x:c>
      <x:c r="G40" s="34" t="str">
        <x:v>Persona asignada con rol Encargado; posible relación con Cuadrilla.</x:v>
      </x:c>
      <x:c r="H40" s="34" t="str">
        <x:v>No</x:v>
      </x:c>
      <x:c r="I40" s="34" t="str">
        <x:v>Texto</x:v>
      </x:c>
    </x:row>
    <x:row r="41">
      <x:c r="A41" s="34" t="str">
        <x:v>Estado del Documento</x:v>
      </x:c>
      <x:c r="B41" s="34" t="str">
        <x:v>Estado del documento (ej. ORIGINAL)</x:v>
      </x:c>
      <x:c r="C41" s="34" t="str">
        <x:v>Saneamiento</x:v>
      </x:c>
      <x:c r="D41" s="34" t="str">
        <x:v>Estado</x:v>
      </x:c>
      <x:c r="E41" s="34" t="str"/>
      <x:c r="F41" s="34" t="str">
        <x:v>DESCARTAR CORE</x:v>
      </x:c>
      <x:c r="G41" s="34" t="str">
        <x:v>ORIGINAL/COPIA es metadata del papel, no estado operativo.</x:v>
      </x:c>
      <x:c r="H41" s="34" t="str">
        <x:v>No</x:v>
      </x:c>
      <x:c r="I41" s="34" t="str">
        <x:v>Categorico</x:v>
      </x:c>
    </x:row>
    <x:row r="42">
      <x:c r="A42" s="34" t="str">
        <x:v>Finalización de OT</x:v>
      </x:c>
      <x:c r="B42" s="34" t="str">
        <x:v>Indica si la orden de trabajo fue finalizada</x:v>
      </x:c>
      <x:c r="C42" s="34" t="str">
        <x:v>PAE</x:v>
      </x:c>
      <x:c r="D42" s="34" t="str">
        <x:v>Fin. OT</x:v>
      </x:c>
      <x:c r="E42" s="34" t="str"/>
      <x:c r="F42" s="34" t="str">
        <x:v>BENCHMARK PAE</x:v>
      </x:c>
      <x:c r="G42" s="34" t="str">
        <x:v>PAE-only y propio de su workflow de OT; no condicionar núcleo VDS.</x:v>
      </x:c>
      <x:c r="H42" s="34" t="str">
        <x:v>Sí</x:v>
      </x:c>
      <x:c r="I42" s="34" t="str">
        <x:v>Booleano</x:v>
      </x:c>
    </x:row>
    <x:row r="43">
      <x:c r="A43" s="34" t="str">
        <x:v>Firma Digital (metadato)</x:v>
      </x:c>
      <x:c r="B43" s="34" t="str">
        <x:v>Firmante digital, fecha y timestamp</x:v>
      </x:c>
      <x:c r="C43" s="34" t="str">
        <x:v>Saneamiento</x:v>
      </x:c>
      <x:c r="D43" s="34" t="str">
        <x:v>Firma digital (metadato)</x:v>
      </x:c>
      <x:c r="E43" s="34" t="str">
        <x:v>V0-045; V0-046; V0-047</x:v>
      </x:c>
      <x:c r="F43" s="34" t="str">
        <x:v>NORMALIZAR</x:v>
      </x:c>
      <x:c r="G43" s="34" t="str">
        <x:v>Timestamp, modo y contenido/referencia de evidencia.</x:v>
      </x:c>
      <x:c r="H43" s="34" t="str">
        <x:v>No</x:v>
      </x:c>
      <x:c r="I43" s="34" t="str">
        <x:v>Texto</x:v>
      </x:c>
    </x:row>
    <x:row r="44">
      <x:c r="A44" s="34" t="str">
        <x:v>ID MANTEC Equipo Desmontado</x:v>
      </x:c>
      <x:c r="B44" s="34" t="str">
        <x:v>Identificador MANTEC del equipo desmontado</x:v>
      </x:c>
      <x:c r="C44" s="34" t="str">
        <x:v>PAE</x:v>
      </x:c>
      <x:c r="D44" s="34" t="str">
        <x:v>ID MANTEC de Equipo Desmontado</x:v>
      </x:c>
      <x:c r="E44" s="34" t="str">
        <x:v>V0-023</x:v>
      </x:c>
      <x:c r="F44" s="34" t="str">
        <x:v>BENCHMARK PAE</x:v>
      </x:c>
      <x:c r="G44" s="34" t="str">
        <x:v>PAE-only; identificador de activo intervenido en sistema externo.</x:v>
      </x:c>
      <x:c r="H44" s="34" t="str">
        <x:v>Sí</x:v>
      </x:c>
      <x:c r="I44" s="34" t="str">
        <x:v>Codigo</x:v>
      </x:c>
    </x:row>
    <x:row r="45">
      <x:c r="A45" s="34" t="str">
        <x:v>ID MANTEC Equipo Hallado</x:v>
      </x:c>
      <x:c r="B45" s="34" t="str">
        <x:v>Identificador MANTEC del equipo hallado en sitio</x:v>
      </x:c>
      <x:c r="C45" s="34" t="str">
        <x:v>PAE</x:v>
      </x:c>
      <x:c r="D45" s="34" t="str">
        <x:v>ID MANTEC de Equipo Hallado</x:v>
      </x:c>
      <x:c r="E45" s="34" t="str">
        <x:v>V0-023</x:v>
      </x:c>
      <x:c r="F45" s="34" t="str">
        <x:v>BENCHMARK PAE</x:v>
      </x:c>
      <x:c r="G45" s="34" t="str">
        <x:v>PAE-only; identificador de activo intervenido en sistema externo.</x:v>
      </x:c>
      <x:c r="H45" s="34" t="str">
        <x:v>Sí</x:v>
      </x:c>
      <x:c r="I45" s="34" t="str">
        <x:v>Codigo</x:v>
      </x:c>
    </x:row>
    <x:row r="46">
      <x:c r="A46" s="34" t="str">
        <x:v>ID MANTEC Equipo Montado</x:v>
      </x:c>
      <x:c r="B46" s="34" t="str">
        <x:v>Identificador MANTEC del equipo montado</x:v>
      </x:c>
      <x:c r="C46" s="34" t="str">
        <x:v>PAE</x:v>
      </x:c>
      <x:c r="D46" s="34" t="str">
        <x:v>ID MANTEC de Equipo Montado</x:v>
      </x:c>
      <x:c r="E46" s="34" t="str">
        <x:v>V0-023</x:v>
      </x:c>
      <x:c r="F46" s="34" t="str">
        <x:v>BENCHMARK PAE</x:v>
      </x:c>
      <x:c r="G46" s="34" t="str">
        <x:v>PAE-only; identificador de activo intervenido en sistema externo.</x:v>
      </x:c>
      <x:c r="H46" s="34" t="str">
        <x:v>Sí</x:v>
      </x:c>
      <x:c r="I46" s="34" t="str">
        <x:v>Codigo</x:v>
      </x:c>
    </x:row>
    <x:row r="47">
      <x:c r="A47" s="34" t="str">
        <x:v>ID SAP Equipo Desmontado</x:v>
      </x:c>
      <x:c r="B47" s="34" t="str">
        <x:v>Identificador SAP del equipo desmontado</x:v>
      </x:c>
      <x:c r="C47" s="34" t="str">
        <x:v>PAE</x:v>
      </x:c>
      <x:c r="D47" s="34" t="str">
        <x:v>ID SAP de Equipo Desmontado</x:v>
      </x:c>
      <x:c r="E47" s="34" t="str">
        <x:v>V0-023</x:v>
      </x:c>
      <x:c r="F47" s="34" t="str">
        <x:v>BENCHMARK PAE</x:v>
      </x:c>
      <x:c r="G47" s="34" t="str">
        <x:v>PAE-only; identificador externo de activo.</x:v>
      </x:c>
      <x:c r="H47" s="34" t="str">
        <x:v>Sí</x:v>
      </x:c>
      <x:c r="I47" s="34" t="str">
        <x:v>Codigo</x:v>
      </x:c>
    </x:row>
    <x:row r="48">
      <x:c r="A48" s="34" t="str">
        <x:v>ID SAP Equipo Hallado</x:v>
      </x:c>
      <x:c r="B48" s="34" t="str">
        <x:v>Identificador SAP del equipo hallado en sitio</x:v>
      </x:c>
      <x:c r="C48" s="34" t="str">
        <x:v>PAE</x:v>
      </x:c>
      <x:c r="D48" s="34" t="str">
        <x:v>ID SAP de Equipo Hallado</x:v>
      </x:c>
      <x:c r="E48" s="34" t="str">
        <x:v>V0-023</x:v>
      </x:c>
      <x:c r="F48" s="34" t="str">
        <x:v>BENCHMARK PAE</x:v>
      </x:c>
      <x:c r="G48" s="34" t="str">
        <x:v>PAE-only; identificador externo de activo.</x:v>
      </x:c>
      <x:c r="H48" s="34" t="str">
        <x:v>Sí</x:v>
      </x:c>
      <x:c r="I48" s="34" t="str">
        <x:v>Codigo</x:v>
      </x:c>
    </x:row>
    <x:row r="49">
      <x:c r="A49" s="34" t="str">
        <x:v>ID SAP Equipo Montado</x:v>
      </x:c>
      <x:c r="B49" s="34" t="str">
        <x:v>Identificador SAP del equipo montado</x:v>
      </x:c>
      <x:c r="C49" s="34" t="str">
        <x:v>PAE</x:v>
      </x:c>
      <x:c r="D49" s="34" t="str">
        <x:v>ID SAP de Equipo Montado</x:v>
      </x:c>
      <x:c r="E49" s="34" t="str">
        <x:v>V0-023</x:v>
      </x:c>
      <x:c r="F49" s="34" t="str">
        <x:v>BENCHMARK PAE</x:v>
      </x:c>
      <x:c r="G49" s="34" t="str">
        <x:v>PAE-only; identificador externo de activo.</x:v>
      </x:c>
      <x:c r="H49" s="34" t="str">
        <x:v>Sí</x:v>
      </x:c>
      <x:c r="I49" s="34" t="str">
        <x:v>Codigo</x:v>
      </x:c>
    </x:row>
    <x:row r="50">
      <x:c r="A50" s="34" t="str">
        <x:v>N° de Cuadrilla</x:v>
      </x:c>
      <x:c r="B50" s="34" t="str">
        <x:v>Numero identificador de la cuadrilla</x:v>
      </x:c>
      <x:c r="C50" s="34" t="str">
        <x:v>PAE</x:v>
      </x:c>
      <x:c r="D50" s="34" t="str">
        <x:v>N° Cuadrilla</x:v>
      </x:c>
      <x:c r="E50" s="34" t="str">
        <x:v>V0-030</x:v>
      </x:c>
      <x:c r="F50" s="34" t="str">
        <x:v>BENCHMARK PAE</x:v>
      </x:c>
      <x:c r="G50" s="34" t="str">
        <x:v>PAE-only; aporta evidencia de que Cuadrilla puede tener identidad.</x:v>
      </x:c>
      <x:c r="H50" s="34" t="str">
        <x:v>Sí</x:v>
      </x:c>
      <x:c r="I50" s="34" t="str">
        <x:v>Entero</x:v>
      </x:c>
    </x:row>
    <x:row r="51">
      <x:c r="A51" s="34" t="str">
        <x:v>Operadora</x:v>
      </x:c>
      <x:c r="B51" s="34" t="str">
        <x:v>Empresa operadora</x:v>
      </x:c>
      <x:c r="C51" s="34" t="str">
        <x:v>PECOM CC26-CC27</x:v>
      </x:c>
      <x:c r="D51" s="34" t="str">
        <x:v>Operadora</x:v>
      </x:c>
      <x:c r="E51" s="34" t="str">
        <x:v>V0-021; V0-035</x:v>
      </x:c>
      <x:c r="F51" s="34" t="str">
        <x:v>DERIVAR</x:v>
      </x:c>
      <x:c r="G51" s="34" t="str">
        <x:v>No selector manual; derivar del contexto. Validar diferencia Operadora/Cliente.</x:v>
      </x:c>
      <x:c r="H51" s="34" t="str">
        <x:v>No</x:v>
      </x:c>
      <x:c r="I51" s="34" t="str">
        <x:v>Texto</x:v>
      </x:c>
    </x:row>
    <x:row r="52">
      <x:c r="A52" s="34" t="str">
        <x:v>Orden de Trabajo (OT N°)</x:v>
      </x:c>
      <x:c r="B52" s="34" t="str">
        <x:v>Numero de orden de trabajo (repetido en seccion Catastro de Equipos)</x:v>
      </x:c>
      <x:c r="C52" s="34" t="str">
        <x:v>PAE</x:v>
      </x:c>
      <x:c r="D52" s="34" t="str">
        <x:v>OT N°</x:v>
      </x:c>
      <x:c r="E52" s="34" t="str"/>
      <x:c r="F52" s="34" t="str">
        <x:v>BENCHMARK PAE</x:v>
      </x:c>
      <x:c r="G52" s="34" t="str">
        <x:v>PAE-only; referencia upstream de su sistema.</x:v>
      </x:c>
      <x:c r="H52" s="34" t="str">
        <x:v>Sí</x:v>
      </x:c>
      <x:c r="I52" s="34" t="str">
        <x:v>Codigo</x:v>
      </x:c>
    </x:row>
    <x:row r="53">
      <x:c r="A53" s="34" t="str">
        <x:v>Otros (Flota)</x:v>
      </x:c>
      <x:c r="B53" s="34" t="str">
        <x:v>Otros elementos de flota</x:v>
      </x:c>
      <x:c r="C53" s="34" t="str">
        <x:v>PECOM CC26-CC27</x:v>
      </x:c>
      <x:c r="D53" s="34" t="str">
        <x:v>Otros</x:v>
      </x:c>
      <x:c r="E53" s="34" t="str">
        <x:v>V0-031; V0-032; V0-034</x:v>
      </x:c>
      <x:c r="F53" s="34" t="str">
        <x:v>ABSORBER</x:v>
      </x:c>
      <x:c r="G53" s="34" t="str">
        <x:v>No usar texto libre de flota si el recurso existe en catálogo; excepción si no catalogado.</x:v>
      </x:c>
      <x:c r="H53" s="34" t="str">
        <x:v>No</x:v>
      </x:c>
      <x:c r="I53" s="34" t="str">
        <x:v>Texto</x:v>
      </x:c>
    </x:row>
    <x:row r="54">
      <x:c r="A54" s="34" t="str">
        <x:v>Período / Mes / Rango de Fechas</x:v>
      </x:c>
      <x:c r="B54" s="34" t="str">
        <x:v>Fecha desde del periodo informado</x:v>
      </x:c>
      <x:c r="C54" s="34" t="str">
        <x:v>PAE</x:v>
      </x:c>
      <x:c r="D54" s="34" t="str">
        <x:v>Mes, Desde dia, Hasta dia</x:v>
      </x:c>
      <x:c r="E54" s="34" t="str">
        <x:v>V0-052; V0-053</x:v>
      </x:c>
      <x:c r="F54" s="34" t="str">
        <x:v>BENCHMARK PAE</x:v>
      </x:c>
      <x:c r="G54" s="34" t="str">
        <x:v>PAE-only; patrón de período, no core del Parte.</x:v>
      </x:c>
      <x:c r="H54" s="34" t="str">
        <x:v>Sí</x:v>
      </x:c>
      <x:c r="I54" s="34" t="str">
        <x:v>Fecha</x:v>
      </x:c>
    </x:row>
    <x:row r="55">
      <x:c r="A55" s="34" t="str">
        <x:v>Planta</x:v>
      </x:c>
      <x:c r="B55" s="34" t="str">
        <x:v>Nombre de la planta</x:v>
      </x:c>
      <x:c r="C55" s="34" t="str">
        <x:v>Saneamiento</x:v>
      </x:c>
      <x:c r="D55" s="34" t="str">
        <x:v>Planta</x:v>
      </x:c>
      <x:c r="E55" s="34" t="str">
        <x:v>V0-018</x:v>
      </x:c>
      <x:c r="F55" s="34" t="str">
        <x:v>ABSORBER</x:v>
      </x:c>
      <x:c r="G55" s="34" t="str">
        <x:v>Planta es tipo de Ubicación Técnica.</x:v>
      </x:c>
      <x:c r="H55" s="34" t="str">
        <x:v>No</x:v>
      </x:c>
      <x:c r="I55" s="34" t="str">
        <x:v>Texto</x:v>
      </x:c>
    </x:row>
    <x:row r="56">
      <x:c r="A56" s="34" t="str">
        <x:v>Reserva (N°/código)</x:v>
      </x:c>
      <x:c r="B56" s="34" t="str">
        <x:v>Numero de reserva asociado a la tarea</x:v>
      </x:c>
      <x:c r="C56" s="34" t="str">
        <x:v>PECOM CC26-CC27</x:v>
      </x:c>
      <x:c r="D56" s="34" t="str">
        <x:v>Reserva</x:v>
      </x:c>
      <x:c r="E56" s="34" t="str">
        <x:v>V0-039</x:v>
      </x:c>
      <x:c r="F56" s="34" t="str">
        <x:v>MAPEAR</x:v>
      </x:c>
      <x:c r="G56" s="34" t="str">
        <x:v>Referencia externa/administrativa condicional.</x:v>
      </x:c>
      <x:c r="H56" s="34" t="str">
        <x:v>No</x:v>
      </x:c>
      <x:c r="I56" s="34" t="str">
        <x:v>Codigo</x:v>
      </x:c>
    </x:row>
    <x:row r="57">
      <x:c r="A57" s="34" t="str">
        <x:v>Satélite</x:v>
      </x:c>
      <x:c r="B57" s="34" t="str">
        <x:v>Satelite asociado</x:v>
      </x:c>
      <x:c r="C57" s="34" t="str">
        <x:v>Saneamiento</x:v>
      </x:c>
      <x:c r="D57" s="34" t="str">
        <x:v>Satelite</x:v>
      </x:c>
      <x:c r="E57" s="34" t="str">
        <x:v>V0-018</x:v>
      </x:c>
      <x:c r="F57" s="34" t="str">
        <x:v>ABSORBER</x:v>
      </x:c>
      <x:c r="G57" s="34" t="str">
        <x:v>Satélite es tipo de Ubicación Técnica.</x:v>
      </x:c>
      <x:c r="H57" s="34" t="str">
        <x:v>No</x:v>
      </x:c>
      <x:c r="I57" s="34" t="str">
        <x:v>Texto</x:v>
      </x:c>
    </x:row>
    <x:row r="58">
      <x:c r="A58" s="34" t="str">
        <x:v>Tipo de Trabajo del Equipo</x:v>
      </x:c>
      <x:c r="B58" s="34" t="str">
        <x:v>Tipo de trabajo del equipo</x:v>
      </x:c>
      <x:c r="C58" s="34" t="str">
        <x:v>Saneamiento</x:v>
      </x:c>
      <x:c r="D58" s="34" t="str">
        <x:v>De equipo</x:v>
      </x:c>
      <x:c r="E58" s="34" t="str">
        <x:v>V0-024; V0-025</x:v>
      </x:c>
      <x:c r="F58" s="34" t="str">
        <x:v>NORMALIZAR</x:v>
      </x:c>
      <x:c r="G58" s="34" t="str">
        <x:v>Resolver como Servicio/Actividad estructurada.</x:v>
      </x:c>
      <x:c r="H58" s="34" t="str">
        <x:v>No</x:v>
      </x:c>
      <x:c r="I58" s="34" t="str">
        <x:v>Categorico</x:v>
      </x:c>
    </x:row>
    <x:row r="59">
      <x:c r="A59" s="34" t="str">
        <x:v>Unidad de Gestión</x:v>
      </x:c>
      <x:c r="B59" s="34" t="str">
        <x:v>Unidad de gestion del parte</x:v>
      </x:c>
      <x:c r="C59" s="34" t="str">
        <x:v>PAE</x:v>
      </x:c>
      <x:c r="D59" s="34" t="str">
        <x:v>Unidad de gestion</x:v>
      </x:c>
      <x:c r="E59" s="34" t="str"/>
      <x:c r="F59" s="34" t="str">
        <x:v>BENCHMARK PAE</x:v>
      </x:c>
      <x:c r="G59" s="34" t="str">
        <x:v>PAE-only; dimensión organizacional propia del sistema PAE.</x:v>
      </x:c>
      <x:c r="H59" s="34" t="str">
        <x:v>Sí</x:v>
      </x:c>
      <x:c r="I59" s="34" t="str">
        <x:v>Categorico</x:v>
      </x:c>
    </x:row>
    <x:row r="60">
      <x:c r="A60" s="34" t="str">
        <x:v>Unidad de Medida</x:v>
      </x:c>
      <x:c r="B60" s="34" t="str">
        <x:v>Unidad de medida del material/insumo</x:v>
      </x:c>
      <x:c r="C60" s="34" t="str">
        <x:v>PAE</x:v>
      </x:c>
      <x:c r="D60" s="34" t="str">
        <x:v>Unid.</x:v>
      </x:c>
      <x:c r="E60" s="34" t="str">
        <x:v>V0-050</x:v>
      </x:c>
      <x:c r="F60" s="34" t="str">
        <x:v>BENCHMARK PAE</x:v>
      </x:c>
      <x:c r="G60" s="34" t="str">
        <x:v>PAE-only; confirma patrón de métrica + unidad.</x:v>
      </x:c>
      <x:c r="H60" s="34" t="str">
        <x:v>Sí</x:v>
      </x:c>
      <x:c r="I60" s="34" t="str">
        <x:v>Texto</x:v>
      </x:c>
    </x:row>
    <x:row r="61">
      <x:c r="A61" s="34" t="str">
        <x:v>Variante Alquiler de Volquetes</x:v>
      </x:c>
      <x:c r="B61" s="34" t="str">
        <x:v>Bloque de datos del alquiler diario de volquetes (fechas y cantidades, campo compuesto)</x:v>
      </x:c>
      <x:c r="C61" s="34" t="str">
        <x:v>PECOM CC26-CC27</x:v>
      </x:c>
      <x:c r="D61" s="34" t="str">
        <x:v>(Variante Volquetes) Desde / Hasta / Batea N° / Cant. de días / Total de días</x:v>
      </x:c>
      <x:c r="E61" s="34" t="str">
        <x:v>V0-031; V0-048; V0-049; V0-052; V0-053; V0-054</x:v>
      </x:c>
      <x:c r="F61" s="34" t="str">
        <x:v>DIVIDIR</x:v>
      </x:c>
      <x:c r="G61" s="34" t="str">
        <x:v>Bloque compuesto: recurso + período + métrica/días.</x:v>
      </x:c>
      <x:c r="H61" s="34" t="str">
        <x:v>No</x:v>
      </x:c>
      <x:c r="I61" s="34" t="str">
        <x:v>Fecha</x:v>
      </x:c>
    </x:row>
    <x:row r="62">
      <x:c r="A62" s="34" t="str">
        <x:v>Viajes Diurnos</x:v>
      </x:c>
      <x:c r="B62" s="34" t="str">
        <x:v>Cantidad de viajes diurnos</x:v>
      </x:c>
      <x:c r="C62" s="34" t="str">
        <x:v>PECOM CC26-CC27</x:v>
      </x:c>
      <x:c r="D62" s="34" t="str">
        <x:v>Viajes diurnos</x:v>
      </x:c>
      <x:c r="E62" s="34" t="str">
        <x:v>V0-048; V0-049; V0-051</x:v>
      </x:c>
      <x:c r="F62" s="34" t="str">
        <x:v>EXTENSIÓN</x:v>
      </x:c>
      <x:c r="G62" s="34" t="str">
        <x:v>Métrica viajes con calificador diurno.</x:v>
      </x:c>
      <x:c r="H62" s="34" t="str">
        <x:v>No</x:v>
      </x:c>
      <x:c r="I62" s="34" t="str">
        <x:v>Entero</x:v>
      </x:c>
    </x:row>
    <x:row r="63">
      <x:c r="A63" s="34" t="str">
        <x:v>Viajes Nocturnos</x:v>
      </x:c>
      <x:c r="B63" s="34" t="str">
        <x:v>Cantidad de viajes nocturnos</x:v>
      </x:c>
      <x:c r="C63" s="34" t="str">
        <x:v>PECOM CC26-CC27</x:v>
      </x:c>
      <x:c r="D63" s="34" t="str">
        <x:v>Viajes nocturnos</x:v>
      </x:c>
      <x:c r="E63" s="34" t="str">
        <x:v>V0-048; V0-049; V0-051</x:v>
      </x:c>
      <x:c r="F63" s="34" t="str">
        <x:v>EXTENSIÓN</x:v>
      </x:c>
      <x:c r="G63" s="34" t="str">
        <x:v>Métrica viajes con calificador nocturno.</x:v>
      </x:c>
      <x:c r="H63" s="34" t="str">
        <x:v>No</x:v>
      </x:c>
      <x:c r="I63" s="34" t="str">
        <x:v>Entero</x:v>
      </x:c>
    </x:row>
    <x:row r="64">
      <x:c r="A64" s="53" t="str">
        <x:v>Zona</x:v>
      </x:c>
      <x:c r="B64" s="53" t="str">
        <x:v>Zona geografica de la operacion</x:v>
      </x:c>
      <x:c r="C64" s="53" t="str">
        <x:v>PECOM CC26-CC27</x:v>
      </x:c>
      <x:c r="D64" s="53" t="str">
        <x:v>Zona</x:v>
      </x:c>
      <x:c r="E64" s="53" t="str">
        <x:v>V0-022</x:v>
      </x:c>
      <x:c r="F64" s="53" t="str">
        <x:v>DERIVAR/VALIDAR</x:v>
      </x:c>
      <x:c r="G64" s="53" t="str">
        <x:v>Validar si aporta semántica distinta de Área/Yacimiento.</x:v>
      </x:c>
      <x:c r="H64" s="53" t="str">
        <x:v>No</x:v>
      </x:c>
      <x:c r="I64" s="53" t="str">
        <x:v>Texto</x:v>
      </x:c>
    </x:row>
  </x:sheetData>
  <x:conditionalFormatting sqref="H2:H64">
    <x:cfRule type="expression" dxfId="5" priority="1">
      <x:formula>H2="Sí"</x:formula>
    </x:cfRule>
  </x:conditionalFormatting>
  <x:pageMargins left="0.7" right="0.7" top="0.75" bottom="0.75" header="0.3" footer="0.3"/>
  <x:tableParts count="1">
    <x:tablePart xmlns:r="http://schemas.openxmlformats.org/officeDocument/2006/relationships" r:id="R67eb99ba7bb7442a"/>
  </x:tableParts>
</x:worksheet>
</file>

<file path=xl/worksheets/sheet4.xml><?xml version="1.0" encoding="utf-8"?>
<x:worksheet xmlns:x="http://schemas.openxmlformats.org/spreadsheetml/2006/main">
  <x:sheetFormatPr defaultRowHeight="15"/>
  <x:cols>
    <x:col min="1" max="1" width="10" hidden="0" customWidth="1"/>
    <x:col min="2" max="2" width="24" hidden="0" customWidth="1"/>
    <x:col min="3" max="3" width="12" hidden="0" customWidth="1"/>
    <x:col min="4" max="4" width="52" hidden="0" customWidth="1"/>
    <x:col min="5" max="5" width="28" hidden="0" customWidth="1"/>
    <x:col min="6" max="6" width="45" hidden="0" customWidth="1"/>
    <x:col min="7" max="7" width="45" hidden="0" customWidth="1"/>
    <x:col min="8" max="8" width="14" hidden="0" customWidth="1"/>
  </x:cols>
  <x:sheetData>
    <x:row r="1" ht="30" customHeight="1">
      <x:c r="A1" s="52" t="str">
        <x:v>VAL-ID</x:v>
      </x:c>
      <x:c r="B1" s="52" t="str">
        <x:v>Tipo</x:v>
      </x:c>
      <x:c r="C1" s="52" t="str">
        <x:v>Prioridad</x:v>
      </x:c>
      <x:c r="D1" s="52" t="str">
        <x:v>Pregunta / validación</x:v>
      </x:c>
      <x:c r="E1" s="52" t="str">
        <x:v>Conceptos impactados</x:v>
      </x:c>
      <x:c r="F1" s="52" t="str">
        <x:v>Decisión provisional v0</x:v>
      </x:c>
      <x:c r="G1" s="52" t="str">
        <x:v>Qué cambia si la respuesta difiere</x:v>
      </x:c>
      <x:c r="H1" s="52" t="str">
        <x:v>Estado</x:v>
      </x:c>
    </x:row>
    <x:row r="2">
      <x:c r="A2" s="34" t="str">
        <x:v>VAL-01</x:v>
      </x:c>
      <x:c r="B2" s="34" t="str">
        <x:v>Especialista operación</x:v>
      </x:c>
      <x:c r="C2" s="34" t="str">
        <x:v>Crítica</x:v>
      </x:c>
      <x:c r="D2" s="34" t="str">
        <x:v>En una misma jornada y cuadrilla, ¿qué situaciones obligan realmente a generar más de un Parte?</x:v>
      </x:c>
      <x:c r="E2" s="34" t="str">
        <x:v>V0-001, V0-006, V0-037</x:v>
      </x:c>
      <x:c r="F2" s="34" t="str">
        <x:v>La regla de corte no es global: depende del Tipo de Parte. Se reportaron cambios de ubicación/servicio/cliente/equipo/turno e incidentes, pero debe cerrarse por familia.</x:v>
      </x:c>
      <x:c r="G2" s="34" t="str">
        <x:v>Puede redefinir la identidad del Parte y su relación 1:N con unidades.</x:v>
      </x:c>
      <x:c r="H2" s="34" t="str">
        <x:v>Respuesta inicial</x:v>
      </x:c>
    </x:row>
    <x:row r="3">
      <x:c r="A3" s="34" t="str">
        <x:v>VAL-02</x:v>
      </x:c>
      <x:c r="B3" s="34" t="str">
        <x:v>Especialista operación + análisis</x:v>
      </x:c>
      <x:c r="C3" s="34" t="str">
        <x:v>Crítica</x:v>
      </x:c>
      <x:c r="D3" s="34" t="str">
        <x:v>¿Qué cambios hacen que un trabajo necesite identidad independiente dentro del Parte?</x:v>
      </x:c>
      <x:c r="E3" s="34" t="str">
        <x:v>V0-006, V0-018, V0-024, V0-029, V0-034</x:v>
      </x:c>
      <x:c r="F3" s="34" t="str">
        <x:v>UnidadEjecución se mantiene como patrón, pero su necesidad/granularidad depende del Tipo de Parte y de tareas con certificación puntual.</x:v>
      </x:c>
      <x:c r="G3" s="34" t="str">
        <x:v>Puede redefinir 'Frente' y la granularidad del modelo.</x:v>
      </x:c>
      <x:c r="H3" s="34" t="str">
        <x:v>Respuesta inicial</x:v>
      </x:c>
    </x:row>
    <x:row r="4">
      <x:c r="A4" s="34" t="str">
        <x:v>VAL-03</x:v>
      </x:c>
      <x:c r="B4" s="34" t="str">
        <x:v>Especialista operación</x:v>
      </x:c>
      <x:c r="C4" s="34" t="str">
        <x:v>Alta</x:v>
      </x:c>
      <x:c r="D4" s="34" t="str">
        <x:v>¿Qué datos se conocen con certeza antes de salir y cuáles solo durante/después?</x:v>
      </x:c>
      <x:c r="E4" s="34" t="str">
        <x:v>V0-010 a V0-040</x:v>
      </x:c>
      <x:c r="F4" s="34" t="str">
        <x:v>Previo: ubicación+tarea. Durante: clima/condiciones/directivas/urgencias que pueden replanificar.</x:v>
      </x:c>
      <x:c r="G4" s="34" t="str">
        <x:v>Cambia fuente ideal e input humano de múltiples conceptos.</x:v>
      </x:c>
      <x:c r="H4" s="34" t="str">
        <x:v>Respuesta inicial</x:v>
      </x:c>
    </x:row>
    <x:row r="5">
      <x:c r="A5" s="34" t="str">
        <x:v>VAL-04</x:v>
      </x:c>
      <x:c r="B5" s="34" t="str">
        <x:v>Especialista operación</x:v>
      </x:c>
      <x:c r="C5" s="34" t="str">
        <x:v>Alta</x:v>
      </x:c>
      <x:c r="D5" s="34" t="str">
        <x:v>¿Cuáles son los desvíos frecuentes respecto de lo planificado que deben quedar estructurados?</x:v>
      </x:c>
      <x:c r="E5" s="34" t="str">
        <x:v>V0-004, V0-009, V0-029, V0-034</x:v>
      </x:c>
      <x:c r="F5" s="34" t="str">
        <x:v>Se confirmaron desvíos frecuentes: ubicación, equipo, personal, adicional, no realizado, espera, contingencia y extensión.</x:v>
      </x:c>
      <x:c r="G5" s="34" t="str">
        <x:v>Define catálogo de excepciones/eventos y trazabilidad.</x:v>
      </x:c>
      <x:c r="H5" s="34" t="str">
        <x:v>Respuesta inicial</x:v>
      </x:c>
    </x:row>
    <x:row r="6">
      <x:c r="A6" s="34" t="str">
        <x:v>VAL-05</x:v>
      </x:c>
      <x:c r="B6" s="34" t="str">
        <x:v>Especialista operación</x:v>
      </x:c>
      <x:c r="C6" s="34" t="str">
        <x:v>Alta</x:v>
      </x:c>
      <x:c r="D6" s="34" t="str">
        <x:v>¿Qué tipos de tiempo son útiles para control: ejecución, traslado, espera, reparación, carga/descarga u otros?</x:v>
      </x:c>
      <x:c r="E6" s="34" t="str">
        <x:v>V0-013 a V0-017</x:v>
      </x:c>
      <x:c r="F6" s="34" t="str">
        <x:v>Se mencionaron traslado, ejecución, stand-by y cierre; break/refrigerio depende del tipo. Requiere cierre terminológico.</x:v>
      </x:c>
      <x:c r="G6" s="34" t="str">
        <x:v>Puede reducir o ampliar los tipos de evento.</x:v>
      </x:c>
      <x:c r="H6" s="34" t="str">
        <x:v>Respuesta inicial</x:v>
      </x:c>
    </x:row>
    <x:row r="7">
      <x:c r="A7" s="34" t="str">
        <x:v>VAL-06</x:v>
      </x:c>
      <x:c r="B7" s="34" t="str">
        <x:v>Especialista operación</x:v>
      </x:c>
      <x:c r="C7" s="34" t="str">
        <x:v>Alta</x:v>
      </x:c>
      <x:c r="D7" s="34" t="str">
        <x:v>¿Qué cambios de personal o recursos durante una jornada necesitan trazabilidad temporal?</x:v>
      </x:c>
      <x:c r="E7" s="34" t="str">
        <x:v>V0-029, V0-030, V0-034</x:v>
      </x:c>
      <x:c r="F7" s="34" t="str">
        <x:v>Cambios de operario/unidad/turno se trazan; equipo adicional puede generar otro Parte según contexto.</x:v>
      </x:c>
      <x:c r="G7" s="34" t="str">
        <x:v>Puede exigir inicio/fin en asignaciones.</x:v>
      </x:c>
      <x:c r="H7" s="34" t="str">
        <x:v>Respuesta inicial</x:v>
      </x:c>
    </x:row>
    <x:row r="8">
      <x:c r="A8" s="34" t="str">
        <x:v>VAL-07</x:v>
      </x:c>
      <x:c r="B8" s="34" t="str">
        <x:v>Especialista operación</x:v>
      </x:c>
      <x:c r="C8" s="34" t="str">
        <x:v>Crítica</x:v>
      </x:c>
      <x:c r="D8" s="34" t="str">
        <x:v>¿Qué evidencia confirma que un trabajo fue realizado y a qué nivel se valida: Parte completo o unidad individual?</x:v>
      </x:c>
      <x:c r="E8" s="34" t="str">
        <x:v>V0-041 a V0-047</x:v>
      </x:c>
      <x:c r="F8" s="34" t="str">
        <x:v>Evidencia: aprobación cliente, fotos/mediciones cuando aplican; PermisoTrabajo es gate previo y debe cerrarse.</x:v>
      </x:c>
      <x:c r="G8" s="34" t="str">
        <x:v>Define cardinalidades y cierre operativo.</x:v>
      </x:c>
      <x:c r="H8" s="34" t="str">
        <x:v>Respuesta inicial</x:v>
      </x:c>
    </x:row>
    <x:row r="9">
      <x:c r="A9" s="34" t="str">
        <x:v>VAL-08</x:v>
      </x:c>
      <x:c r="B9" s="34" t="str">
        <x:v>Especialista operación</x:v>
      </x:c>
      <x:c r="C9" s="34" t="str">
        <x:v>Crítica</x:v>
      </x:c>
      <x:c r="D9" s="34" t="str">
        <x:v>¿Una misma ejecución operativa puede terminar asociada a más de una posición contractual/certificación/imputación?</x:v>
      </x:c>
      <x:c r="E9" s="34" t="str">
        <x:v>V0-037, V0-001, V0-006</x:v>
      </x:c>
      <x:c r="F9" s="34" t="str">
        <x:v>Una jornada puede contener distintas imputaciones; diferencia contractual no implica split automático.</x:v>
      </x:c>
      <x:c r="G9" s="34" t="str">
        <x:v>Puede mantener o eliminar la compuerta de split existente.</x:v>
      </x:c>
      <x:c r="H9" s="34" t="str">
        <x:v>Respuesta inicial</x:v>
      </x:c>
    </x:row>
    <x:row r="10">
      <x:c r="A10" s="34" t="str">
        <x:v>VAL-09</x:v>
      </x:c>
      <x:c r="B10" s="34" t="str">
        <x:v>Especialista certificación/facturación</x:v>
      </x:c>
      <x:c r="C10" s="34" t="str">
        <x:v>Alta</x:v>
      </x:c>
      <x:c r="D10" s="34" t="str">
        <x:v>¿Qué información generada en campo es imposible reconstruir después y es indispensable para certificar/facturar?</x:v>
      </x:c>
      <x:c r="E10" s="34" t="str">
        <x:v>V0-035 a V0-047</x:v>
      </x:c>
      <x:c r="F10" s="34" t="str">
        <x:v>Requerimientos de campo dependen del TipoContrato e Item/UnidadMedida.</x:v>
      </x:c>
      <x:c r="G10" s="34" t="str">
        <x:v>Puede agregar datos de captura obligatoria al núcleo.</x:v>
      </x:c>
      <x:c r="H10" s="34" t="str">
        <x:v>Respuesta inicial</x:v>
      </x:c>
    </x:row>
    <x:row r="11">
      <x:c r="A11" s="34" t="str">
        <x:v>VAL-10</x:v>
      </x:c>
      <x:c r="B11" s="34" t="str">
        <x:v>Especialista servicio</x:v>
      </x:c>
      <x:c r="C11" s="34" t="str">
        <x:v>Alta</x:v>
      </x:c>
      <x:c r="D11" s="34" t="str">
        <x:v>¿Qué mediciones específicas son realmente necesarias por servicio?</x:v>
      </x:c>
      <x:c r="E11" s="34" t="str">
        <x:v>V0-048 a V0-054</x:v>
      </x:c>
      <x:c r="F11" s="34" t="str">
        <x:v>Datos específicos del servicio están ligados al contrato y unidad de medida; modelarlos como reglas de medición.</x:v>
      </x:c>
      <x:c r="G11" s="34" t="str">
        <x:v>Define catálogo de métricas y qué es obligatorio.</x:v>
      </x:c>
      <x:c r="H11" s="34" t="str">
        <x:v>Respuesta inicial</x:v>
      </x:c>
    </x:row>
    <x:row r="12">
      <x:c r="A12" s="34" t="str">
        <x:v>VAL-11</x:v>
      </x:c>
      <x:c r="B12" s="34" t="str">
        <x:v>Análisis modelo</x:v>
      </x:c>
      <x:c r="C12" s="34" t="str">
        <x:v>Media</x:v>
      </x:c>
      <x:c r="D12" s="34" t="str">
        <x:v>¿Zona agrega semántica distinta de Área/Yacimiento o es duplicación?</x:v>
      </x:c>
      <x:c r="E12" s="34" t="str">
        <x:v>V0-022</x:v>
      </x:c>
      <x:c r="F12" s="34" t="str">
        <x:v>Derivar si existe como clasificación independiente; eliminar si duplica jerarquía.</x:v>
      </x:c>
      <x:c r="G12" s="34" t="str">
        <x:v>Puede desaparecer como concepto canónico.</x:v>
      </x:c>
      <x:c r="H12" s="34" t="str">
        <x:v>Pendiente</x:v>
      </x:c>
    </x:row>
    <x:row r="13">
      <x:c r="A13" s="34" t="str">
        <x:v>VAL-12</x:v>
      </x:c>
      <x:c r="B13" s="34" t="str">
        <x:v>Análisis + especialista</x:v>
      </x:c>
      <x:c r="C13" s="34" t="str">
        <x:v>Alta</x:v>
      </x:c>
      <x:c r="D13" s="34" t="str">
        <x:v>¿Activo intervenido y Ubicación Técnica son objetos distintos en todos los casos relevantes?</x:v>
      </x:c>
      <x:c r="E13" s="34" t="str">
        <x:v>V0-018, V0-023</x:v>
      </x:c>
      <x:c r="F13" s="34" t="str">
        <x:v>Separarlos provisionalmente para no confundir activo cliente con recurso VDS.</x:v>
      </x:c>
      <x:c r="G13" s="34" t="str">
        <x:v>Puede unificarse parcialmente en un catálogo técnico.</x:v>
      </x:c>
      <x:c r="H13" s="34" t="str">
        <x:v>Pendiente</x:v>
      </x:c>
    </x:row>
    <x:row r="14">
      <x:c r="A14" s="34" t="str">
        <x:v>VAL-13</x:v>
      </x:c>
      <x:c r="B14" s="34" t="str">
        <x:v>Análisis + especialista</x:v>
      </x:c>
      <x:c r="C14" s="34" t="str">
        <x:v>Alta</x:v>
      </x:c>
      <x:c r="D14" s="34" t="str">
        <x:v>¿Servicio y Actividad son niveles distintos y estables en la operación?</x:v>
      </x:c>
      <x:c r="E14" s="34" t="str">
        <x:v>V0-024, V0-025</x:v>
      </x:c>
      <x:c r="F14" s="34" t="str">
        <x:v>Mantener ambos provisionalmente.</x:v>
      </x:c>
      <x:c r="G14" s="34" t="str">
        <x:v>Puede simplificarse a un único catálogo.</x:v>
      </x:c>
      <x:c r="H14" s="34" t="str">
        <x:v>Pendiente</x:v>
      </x:c>
    </x:row>
    <x:row r="15">
      <x:c r="A15" s="34" t="str">
        <x:v>VAL-14</x:v>
      </x:c>
      <x:c r="B15" s="34" t="str">
        <x:v>Análisis + especialista</x:v>
      </x:c>
      <x:c r="C15" s="34" t="str">
        <x:v>Media</x:v>
      </x:c>
      <x:c r="D15" s="34" t="str">
        <x:v>¿La cuadrilla tiene identidad estable o es una composición temporal de personas/recursos?</x:v>
      </x:c>
      <x:c r="E15" s="34" t="str">
        <x:v>V0-030</x:v>
      </x:c>
      <x:c r="F15" s="34" t="str">
        <x:v>Cuadrilla como entidad provisional upstream.</x:v>
      </x:c>
      <x:c r="G15" s="34" t="str">
        <x:v>Puede reemplazarse por composición dinámica.</x:v>
      </x:c>
      <x:c r="H15" s="34" t="str">
        <x:v>Pendiente</x:v>
      </x:c>
    </x:row>
    <x:row r="16">
      <x:c r="A16" s="53" t="str">
        <x:v>VAL-15</x:v>
      </x:c>
      <x:c r="B16" s="53" t="str">
        <x:v>Análisis + negocio</x:v>
      </x:c>
      <x:c r="C16" s="53" t="str">
        <x:v>Media</x:v>
      </x:c>
      <x:c r="D16" s="53" t="str">
        <x:v>¿Obra/Proyecto es distinto de Servicio en los clientes objetivo?</x:v>
      </x:c>
      <x:c r="E16" s="53" t="str">
        <x:v>V0-024, V0-026</x:v>
      </x:c>
      <x:c r="F16" s="53" t="str">
        <x:v>Separados provisionalmente.</x:v>
      </x:c>
      <x:c r="G16" s="53" t="str">
        <x:v>Puede eliminarse Obra/Proyecto del núcleo.</x:v>
      </x:c>
      <x:c r="H16" s="53" t="str">
        <x:v>Pendiente</x:v>
      </x:c>
    </x:row>
    <x:row r="17">
      <x:c r="A17" t="str">
        <x:v>VAL-16</x:v>
      </x:c>
      <x:c r="B17" t="str">
        <x:v>Análisis + especialista</x:v>
      </x:c>
      <x:c r="C17" t="str">
        <x:v>Crítica</x:v>
      </x:c>
      <x:c r="D17" t="str">
        <x:v>Cerrar regla de corte específica para cada Tipo de Parte: qué cambio genera un Parte nuevo y cuál puede convivir dentro del mismo.</x:v>
      </x:c>
      <x:c r="E17" t="str">
        <x:v>V0-055, V0-059, V0-081, V0-082</x:v>
      </x:c>
      <x:c r="F17" t="str">
        <x:v>Regla por TipoParte; nunca split global por posición contractual.</x:v>
      </x:c>
      <x:c r="G17" t="str">
        <x:v>Define la identidad operacional de cada familia.</x:v>
      </x:c>
      <x:c r="H17" t="str">
        <x:v>Pendiente</x:v>
      </x:c>
    </x:row>
    <x:row r="18">
      <x:c r="A18" t="str">
        <x:v>VAL-17</x:v>
      </x:c>
      <x:c r="B18" t="str">
        <x:v>Negocio + RRHH/Operación</x:v>
      </x:c>
      <x:c r="C18" t="str">
        <x:v>Crítica</x:v>
      </x:c>
      <x:c r="D18" t="str">
        <x:v>Construir matriz Perfil Operativo → Tipos de Parte elegibles/prioritarios y resolver qué contexto adicional completa el ruteo.</x:v>
      </x:c>
      <x:c r="E18" t="str">
        <x:v>V0-060 a V0-062</x:v>
      </x:c>
      <x:c r="F18" t="str">
        <x:v>El trabajador no selecciona un Parte desde un listado general.</x:v>
      </x:c>
      <x:c r="G18" t="str">
        <x:v>Define experiencia de inicio y permisos de acción.</x:v>
      </x:c>
      <x:c r="H18" t="str">
        <x:v>Pendiente</x:v>
      </x:c>
    </x:row>
    <x:row r="19">
      <x:c r="A19" t="str">
        <x:v>VAL-18</x:v>
      </x:c>
      <x:c r="B19" t="str">
        <x:v>Control documental + Habilita + Operación</x:v>
      </x:c>
      <x:c r="C19" t="str">
        <x:v>Crítica</x:v>
      </x:c>
      <x:c r="D19" t="str">
        <x:v>Definir matriz de requisitos habilitantes por persona/recurso/servicio/cliente/ubicación y qué fallas advierten, permiten override o bloquean.</x:v>
      </x:c>
      <x:c r="E19" t="str">
        <x:v>V0-063 a V0-071</x:v>
      </x:c>
      <x:c r="F19" t="str">
        <x:v>Evaluar en planificación y revalidar al inicio con snapshot auditable.</x:v>
      </x:c>
      <x:c r="G19" t="str">
        <x:v>Define gates y alertas de supervisión.</x:v>
      </x:c>
      <x:c r="H19" t="str">
        <x:v>Pendiente</x:v>
      </x:c>
    </x:row>
    <x:row r="20">
      <x:c r="A20" t="str">
        <x:v>VAL-19</x:v>
      </x:c>
      <x:c r="B20" t="str">
        <x:v>Contratos + Certificación</x:v>
      </x:c>
      <x:c r="C20" t="str">
        <x:v>Crítica</x:v>
      </x:c>
      <x:c r="D20" t="str">
        <x:v>Definir tipos contractuales, ítems, unidades de medida y reglas de captura/medición para indemnizado, mensualizado y On Call.</x:v>
      </x:c>
      <x:c r="E20" t="str">
        <x:v>V0-077 a V0-080, V0-048 a V0-050</x:v>
      </x:c>
      <x:c r="F20" t="str">
        <x:v>Contrato activa requerimientos de medición, sin mezclar todavía la lógica de facturación.</x:v>
      </x:c>
      <x:c r="G20" t="str">
        <x:v>Define qué datos de campo son obligatorios.</x:v>
      </x:c>
      <x:c r="H20" t="str">
        <x:v>Pendiente</x:v>
      </x:c>
    </x:row>
    <x:row r="21">
      <x:c r="A21" t="str">
        <x:v>VAL-20</x:v>
      </x:c>
      <x:c r="B21" t="str">
        <x:v>Habilita + Operación</x:v>
      </x:c>
      <x:c r="C21" t="str">
        <x:v>Alta</x:v>
      </x:c>
      <x:c r="D21" t="str">
        <x:v>Definir cardinalidad y ciclo de Permiso de Trabajo: qué tareas lo requieren, cuántos permisos puede tener una ejecución y quién abre/cierra/valida.</x:v>
      </x:c>
      <x:c r="E21" t="str">
        <x:v>V0-072 a V0-076</x:v>
      </x:c>
      <x:c r="F21" t="str">
        <x:v>Permiso obligatorio habilitado antes del inicio; cierre obligatorio según contexto.</x:v>
      </x:c>
      <x:c r="G21" t="str">
        <x:v>Define compuerta de seguridad y trazabilidad.</x:v>
      </x:c>
      <x:c r="H21" t="str">
        <x:v>Pendiente</x:v>
      </x:c>
    </x:row>
    <x:row r="22">
      <x:c r="A22" t="str">
        <x:v>V16</x:v>
      </x:c>
      <x:c r="B22" t="str">
        <x:v>TP-03</x:v>
      </x:c>
      <x:c r="C22" t="str">
        <x:v>Turnos reales</x:v>
      </x:c>
      <x:c r="D22" t="str">
        <x:v>¿Cuáles son los turnos reales, horarios y regla de extensión/solapamiento?</x:v>
      </x:c>
      <x:c r="E22" t="str">
        <x:v>Especialista operación</x:v>
      </x:c>
      <x:c r="F22" t="str">
        <x:v>Pendiente</x:v>
      </x:c>
      <x:c r="G22" t="str">
        <x:v>Alta</x:v>
      </x:c>
      <x:c r="H22" t="str">
        <x:v>Define identidad/corte TP-03.</x:v>
      </x:c>
    </x:row>
    <x:row r="23">
      <x:c r="A23" t="str">
        <x:v>V17</x:v>
      </x:c>
      <x:c r="B23" t="str">
        <x:v>TP-03</x:v>
      </x:c>
      <x:c r="C23" t="str">
        <x:v>Servicios compatibles</x:v>
      </x:c>
      <x:c r="D23" t="str">
        <x:v>¿Qué servicios pueden convivir en TP-03 y cuáles exigen Parte específico/certificación puntual?</x:v>
      </x:c>
      <x:c r="E23" t="str">
        <x:v>Especialista operación/contratos</x:v>
      </x:c>
      <x:c r="F23" t="str">
        <x:v>Pendiente</x:v>
      </x:c>
      <x:c r="G23" t="str">
        <x:v>Alta</x:v>
      </x:c>
      <x:c r="H23" t="str">
        <x:v>Define ruteo y corte por servicio.</x:v>
      </x:c>
    </x:row>
    <x:row r="24">
      <x:c r="A24" t="str">
        <x:v>V18</x:v>
      </x:c>
      <x:c r="B24" t="str">
        <x:v>TP-03</x:v>
      </x:c>
      <x:c r="C24" t="str">
        <x:v>Equipo adicional</x:v>
      </x:c>
      <x:c r="D24" t="str">
        <x:v>¿Cuándo un equipo adicional genera otro Parte?</x:v>
      </x:c>
      <x:c r="E24" t="str">
        <x:v>Especialista operación</x:v>
      </x:c>
      <x:c r="F24" t="str">
        <x:v>Pendiente</x:v>
      </x:c>
      <x:c r="G24" t="str">
        <x:v>Alta</x:v>
      </x:c>
      <x:c r="H24" t="str">
        <x:v>Evita splits innecesarios.</x:v>
      </x:c>
    </x:row>
    <x:row r="25">
      <x:c r="A25" t="str">
        <x:v>V19</x:v>
      </x:c>
      <x:c r="B25" t="str">
        <x:v>TP-03</x:v>
      </x:c>
      <x:c r="C25" t="str">
        <x:v>Alcance de firmas</x:v>
      </x:c>
      <x:c r="D25" t="str">
        <x:v>¿Qué firmas/autorizantes validan Parte vs UnidadEjecución?</x:v>
      </x:c>
      <x:c r="E25" t="str">
        <x:v>Especialista operación</x:v>
      </x:c>
      <x:c r="F25" t="str">
        <x:v>Pendiente</x:v>
      </x:c>
      <x:c r="G25" t="str">
        <x:v>Alta</x:v>
      </x:c>
      <x:c r="H25" t="str">
        <x:v>Define Evidencia.</x:v>
      </x:c>
    </x:row>
    <x:row r="26">
      <x:c r="A26" t="str">
        <x:v>V20</x:v>
      </x:c>
      <x:c r="B26" t="str">
        <x:v>TP-03</x:v>
      </x:c>
      <x:c r="C26" t="str">
        <x:v>Tiempo reparación</x:v>
      </x:c>
      <x:c r="D26" t="str">
        <x:v>¿Reparación es categoría temporal propia o motivo de stand-by?</x:v>
      </x:c>
      <x:c r="E26" t="str">
        <x:v>Operaciones</x:v>
      </x:c>
      <x:c r="F26" t="str">
        <x:v>Pendiente</x:v>
      </x:c>
      <x:c r="G26" t="str">
        <x:v>Media</x:v>
      </x:c>
      <x:c r="H26" t="str">
        <x:v>Define catálogo de tiempos.</x:v>
      </x:c>
    </x:row>
    <x:row r="27" ht="52" customHeight="1">
      <x:c r="A27" s="20" t="str">
        <x:v>V21</x:v>
      </x:c>
      <x:c r="B27" s="20" t="str">
        <x:v>TP-02</x:v>
      </x:c>
      <x:c r="C27" s="20" t="str">
        <x:v>Frontera temporal</x:v>
      </x:c>
      <x:c r="D27" s="20" t="str">
        <x:v>¿Un TP-02 puede abarcar movimientos de más de una fecha/turno o la ventana operativa siempre obliga a abrir otro Parte?</x:v>
      </x:c>
      <x:c r="E27" s="20" t="str">
        <x:v>Operaciones transporte</x:v>
      </x:c>
      <x:c r="F27" s="20" t="str">
        <x:v>Pendiente</x:v>
      </x:c>
      <x:c r="G27" s="20" t="str">
        <x:v>Alta</x:v>
      </x:c>
      <x:c r="H27" s="20" t="str">
        <x:v>Define identidad y cierre temporal del TP-02.</x:v>
      </x:c>
    </x:row>
    <x:row r="28" ht="52" customHeight="1">
      <x:c r="A28" s="20" t="str">
        <x:v>V22</x:v>
      </x:c>
      <x:c r="B28" s="20" t="str">
        <x:v>TP-02</x:v>
      </x:c>
      <x:c r="C28" s="20" t="str">
        <x:v>Recurso principal</x:v>
      </x:c>
      <x:c r="D28" s="20" t="str">
        <x:v>¿El cambio/reemplazo de camión/recurso principal obliga a abrir otro Parte o puede continuar como sustitución trazada?</x:v>
      </x:c>
      <x:c r="E28" s="20" t="str">
        <x:v>Operaciones transporte</x:v>
      </x:c>
      <x:c r="F28" s="20" t="str">
        <x:v>Pendiente</x:v>
      </x:c>
      <x:c r="G28" s="20" t="str">
        <x:v>Crítica</x:v>
      </x:c>
      <x:c r="H28" s="20" t="str">
        <x:v>Define regla de corte por configuración principal.</x:v>
      </x:c>
    </x:row>
    <x:row r="29" ht="52" customHeight="1">
      <x:c r="A29" s="20" t="str">
        <x:v>V23</x:v>
      </x:c>
      <x:c r="B29" s="20" t="str">
        <x:v>TP-02</x:v>
      </x:c>
      <x:c r="C29" s="20" t="str">
        <x:v>Acoplado / semi</x:v>
      </x:c>
      <x:c r="D29" s="20" t="str">
        <x:v>¿Cambiar acoplado/semi durante la misma asignación corta el Parte o solo actualiza la configuración de recursos?</x:v>
      </x:c>
      <x:c r="E29" s="20" t="str">
        <x:v>Operaciones transporte</x:v>
      </x:c>
      <x:c r="F29" s="20" t="str">
        <x:v>Pendiente</x:v>
      </x:c>
      <x:c r="G29" s="20" t="str">
        <x:v>Alta</x:v>
      </x:c>
      <x:c r="H29" s="20" t="str">
        <x:v>Define rol_recurso y corte.</x:v>
      </x:c>
    </x:row>
    <x:row r="30" ht="52" customHeight="1">
      <x:c r="A30" s="20" t="str">
        <x:v>V24</x:v>
      </x:c>
      <x:c r="B30" s="20" t="str">
        <x:v>TP-02</x:v>
      </x:c>
      <x:c r="C30" s="20" t="str">
        <x:v>Equipo T3</x:v>
      </x:c>
      <x:c r="D30" s="20" t="str">
        <x:v>En Cargas Sólidas, ¿el campo 'Equipo' representa recurso VDS, equipo/activo del cliente o destino operativo?</x:v>
      </x:c>
      <x:c r="E30" s="20" t="str">
        <x:v>Operaciones transporte</x:v>
      </x:c>
      <x:c r="F30" s="20" t="str">
        <x:v>Pendiente</x:v>
      </x:c>
      <x:c r="G30" s="20" t="str">
        <x:v>Crítica</x:v>
      </x:c>
      <x:c r="H30" s="20" t="str">
        <x:v>Evita mezclar Recurso, ActivoCliente y Ubicación.</x:v>
      </x:c>
    </x:row>
    <x:row r="31" ht="52" customHeight="1">
      <x:c r="A31" s="20" t="str">
        <x:v>V25</x:v>
      </x:c>
      <x:c r="B31" s="20" t="str">
        <x:v>TP-02</x:v>
      </x:c>
      <x:c r="C31" s="20" t="str">
        <x:v>Descarga T4</x:v>
      </x:c>
      <x:c r="D31" s="20" t="str">
        <x:v>En Cargas Líquidas, ¿'Descarga Bat/Eq' identifica destino, activo/equipo receptor, cantidad descargada u otra referencia?</x:v>
      </x:c>
      <x:c r="E31" s="20" t="str">
        <x:v>Operaciones transporte</x:v>
      </x:c>
      <x:c r="F31" s="20" t="str">
        <x:v>Pendiente</x:v>
      </x:c>
      <x:c r="G31" s="20" t="str">
        <x:v>Crítica</x:v>
      </x:c>
      <x:c r="H31" s="20" t="str">
        <x:v>Define rol de ubicación/activo y medición.</x:v>
      </x:c>
    </x:row>
    <x:row r="32" ht="52" customHeight="1">
      <x:c r="A32" s="20" t="str">
        <x:v>V26</x:v>
      </x:c>
      <x:c r="B32" s="20" t="str">
        <x:v>TP-02</x:v>
      </x:c>
      <x:c r="C32" s="20" t="str">
        <x:v>Alcance de firmas</x:v>
      </x:c>
      <x:c r="D32" s="20" t="str">
        <x:v>¿La firma del solicitante T3 valida cada movimiento y las firmas T4 validan el Parte completo? ¿Qué roles exactos son obligatorios?</x:v>
      </x:c>
      <x:c r="E32" s="20" t="str">
        <x:v>Operaciones / contratos</x:v>
      </x:c>
      <x:c r="F32" s="20" t="str">
        <x:v>Pendiente</x:v>
      </x:c>
      <x:c r="G32" s="20" t="str">
        <x:v>Crítica</x:v>
      </x:c>
      <x:c r="H32" s="20" t="str">
        <x:v>Define cardinalidad de Evidencia.</x:v>
      </x:c>
    </x:row>
    <x:row r="33" ht="52" customHeight="1">
      <x:c r="A33" s="20" t="str">
        <x:v>V27</x:v>
      </x:c>
      <x:c r="B33" s="20" t="str">
        <x:v>TP-02</x:v>
      </x:c>
      <x:c r="C33" s="20" t="str">
        <x:v>Permiso de trabajo</x:v>
      </x:c>
      <x:c r="D33" s="20" t="str">
        <x:v>¿Qué operaciones de carga/transporte/descarga requieren PermisoTrabajo y a qué nivel se vincula: Parte o movimiento?</x:v>
      </x:c>
      <x:c r="E33" s="20" t="str">
        <x:v>Habilita / Operaciones</x:v>
      </x:c>
      <x:c r="F33" s="20" t="str">
        <x:v>Pendiente</x:v>
      </x:c>
      <x:c r="G33" s="20" t="str">
        <x:v>Alta</x:v>
      </x:c>
      <x:c r="H33" s="20" t="str">
        <x:v>Define Gate C/D por movimiento.</x:v>
      </x:c>
    </x:row>
    <x:row r="34" ht="52" customHeight="1">
      <x:c r="A34" s="20" t="str">
        <x:v>V28</x:v>
      </x:c>
      <x:c r="B34" s="20" t="str">
        <x:v>TP-02</x:v>
      </x:c>
      <x:c r="C34" s="20" t="str">
        <x:v>Múltiples movimientos</x:v>
      </x:c>
      <x:c r="D34" s="20" t="str">
        <x:v>¿Cuántos viajes/paradas pueden convivir normalmente en un mismo Parte y qué evento finaliza la asignación de transporte?</x:v>
      </x:c>
      <x:c r="E34" s="20" t="str">
        <x:v>Operaciones transporte</x:v>
      </x:c>
      <x:c r="F34" s="20" t="str">
        <x:v>Pendiente</x:v>
      </x:c>
      <x:c r="G34" s="20" t="str">
        <x:v>Alta</x:v>
      </x:c>
      <x:c r="H34" s="20" t="str">
        <x:v>Confirma que Movimiento es la unidad interna y no el Parte.</x:v>
      </x:c>
    </x:row>
    <x:row r="35" ht="52" customHeight="1">
      <x:c r="A35" s="20" t="str">
        <x:v>V29</x:v>
      </x:c>
      <x:c r="B35" s="20" t="str">
        <x:v>Contractual</x:v>
      </x:c>
      <x:c r="C35" s="20" t="str">
        <x:v>centrocosto_id</x:v>
      </x:c>
      <x:c r="D35" s="20" t="str">
        <x:v>Obtener la tabla maestra que relacione centrocosto_id con código/nombre de Centro de Costo (CC26, CC27, CC80, etc.).</x:v>
      </x:c>
      <x:c r="E35" s="20" t="str">
        <x:v>Contratos / Administración</x:v>
      </x:c>
      <x:c r="F35" s="20" t="str">
        <x:v>Pendiente</x:v>
      </x:c>
      <x:c r="G35" s="20" t="str">
        <x:v>Crítica</x:v>
      </x:c>
      <x:c r="H35" s="20" t="str">
        <x:v>Evita derivar códigos de Centro de Costo desde etiquetas históricas.</x:v>
      </x:c>
    </x:row>
    <x:row r="36" ht="52" customHeight="1">
      <x:c r="A36" s="20" t="str">
        <x:v>V30</x:v>
      </x:c>
      <x:c r="B36" s="20" t="str">
        <x:v>Contractual</x:v>
      </x:c>
      <x:c r="C36" s="20" t="str">
        <x:v>Contrato real</x:v>
      </x:c>
      <x:c r="D36" s="20" t="str">
        <x:v>¿Cuál es el identificador, cliente, vigencia y versión real de cada Contrato que gobierna los servicios actuales?</x:v>
      </x:c>
      <x:c r="E36" s="20" t="str">
        <x:v>Contratos / Administración</x:v>
      </x:c>
      <x:c r="F36" s="20" t="str">
        <x:v>Pendiente</x:v>
      </x:c>
      <x:c r="G36" s="20" t="str">
        <x:v>Crítica</x:v>
      </x:c>
      <x:c r="H36" s="20" t="str">
        <x:v>Permite separar Contrato de Servicio y CentroCosto.</x:v>
      </x:c>
    </x:row>
    <x:row r="37" ht="52" customHeight="1">
      <x:c r="A37" s="20" t="str">
        <x:v>V31</x:v>
      </x:c>
      <x:c r="B37" s="20" t="str">
        <x:v>Contractual</x:v>
      </x:c>
      <x:c r="C37" s="20" t="str">
        <x:v>Contexto→ContratoServicio</x:v>
      </x:c>
      <x:c r="D37" s="20" t="str">
        <x:v>Mapear cada fila relevante de Info VDS/Seguimiento a Contrato + Servicio + CentroCosto + TipoParte.</x:v>
      </x:c>
      <x:c r="E37" s="20" t="str">
        <x:v>Análisis + Contratos</x:v>
      </x:c>
      <x:c r="F37" s="20" t="str">
        <x:v>Pendiente</x:v>
      </x:c>
      <x:c r="G37" s="20" t="str">
        <x:v>Crítica</x:v>
      </x:c>
      <x:c r="H37" s="20" t="str">
        <x:v>Puebla la Capa Maestra sin usar nombres compuestos como entidad.</x:v>
      </x:c>
    </x:row>
    <x:row r="38" ht="52" customHeight="1">
      <x:c r="A38" s="20" t="str">
        <x:v>V32</x:v>
      </x:c>
      <x:c r="B38" s="20" t="str">
        <x:v>Certificación</x:v>
      </x:c>
      <x:c r="C38" s="20" t="str">
        <x:v>Agrupación</x:v>
      </x:c>
      <x:c r="D38" s="20" t="str">
        <x:v>Confirmar reglas de agrupación previas a Certificación por contexto: pozo, período, ítem, centro de costo u otra dimensión.</x:v>
      </x:c>
      <x:c r="E38" s="20" t="str">
        <x:v>Certificación / Contratos</x:v>
      </x:c>
      <x:c r="F38" s="20" t="str">
        <x:v>Pendiente</x:v>
      </x:c>
      <x:c r="G38" s="20" t="str">
        <x:v>Crítica</x:v>
      </x:c>
      <x:c r="H38" s="20" t="str">
        <x:v>Define PaqueteCertificacion y rompe/valida cardinalidades.</x:v>
      </x:c>
    </x:row>
    <x:row r="39" ht="52" customHeight="1">
      <x:c r="A39" s="20" t="str">
        <x:v>V33</x:v>
      </x:c>
      <x:c r="B39" s="20" t="str">
        <x:v>Cadencias</x:v>
      </x:c>
      <x:c r="C39" s="20" t="str">
        <x:v>Parte/Firma/Certificación</x:v>
      </x:c>
      <x:c r="D39" s="20" t="str">
        <x:v>Separar y validar cadencia de generación de Parte, plazo de firma/conformidad y cadencia de Certificación para cada ContratoServicio.</x:v>
      </x:c>
      <x:c r="E39" s="20" t="str">
        <x:v>Operaciones / Certificación</x:v>
      </x:c>
      <x:c r="F39" s="20" t="str">
        <x:v>Pendiente</x:v>
      </x:c>
      <x:c r="G39" s="20" t="str">
        <x:v>Alta</x:v>
      </x:c>
      <x:c r="H39" s="20" t="str">
        <x:v>Evita un único campo 'frecuencia' ambiguo.</x:v>
      </x:c>
    </x:row>
    <x:row r="40" ht="52" customHeight="1">
      <x:c r="A40" s="20" t="str">
        <x:v>V34</x:v>
      </x:c>
      <x:c r="B40" s="20" t="str">
        <x:v>Contractual</x:v>
      </x:c>
      <x:c r="C40" s="20" t="str">
        <x:v>Ítems/UM</x:v>
      </x:c>
      <x:c r="D40" s="20" t="str">
        <x:v>Recibir ítems contractuales, unidad de medida y regla de medición/certificación por ContratoServicio.</x:v>
      </x:c>
      <x:c r="E40" s="20" t="str">
        <x:v>Contratos / Certificación</x:v>
      </x:c>
      <x:c r="F40" s="20" t="str">
        <x:v>Pendiente</x:v>
      </x:c>
      <x:c r="G40" s="20" t="str">
        <x:v>Crítica</x:v>
      </x:c>
      <x:c r="H40" s="20" t="str">
        <x:v>Completa ItemContrato y determina captura de campo.</x:v>
      </x:c>
    </x:row>
    <x:row r="41" ht="52" customHeight="1">
      <x:c r="A41" s="20" t="str">
        <x:v>V35</x:v>
      </x:c>
      <x:c r="B41" s="20" t="str">
        <x:v>Contractual</x:v>
      </x:c>
      <x:c r="C41" s="20" t="str">
        <x:v>Tipo de contrato</x:v>
      </x:c>
      <x:c r="D41" s="20" t="str">
        <x:v>Validar tipo contractual real (indemnizado, mensualizado, On Call u otros) por Contrato/Servicio.</x:v>
      </x:c>
      <x:c r="E41" s="20" t="str">
        <x:v>Contratos / Certificación</x:v>
      </x:c>
      <x:c r="F41" s="20" t="str">
        <x:v>Pendiente</x:v>
      </x:c>
      <x:c r="G41" s="20" t="str">
        <x:v>Alta</x:v>
      </x:c>
      <x:c r="H41" s="20" t="str">
        <x:v>Activa la lógica correcta de medición/evidencia.</x:v>
      </x:c>
    </x:row>
    <x:row r="42" ht="52" customHeight="1">
      <x:c r="A42" s="20" t="str">
        <x:v>V36</x:v>
      </x:c>
      <x:c r="B42" s="20" t="str">
        <x:v>Evidencia</x:v>
      </x:c>
      <x:c r="C42" s="20" t="str">
        <x:v>Cierre operativo vs conformidad</x:v>
      </x:c>
      <x:c r="D42" s="20" t="str">
        <x:v>Confirmar en qué contextos la firma del cliente puede ocurrir después del cierre operativo y cuál es el SLA esperado.</x:v>
      </x:c>
      <x:c r="E42" s="20" t="str">
        <x:v>Operaciones / Certificación</x:v>
      </x:c>
      <x:c r="F42" s="20" t="str">
        <x:v>Pendiente</x:v>
      </x:c>
      <x:c r="G42" s="20" t="str">
        <x:v>Crítica</x:v>
      </x:c>
      <x:c r="H42" s="20" t="str">
        <x:v>Separa ejecución terminada de documentalmente completo.</x:v>
      </x:c>
    </x:row>
    <x:row r="43" ht="52" customHeight="1">
      <x:c r="A43" s="20" t="str">
        <x:v>V37</x:v>
      </x:c>
      <x:c r="B43" s="20" t="str">
        <x:v>Planificación</x:v>
      </x:c>
      <x:c r="C43" s="20" t="str">
        <x:v>Identidad</x:v>
      </x:c>
      <x:c r="D43" s="20" t="str">
        <x:v>¿Qué hecho operacional crea una Planificación y qué diferencia una nueva AsignacionPlanificada dentro de ella?</x:v>
      </x:c>
      <x:c r="E43" s="20" t="str">
        <x:v>Planificación / Operaciones</x:v>
      </x:c>
      <x:c r="F43" s="20" t="str">
        <x:v>Pendiente</x:v>
      </x:c>
      <x:c r="G43" s="20" t="str">
        <x:v>Crítica</x:v>
      </x:c>
      <x:c r="H43" s="20" t="str">
        <x:v>Define Planificacion 1:N Asignaciones.</x:v>
      </x:c>
    </x:row>
    <x:row r="44" ht="52" customHeight="1">
      <x:c r="A44" s="20" t="str">
        <x:v>V38</x:v>
      </x:c>
      <x:c r="B44" s="20" t="str">
        <x:v>Planificación</x:v>
      </x:c>
      <x:c r="C44" s="20" t="str">
        <x:v>Confirmación</x:v>
      </x:c>
      <x:c r="D44" s="20" t="str">
        <x:v>¿Qué datos deben ser obligatorios antes de confirmar/despachar una asignación hacia campo?</x:v>
      </x:c>
      <x:c r="E44" s="20" t="str">
        <x:v>Planificación / Operaciones</x:v>
      </x:c>
      <x:c r="F44" s="20" t="str">
        <x:v>Pendiente</x:v>
      </x:c>
      <x:c r="G44" s="20" t="str">
        <x:v>Crítica</x:v>
      </x:c>
      <x:c r="H44" s="20" t="str">
        <x:v>Cierra Gate P1 y payload mínimo.</x:v>
      </x:c>
    </x:row>
    <x:row r="45" ht="52" customHeight="1">
      <x:c r="A45" s="20" t="str">
        <x:v>V39</x:v>
      </x:c>
      <x:c r="B45" s="20" t="str">
        <x:v>Planificación</x:v>
      </x:c>
      <x:c r="C45" s="20" t="str">
        <x:v>Personas/recursos</x:v>
      </x:c>
      <x:c r="D45" s="20" t="str">
        <x:v>¿En qué servicios la confirmación exige personas y recursos nominados y en cuáles alcanza con capacidad/tipo requerido?</x:v>
      </x:c>
      <x:c r="E45" s="20" t="str">
        <x:v>Planificación / Operaciones</x:v>
      </x:c>
      <x:c r="F45" s="20" t="str">
        <x:v>Pendiente</x:v>
      </x:c>
      <x:c r="G45" s="20" t="str">
        <x:v>Alta</x:v>
      </x:c>
      <x:c r="H45" s="20" t="str">
        <x:v>Define cuánto puede anticipar Control Documental.</x:v>
      </x:c>
    </x:row>
    <x:row r="46" ht="52" customHeight="1">
      <x:c r="A46" s="20" t="str">
        <x:v>V40</x:v>
      </x:c>
      <x:c r="B46" s="20" t="str">
        <x:v>Planificación</x:v>
      </x:c>
      <x:c r="C46" s="20" t="str">
        <x:v>ContratoServicio</x:v>
      </x:c>
      <x:c r="D46" s="20" t="str">
        <x:v>¿ContratoServicio/CentroCosto/Ítem debe quedar resuelto antes de confirmar o existen contextos válidos que se resuelven después?</x:v>
      </x:c>
      <x:c r="E46" s="20" t="str">
        <x:v>Contratos / Planificación</x:v>
      </x:c>
      <x:c r="F46" s="20" t="str">
        <x:v>Pendiente</x:v>
      </x:c>
      <x:c r="G46" s="20" t="str">
        <x:v>Crítica</x:v>
      </x:c>
      <x:c r="H46" s="20" t="str">
        <x:v>Define Gate P0 contractual y riesgo de captura incompleta.</x:v>
      </x:c>
    </x:row>
    <x:row r="47" ht="52" customHeight="1">
      <x:c r="A47" s="20" t="str">
        <x:v>V41</x:v>
      </x:c>
      <x:c r="B47" s="20" t="str">
        <x:v>Planificación</x:v>
      </x:c>
      <x:c r="C47" s="20" t="str">
        <x:v>Replanificación</x:v>
      </x:c>
      <x:c r="D47" s="20" t="str">
        <x:v>¿Quién puede modificar una asignación confirmada y hasta qué momento? ¿Qué cambios requieren nueva versión?</x:v>
      </x:c>
      <x:c r="E47" s="20" t="str">
        <x:v>Planificación / Operaciones</x:v>
      </x:c>
      <x:c r="F47" s="20" t="str">
        <x:v>Pendiente</x:v>
      </x:c>
      <x:c r="G47" s="20" t="str">
        <x:v>Crítica</x:v>
      </x:c>
      <x:c r="H47" s="20" t="str">
        <x:v>Cierra versionado y trazabilidad.</x:v>
      </x:c>
    </x:row>
    <x:row r="48" ht="52" customHeight="1">
      <x:c r="A48" s="20" t="str">
        <x:v>V42</x:v>
      </x:c>
      <x:c r="B48" s="20" t="str">
        <x:v>Planificación</x:v>
      </x:c>
      <x:c r="C48" s="20" t="str">
        <x:v>Trabajo emergente</x:v>
      </x:c>
      <x:c r="D48" s="20" t="str">
        <x:v>¿Quién puede iniciar trabajo fuera de planificación y qué motivos/controles mínimos aplican?</x:v>
      </x:c>
      <x:c r="E48" s="20" t="str">
        <x:v>Operaciones / Supervisión</x:v>
      </x:c>
      <x:c r="F48" s="20" t="str">
        <x:v>Pendiente</x:v>
      </x:c>
      <x:c r="G48" s="20" t="str">
        <x:v>Crítica</x:v>
      </x:c>
      <x:c r="H48" s="20" t="str">
        <x:v>Define fallback sin menú libre.</x:v>
      </x:c>
    </x:row>
    <x:row r="49" ht="52" customHeight="1">
      <x:c r="A49" s="20" t="str">
        <x:v>V43</x:v>
      </x:c>
      <x:c r="B49" s="20" t="str">
        <x:v>Planificación</x:v>
      </x:c>
      <x:c r="C49" s="20" t="str">
        <x:v>Ruteo previsto</x:v>
      </x:c>
      <x:c r="D49" s="20" t="str">
        <x:v>¿Qué ambigüedades de TipoParte pueden quedar abiertas en Planificación y cuáles deben resolverse antes del despacho?</x:v>
      </x:c>
      <x:c r="E49" s="20" t="str">
        <x:v>Operaciones / Diseño</x:v>
      </x:c>
      <x:c r="F49" s="20" t="str">
        <x:v>Pendiente</x:v>
      </x:c>
      <x:c r="G49" s="20" t="str">
        <x:v>Alta</x:v>
      </x:c>
      <x:c r="H49" s="20" t="str">
        <x:v>Cierra Gate P3.</x:v>
      </x:c>
    </x:row>
    <x:row r="50" ht="52" customHeight="1">
      <x:c r="A50" s="20" t="str">
        <x:v>V44</x:v>
      </x:c>
      <x:c r="B50" s="20" t="str">
        <x:v>Planificación</x:v>
      </x:c>
      <x:c r="C50" s="20" t="str">
        <x:v>Mapeo previsto→real</x:v>
      </x:c>
      <x:c r="D50" s="20" t="str">
        <x:v>¿Qué escenarios reales hacen que una UnidadPlanificada produzca más de una UnidadEjecución o ningún resultado?</x:v>
      </x:c>
      <x:c r="E50" s="20" t="str">
        <x:v>Operaciones</x:v>
      </x:c>
      <x:c r="F50" s="20" t="str">
        <x:v>Pendiente</x:v>
      </x:c>
      <x:c r="G50" s="20" t="str">
        <x:v>Alta</x:v>
      </x:c>
      <x:c r="H50" s="20" t="str">
        <x:v>Define cardinalidad VínculoPlanEjecución.</x:v>
      </x:c>
    </x:row>
    <x:row r="51" ht="52" customHeight="1">
      <x:c r="A51" s="20" t="str">
        <x:v>V45</x:v>
      </x:c>
      <x:c r="B51" s="20" t="str">
        <x:v>Planificación</x:v>
      </x:c>
      <x:c r="C51" s="20" t="str">
        <x:v>Demanda</x:v>
      </x:c>
      <x:c r="D51" s="20" t="str">
        <x:v>¿De dónde nace formalmente una necesidad de trabajo: cliente, contrato, supervisor, calendario, contingencia u otros?</x:v>
      </x:c>
      <x:c r="E51" s="20" t="str">
        <x:v>Planificación / Operaciones</x:v>
      </x:c>
      <x:c r="F51" s="20" t="str">
        <x:v>Pendiente</x:v>
      </x:c>
      <x:c r="G51" s="20" t="str">
        <x:v>Alta</x:v>
      </x:c>
      <x:c r="H51" s="20" t="str">
        <x:v>Define DemandaOperativa y canales de ingreso.</x:v>
      </x:c>
    </x:row>
    <x:row r="52" ht="52" customHeight="1">
      <x:c r="A52" s="20" t="str">
        <x:v>V46</x:v>
      </x:c>
      <x:c r="B52" s="20" t="str">
        <x:v>Planificación</x:v>
      </x:c>
      <x:c r="C52" s="20" t="str">
        <x:v>Capacidad vs nominal</x:v>
      </x:c>
      <x:c r="D52" s="20" t="str">
        <x:v>¿Qué servicios se pueden planificar por tipo/cantidad de recurso y cuáles exigen identificar persona/unidad concreta desde el inicio?</x:v>
      </x:c>
      <x:c r="E52" s="20" t="str">
        <x:v>Planificación / Operaciones</x:v>
      </x:c>
      <x:c r="F52" s="20" t="str">
        <x:v>Pendiente</x:v>
      </x:c>
      <x:c r="G52" s="20" t="str">
        <x:v>Crítica</x:v>
      </x:c>
      <x:c r="H52" s="20" t="str">
        <x:v>Evita sobre-restringir el plan y mejora asignación.</x:v>
      </x:c>
    </x:row>
    <x:row r="53" ht="52" customHeight="1">
      <x:c r="A53" s="20" t="str">
        <x:v>V47</x:v>
      </x:c>
      <x:c r="B53" s="20" t="str">
        <x:v>Planificación</x:v>
      </x:c>
      <x:c r="C53" s="20" t="str">
        <x:v>Readiness</x:v>
      </x:c>
      <x:c r="D53" s="20" t="str">
        <x:v>Además de documentación, ¿qué condiciones hacen que un trabajo esté realmente listo: disponibilidad mecánica, materiales, acceso, permiso, cliente, clima, etc.?</x:v>
      </x:c>
      <x:c r="E53" s="20" t="str">
        <x:v>Operaciones / Habilita / Mantenimiento</x:v>
      </x:c>
      <x:c r="F53" s="20" t="str">
        <x:v>Pendiente</x:v>
      </x:c>
      <x:c r="G53" s="20" t="str">
        <x:v>Crítica</x:v>
      </x:c>
      <x:c r="H53" s="20" t="str">
        <x:v>Cierra Gate de readiness.</x:v>
      </x:c>
    </x:row>
    <x:row r="54" ht="52" customHeight="1">
      <x:c r="A54" s="20" t="str">
        <x:v>V48</x:v>
      </x:c>
      <x:c r="B54" s="20" t="str">
        <x:v>Certificación</x:v>
      </x:c>
      <x:c r="C54" s="20" t="str">
        <x:v>Grano comercial</x:v>
      </x:c>
      <x:c r="D54" s="20" t="str">
        <x:v>¿Cuál es la unidad mínima que Certificaciones acepta/rechaza por cada tipo contractual: ejecución, ítem, día, pozo, período u otra?</x:v>
      </x:c>
      <x:c r="E54" s="20" t="str">
        <x:v>Certificaciones / Contratos</x:v>
      </x:c>
      <x:c r="F54" s="20" t="str">
        <x:v>Pendiente</x:v>
      </x:c>
      <x:c r="G54" s="20" t="str">
        <x:v>Crítica</x:v>
      </x:c>
      <x:c r="H54" s="20" t="str">
        <x:v>Define UnidadComercial.</x:v>
      </x:c>
    </x:row>
    <x:row r="55" ht="52" customHeight="1">
      <x:c r="A55" s="20" t="str">
        <x:v>V49</x:v>
      </x:c>
      <x:c r="B55" s="20" t="str">
        <x:v>Certificación</x:v>
      </x:c>
      <x:c r="C55" s="20" t="str">
        <x:v>Parcialidad</x:v>
      </x:c>
      <x:c r="D55" s="20" t="str">
        <x:v>¿Puede aceptarse/certificarse una parte de un paquete mientras otras líneas quedan observadas?</x:v>
      </x:c>
      <x:c r="E55" s="20" t="str">
        <x:v>Certificaciones</x:v>
      </x:c>
      <x:c r="F55" s="20" t="str">
        <x:v>Pendiente</x:v>
      </x:c>
      <x:c r="G55" s="20" t="str">
        <x:v>Crítica</x:v>
      </x:c>
      <x:c r="H55" s="20" t="str">
        <x:v>Define estados y evita bloqueo total.</x:v>
      </x:c>
    </x:row>
    <x:row r="56" ht="52" customHeight="1">
      <x:c r="A56" s="20" t="str">
        <x:v>V50</x:v>
      </x:c>
      <x:c r="B56" s="20" t="str">
        <x:v>Certificación</x:v>
      </x:c>
      <x:c r="C56" s="20" t="str">
        <x:v>Ajustes</x:v>
      </x:c>
      <x:c r="D56" s="20" t="str">
        <x:v>¿Qué discrepancias se corrigen como ajuste comercial y cuáles obligan a corregir/adjuntar evidencia de la ejecución?</x:v>
      </x:c>
      <x:c r="E56" s="20" t="str">
        <x:v>Certificaciones / Operaciones</x:v>
      </x:c>
      <x:c r="F56" s="20" t="str">
        <x:v>Pendiente</x:v>
      </x:c>
      <x:c r="G56" s="20" t="str">
        <x:v>Crítica</x:v>
      </x:c>
      <x:c r="H56" s="20" t="str">
        <x:v>Protege verdad operativa.</x:v>
      </x:c>
    </x:row>
    <x:row r="57" ht="52" customHeight="1">
      <x:c r="A57" s="20" t="str">
        <x:v>V51</x:v>
      </x:c>
      <x:c r="B57" s="20" t="str">
        <x:v>Facturación</x:v>
      </x:c>
      <x:c r="C57" s="20" t="str">
        <x:v>Agrupación</x:v>
      </x:c>
      <x:c r="D57" s="20" t="str">
        <x:v>¿Cómo se agrupan certificaciones aceptadas para factura: cliente, contrato, período, centro de costo, OC u otra clave?</x:v>
      </x:c>
      <x:c r="E57" s="20" t="str">
        <x:v>Facturación / Administración</x:v>
      </x:c>
      <x:c r="F57" s="20" t="str">
        <x:v>Pendiente</x:v>
      </x:c>
      <x:c r="G57" s="20" t="str">
        <x:v>Crítica</x:v>
      </x:c>
      <x:c r="H57" s="20" t="str">
        <x:v>Define LoteFacturacion.</x:v>
      </x:c>
    </x:row>
    <x:row r="58" ht="52" customHeight="1">
      <x:c r="A58" s="20" t="str">
        <x:v>V52</x:v>
      </x:c>
      <x:c r="B58" s="20" t="str">
        <x:v>Facturación</x:v>
      </x:c>
      <x:c r="C58" s="20" t="str">
        <x:v>Requisitos emisión</x:v>
      </x:c>
      <x:c r="D58" s="20" t="str">
        <x:v>¿Qué referencias/documentos son obligatorios para emitir la factura y cuáles son exclusivos de determinados clientes?</x:v>
      </x:c>
      <x:c r="E58" s="20" t="str">
        <x:v>Facturación / Administración</x:v>
      </x:c>
      <x:c r="F58" s="20" t="str">
        <x:v>Pendiente</x:v>
      </x:c>
      <x:c r="G58" s="20" t="str">
        <x:v>Alta</x:v>
      </x:c>
      <x:c r="H58" s="20" t="str">
        <x:v>Define ReglaFacturacion sin hardcodear clientes.</x:v>
      </x:c>
    </x:row>
    <x:row r="59" ht="52" customHeight="1">
      <x:c r="A59" s="20" t="str">
        <x:v>V53</x:v>
      </x:c>
      <x:c r="B59" s="20" t="str">
        <x:v>TP-01</x:v>
      </x:c>
      <x:c r="C59" s="20" t="str">
        <x:v>Frontera work package</x:v>
      </x:c>
      <x:c r="D59" s="20" t="str">
        <x:v>¿Qué cambio define que una intervención dejó de ser la misma: nuevo objetivo, nueva OT, nuevo activo, nueva ubicación, nuevo servicio u otra condición?</x:v>
      </x:c>
      <x:c r="E59" s="20" t="str">
        <x:v>Operaciones / Supervisión</x:v>
      </x:c>
      <x:c r="F59" s="20" t="str">
        <x:v>Pendiente</x:v>
      </x:c>
      <x:c r="G59" s="20" t="str">
        <x:v>Crítica</x:v>
      </x:c>
      <x:c r="H59" s="20" t="str">
        <x:v>Define identidad y regla de corte TP-01.</x:v>
      </x:c>
    </x:row>
    <x:row r="60" ht="52" customHeight="1">
      <x:c r="A60" s="20" t="str">
        <x:v>V54</x:v>
      </x:c>
      <x:c r="B60" s="20" t="str">
        <x:v>TP-01</x:v>
      </x:c>
      <x:c r="C60" s="20" t="str">
        <x:v>Cambio de turno</x:v>
      </x:c>
      <x:c r="D60" s="20" t="str">
        <x:v>Si una intervención cruza turno, ¿se mantiene el Parte con handover/revalidación o se exige nuevo Parte? ¿Depende del cliente/servicio?</x:v>
      </x:c>
      <x:c r="E60" s="20" t="str">
        <x:v>Operaciones / Habilita</x:v>
      </x:c>
      <x:c r="F60" s="20" t="str">
        <x:v>Pendiente</x:v>
      </x:c>
      <x:c r="G60" s="20" t="str">
        <x:v>Crítica</x:v>
      </x:c>
      <x:c r="H60" s="20" t="str">
        <x:v>Define corte temporal y PTW.</x:v>
      </x:c>
    </x:row>
    <x:row r="61" ht="52" customHeight="1">
      <x:c r="A61" s="20" t="str">
        <x:v>V55</x:v>
      </x:c>
      <x:c r="B61" s="20" t="str">
        <x:v>TP-01</x:v>
      </x:c>
      <x:c r="C61" s="20" t="str">
        <x:v>Permiso 1:N</x:v>
      </x:c>
      <x:c r="D61" s="20" t="str">
        <x:v>¿Una intervención puede requerir más de un permiso simultáneo/secuencial (hot work, espacio confinado, excavación, etc.)?</x:v>
      </x:c>
      <x:c r="E61" s="20" t="str">
        <x:v>Habilita / Operaciones</x:v>
      </x:c>
      <x:c r="F61" s="20" t="str">
        <x:v>Pendiente</x:v>
      </x:c>
      <x:c r="G61" s="20" t="str">
        <x:v>Crítica</x:v>
      </x:c>
      <x:c r="H61" s="20" t="str">
        <x:v>Define cardinalidad y gates.</x:v>
      </x:c>
    </x:row>
    <x:row r="62" ht="52" customHeight="1">
      <x:c r="A62" s="20" t="str">
        <x:v>V56</x:v>
      </x:c>
      <x:c r="B62" s="20" t="str">
        <x:v>TP-01</x:v>
      </x:c>
      <x:c r="C62" s="20" t="str">
        <x:v>Suspensión PTW</x:v>
      </x:c>
      <x:c r="D62" s="20" t="str">
        <x:v>Cuando el permiso vence/se suspende, ¿el Parte queda en pausa y continúa luego o se cierra y abre otro?</x:v>
      </x:c>
      <x:c r="E62" s="20" t="str">
        <x:v>Habilita / Operaciones</x:v>
      </x:c>
      <x:c r="F62" s="20" t="str">
        <x:v>Pendiente</x:v>
      </x:c>
      <x:c r="G62" s="20" t="str">
        <x:v>Crítica</x:v>
      </x:c>
      <x:c r="H62" s="20" t="str">
        <x:v>Define estado suspendido vs corte.</x:v>
      </x:c>
    </x:row>
    <x:row r="63" ht="52" customHeight="1">
      <x:c r="A63" s="20" t="str">
        <x:v>V57</x:v>
      </x:c>
      <x:c r="B63" s="20" t="str">
        <x:v>TP-01</x:v>
      </x:c>
      <x:c r="C63" s="20" t="str">
        <x:v>Firma solicitante</x:v>
      </x:c>
      <x:c r="D63" s="20" t="str">
        <x:v>¿La firma del solicitante/cliente valida la intervención completa, una subactividad o solo conformidad comercial posterior?</x:v>
      </x:c>
      <x:c r="E63" s="20" t="str">
        <x:v>Operaciones / Certificaciones</x:v>
      </x:c>
      <x:c r="F63" s="20" t="str">
        <x:v>Pendiente</x:v>
      </x:c>
      <x:c r="G63" s="20" t="str">
        <x:v>Crítica</x:v>
      </x:c>
      <x:c r="H63" s="20" t="str">
        <x:v>Define Evidencia scope.</x:v>
      </x:c>
    </x:row>
    <x:row r="64" ht="52" customHeight="1">
      <x:c r="A64" s="20" t="str">
        <x:v>V58</x:v>
      </x:c>
      <x:c r="B64" s="20" t="str">
        <x:v>TP-01</x:v>
      </x:c>
      <x:c r="C64" s="20" t="str">
        <x:v>Orden de Trabajo</x:v>
      </x:c>
      <x:c r="D64" s="20" t="str">
        <x:v>¿Qué servicios/clientes usan OT externa y qué relación tiene con intervención, Parte y certificación?</x:v>
      </x:c>
      <x:c r="E64" s="20" t="str">
        <x:v>Operaciones / Cliente</x:v>
      </x:c>
      <x:c r="F64" s="20" t="str">
        <x:v>Pendiente</x:v>
      </x:c>
      <x:c r="G64" s="20" t="str">
        <x:v>Alta</x:v>
      </x:c>
      <x:c r="H64" s="20" t="str">
        <x:v>Define referencia externa y posible agrupación.</x:v>
      </x:c>
    </x:row>
    <x:row r="65" ht="52" customHeight="1">
      <x:c r="A65" s="20" t="str">
        <x:v>V59</x:v>
      </x:c>
      <x:c r="B65" s="20" t="str">
        <x:v>TP-01</x:v>
      </x:c>
      <x:c r="C65" s="20" t="str">
        <x:v>Activo vs ubicación</x:v>
      </x:c>
      <x:c r="D65" s="20" t="str">
        <x:v>¿Qué intervenciones se identifican principalmente por activo/equipo y cuáles por ubicación técnica?</x:v>
      </x:c>
      <x:c r="E65" s="20" t="str">
        <x:v>Operaciones / Mantenimiento</x:v>
      </x:c>
      <x:c r="F65" s="20" t="str">
        <x:v>Pendiente</x:v>
      </x:c>
      <x:c r="G65" s="20" t="str">
        <x:v>Alta</x:v>
      </x:c>
      <x:c r="H65" s="20" t="str">
        <x:v>Define objeto técnico de la intervención.</x:v>
      </x:c>
    </x:row>
    <x:row r="66" ht="52" customHeight="1">
      <x:c r="A66" s="20" t="str">
        <x:v>V60</x:v>
      </x:c>
      <x:c r="B66" s="20" t="str">
        <x:v>TP-01</x:v>
      </x:c>
      <x:c r="C66" s="20" t="str">
        <x:v>Handover temporal</x:v>
      </x:c>
      <x:c r="D66" s="20" t="str">
        <x:v>Cuando cambia turno/personas dentro de la misma intervención, ¿qué evento mínimo debe registrar el sistema y quién lo confirma?</x:v>
      </x:c>
      <x:c r="E66" s="20" t="str">
        <x:v>Operaciones / Habilita</x:v>
      </x:c>
      <x:c r="F66" s="20" t="str">
        <x:v>Pendiente</x:v>
      </x:c>
      <x:c r="G66" s="20" t="str">
        <x:v>Crítica</x:v>
      </x:c>
      <x:c r="H66" s="20" t="str">
        <x:v>Cierra AsignacionPersonaEjecucion + handover sin imponer split universal.</x:v>
      </x:c>
    </x:row>
    <x:row r="67" ht="52" customHeight="1">
      <x:c r="A67" s="20" t="str">
        <x:v>V61</x:v>
      </x:c>
      <x:c r="B67" s="20" t="str">
        <x:v>Control Plane</x:v>
      </x:c>
      <x:c r="C67" s="20" t="str">
        <x:v>Directivas</x:v>
      </x:c>
      <x:c r="D67" s="20" t="str">
        <x:v>¿Qué directivas pueden llegar a una ejecución iniciada y cuáles requieren acknowledgement, suspensión inmediata o solo aviso?</x:v>
      </x:c>
      <x:c r="E67" s="20" t="str">
        <x:v>Planificación / Supervisión / Operaciones</x:v>
      </x:c>
      <x:c r="F67" s="20" t="str">
        <x:v>Pendiente</x:v>
      </x:c>
      <x:c r="G67" s="20" t="str">
        <x:v>Crítica</x:v>
      </x:c>
      <x:c r="H67" s="20" t="str">
        <x:v>Define DirectivaOperativa y semántica offline.</x:v>
      </x:c>
    </x:row>
    <x:row r="68" ht="52" customHeight="1">
      <x:c r="A68" s="20" t="str">
        <x:v>V62</x:v>
      </x:c>
      <x:c r="B68" s="20" t="str">
        <x:v>Offline</x:v>
      </x:c>
      <x:c r="C68" s="20" t="str">
        <x:v>Bundle mínimo</x:v>
      </x:c>
      <x:c r="D68" s="20" t="str">
        <x:v>¿Qué ventana/asignaciones y catálogos mínimos necesita una cuadrilla para operar razonablemente sin conectividad?</x:v>
      </x:c>
      <x:c r="E68" s="20" t="str">
        <x:v>Operaciones / Tecnología</x:v>
      </x:c>
      <x:c r="F68" s="20" t="str">
        <x:v>Pendiente</x:v>
      </x:c>
      <x:c r="G68" s="20" t="str">
        <x:v>Alta</x:v>
      </x:c>
      <x:c r="H68" s="20" t="str">
        <x:v>Dimensiona ExecutionContextBundle.</x:v>
      </x:c>
    </x:row>
    <x:row r="69" ht="52" customHeight="1">
      <x:c r="A69" s="20" t="str">
        <x:v>V63</x:v>
      </x:c>
      <x:c r="B69" s="20" t="str">
        <x:v>Recursos</x:v>
      </x:c>
      <x:c r="C69" s="20" t="str">
        <x:v>Disponibilidad</x:v>
      </x:c>
      <x:c r="D69" s="20" t="str">
        <x:v>¿Cuál es la fuente operativa confiable para saber que un recurso está disponible, reservado, en mantenimiento o fuera de servicio?</x:v>
      </x:c>
      <x:c r="E69" s="20" t="str">
        <x:v>Flota / Mantenimiento / Operaciones</x:v>
      </x:c>
      <x:c r="F69" s="20" t="str">
        <x:v>Pendiente</x:v>
      </x:c>
      <x:c r="G69" s="20" t="str">
        <x:v>Crítica</x:v>
      </x:c>
      <x:c r="H69" s="20" t="str">
        <x:v>Cierra readiness de recursos.</x:v>
      </x:c>
    </x:row>
    <x:row r="70" ht="52" customHeight="1">
      <x:c r="A70" s="20" t="str">
        <x:v>V64</x:v>
      </x:c>
      <x:c r="B70" s="20" t="str">
        <x:v>Correcciones</x:v>
      </x:c>
      <x:c r="C70" s="20" t="str">
        <x:v>EnmiendaOperativa</x:v>
      </x:c>
      <x:c r="D70" s="20" t="str">
        <x:v>¿Quién puede solicitar/aprobar una enmienda y qué campos/evidencias requieren doble validación?</x:v>
      </x:c>
      <x:c r="E70" s="20" t="str">
        <x:v>Operaciones / Supervisión / Auditoría</x:v>
      </x:c>
      <x:c r="F70" s="20" t="str">
        <x:v>Pendiente</x:v>
      </x:c>
      <x:c r="G70" s="20" t="str">
        <x:v>Crítica</x:v>
      </x:c>
      <x:c r="H70" s="20" t="str">
        <x:v>Protege inmutabilidad sin contaminar KPIs.</x:v>
      </x:c>
    </x:row>
    <x:row r="71" ht="52" customHeight="1">
      <x:c r="A71" s="20" t="str">
        <x:v>V65</x:v>
      </x:c>
      <x:c r="B71" s="20" t="str">
        <x:v>Ubicación</x:v>
      </x:c>
      <x:c r="C71" s="20" t="str">
        <x:v>Resolución automática</x:v>
      </x:c>
      <x:c r="D71" s="20" t="str">
        <x:v>¿Qué fuentes/jerarquía son confiables por servicio para sugerir ubicación sin obligar a buscar en catálogos masivos?</x:v>
      </x:c>
      <x:c r="E71" s="20" t="str">
        <x:v>Operaciones / Tecnología</x:v>
      </x:c>
      <x:c r="F71" s="20" t="str">
        <x:v>Pendiente</x:v>
      </x:c>
      <x:c r="G71" s="20" t="str">
        <x:v>Alta</x:v>
      </x:c>
      <x:c r="H71" s="20" t="str">
        <x:v>Protege UX &lt;2 min.</x:v>
      </x:c>
    </x:row>
    <x:row r="72" ht="52" customHeight="1">
      <x:c r="A72" s="20" t="str">
        <x:v>V66</x:v>
      </x:c>
      <x:c r="B72" s="20" t="str">
        <x:v>PTW</x:v>
      </x:c>
      <x:c r="C72" s="20" t="str">
        <x:v>Cierre administrativo</x:v>
      </x:c>
      <x:c r="D72" s="20" t="str">
        <x:v>¿Qué causas permiten cierre administrativo de un PTW y qué rol debe autorizarlo?</x:v>
      </x:c>
      <x:c r="E72" s="20" t="str">
        <x:v>Habilita / Supervisión</x:v>
      </x:c>
      <x:c r="F72" s="20" t="str">
        <x:v>Pendiente</x:v>
      </x:c>
      <x:c r="G72" s="20" t="str">
        <x:v>Crítica</x:v>
      </x:c>
      <x:c r="H72" s="20" t="str">
        <x:v>Evita permisos zombie sin autocierre inseguro.</x:v>
      </x:c>
    </x:row>
    <x:row r="73" ht="54" customHeight="1">
      <x:c r="A73" s="20" t="str">
        <x:v>V67</x:v>
      </x:c>
      <x:c r="B73" s="20" t="str">
        <x:v>Tiempo</x:v>
      </x:c>
      <x:c r="C73" s="20" t="str">
        <x:v>Transiciones</x:v>
      </x:c>
      <x:c r="D73" s="20" t="str">
        <x:v>Cuando un recurso/persona termina un Parte y se traslada a otro, ¿a qué objeto/imputación pertenece ese tiempo de transición?</x:v>
      </x:c>
      <x:c r="E73" s="20" t="str">
        <x:v>Operaciones / Certificaciones</x:v>
      </x:c>
      <x:c r="F73" s="20" t="str">
        <x:v>Pendiente</x:v>
      </x:c>
      <x:c r="G73" s="20" t="str">
        <x:v>Crítica</x:v>
      </x:c>
      <x:c r="H73" s="20" t="str">
        <x:v>Evita tiempo huérfano o doble contabilización.</x:v>
      </x:c>
    </x:row>
    <x:row r="74" ht="54" customHeight="1">
      <x:c r="A74" s="20" t="str">
        <x:v>V68</x:v>
      </x:c>
      <x:c r="B74" s="20" t="str">
        <x:v>Contratos</x:v>
      </x:c>
      <x:c r="C74" s="20" t="str">
        <x:v>Tratamiento de tiempos</x:v>
      </x:c>
      <x:c r="D74" s="20" t="str">
        <x:v>¿Traslado, stand-by, suspensión, espera, carga/descarga se certifican igual o distinto según contrato/ítem?</x:v>
      </x:c>
      <x:c r="E74" s="20" t="str">
        <x:v>Contratos / Certificaciones</x:v>
      </x:c>
      <x:c r="F74" s="20" t="str">
        <x:v>Pendiente</x:v>
      </x:c>
      <x:c r="G74" s="20" t="str">
        <x:v>Crítica</x:v>
      </x:c>
      <x:c r="H74" s="20" t="str">
        <x:v>Cierra ReglaTratamientoTiempo.</x:v>
      </x:c>
    </x:row>
    <x:row r="75" ht="54" customHeight="1">
      <x:c r="A75" s="20" t="str">
        <x:v>V69</x:v>
      </x:c>
      <x:c r="B75" s="20" t="str">
        <x:v>Planificación</x:v>
      </x:c>
      <x:c r="C75" s="20" t="str">
        <x:v>Vigencia Readiness</x:v>
      </x:c>
      <x:c r="D75" s="20" t="str">
        <x:v>¿Qué cambios deben invalidar automáticamente un READY confirmado y con qué anticipación se alerta?</x:v>
      </x:c>
      <x:c r="E75" s="20" t="str">
        <x:v>Planificación / Control Documental / Flota</x:v>
      </x:c>
      <x:c r="F75" s="20" t="str">
        <x:v>Pendiente</x:v>
      </x:c>
      <x:c r="G75" s="20" t="str">
        <x:v>Crítica</x:v>
      </x:c>
      <x:c r="H75" s="20" t="str">
        <x:v>Evita despachar con snapshot obsoleto.</x:v>
      </x:c>
    </x:row>
    <x:row r="76" ht="54" customHeight="1">
      <x:c r="A76" s="20" t="str">
        <x:v>V70</x:v>
      </x:c>
      <x:c r="B76" s="20" t="str">
        <x:v>Certificación</x:v>
      </x:c>
      <x:c r="C76" s="20" t="str">
        <x:v>Parcialidad</x:v>
      </x:c>
      <x:c r="D76" s="20" t="str">
        <x:v>¿Qué contratos/clientes permiten aceptar parcialmente un PaqueteCertificacion?</x:v>
      </x:c>
      <x:c r="E76" s="20" t="str">
        <x:v>Certificaciones / Contratos</x:v>
      </x:c>
      <x:c r="F76" s="20" t="str">
        <x:v>Pendiente</x:v>
      </x:c>
      <x:c r="G76" s="20" t="str">
        <x:v>Crítica</x:v>
      </x:c>
      <x:c r="H76" s="20" t="str">
        <x:v>Cierra ReglaParcialidadCertificacion.</x:v>
      </x:c>
    </x:row>
    <x:row r="77" ht="54" customHeight="1">
      <x:c r="A77" s="20" t="str">
        <x:v>V71</x:v>
      </x:c>
      <x:c r="B77" s="20" t="str">
        <x:v>Offline</x:v>
      </x:c>
      <x:c r="C77" s="20" t="str">
        <x:v>Frescura contexto</x:v>
      </x:c>
      <x:c r="D77" s="20" t="str">
        <x:v>¿Qué operaciones requieren sincronización fresca antes de iniciar y cuáles pueden arrancar offline con bundle vigente/override?</x:v>
      </x:c>
      <x:c r="E77" s="20" t="str">
        <x:v>Operaciones / Habilita / Tecnología</x:v>
      </x:c>
      <x:c r="F77" s="20" t="str">
        <x:v>Pendiente</x:v>
      </x:c>
      <x:c r="G77" s="20" t="str">
        <x:v>Crítica</x:v>
      </x:c>
      <x:c r="H77" s="20" t="str">
        <x:v>Cierra cancelaciones/cambios no recibidos.</x:v>
      </x:c>
    </x:row>
    <x:row r="78" ht="54" customHeight="1">
      <x:c r="A78" s="20" t="str">
        <x:v>V72</x:v>
      </x:c>
      <x:c r="B78" s="20" t="str">
        <x:v>Correcciones</x:v>
      </x:c>
      <x:c r="C78" s="20" t="str">
        <x:v>Enmienda downstream</x:v>
      </x:c>
      <x:c r="D78" s="20" t="str">
        <x:v>Si una EnmiendaOperativa ocurre luego de generar o enviar una UnidadComercial/Paquete, ¿qué objetos se recalculan y qué pasa si ya fue aceptado?</x:v>
      </x:c>
      <x:c r="E78" s="20" t="str">
        <x:v>Certificaciones / Operaciones / Administración</x:v>
      </x:c>
      <x:c r="F78" s="20" t="str">
        <x:v>Pendiente</x:v>
      </x:c>
      <x:c r="G78" s="20" t="str">
        <x:v>Crítica</x:v>
      </x:c>
      <x:c r="H78" s="20" t="str">
        <x:v>Cierra lineage y reversión/revisión.</x:v>
      </x:c>
    </x:row>
    <x:row r="79" ht="54" customHeight="1">
      <x:c r="A79" s="20" t="str">
        <x:v>V73</x:v>
      </x:c>
      <x:c r="B79" s="20" t="str">
        <x:v>Temporalidad</x:v>
      </x:c>
      <x:c r="C79" s="20" t="str">
        <x:v>Solapamientos</x:v>
      </x:c>
      <x:c r="D79" s="20" t="str">
        <x:v>¿Qué roles/personas/recursos son exclusivos y cuáles pueden estar asociados a ejecuciones simultáneas?</x:v>
      </x:c>
      <x:c r="E79" s="20" t="str">
        <x:v>Operaciones / Planificación</x:v>
      </x:c>
      <x:c r="F79" s="20" t="str">
        <x:v>Pendiente</x:v>
      </x:c>
      <x:c r="G79" s="20" t="str">
        <x:v>Alta</x:v>
      </x:c>
      <x:c r="H79" s="20" t="str">
        <x:v>Cierra ReglaSolapamientoTemporal.</x:v>
      </x:c>
    </x:row>
    <x:row r="80" ht="54" customHeight="1">
      <x:c r="A80" s="20" t="str">
        <x:v>V74</x:v>
      </x:c>
      <x:c r="B80" s="20" t="str">
        <x:v>Certificación</x:v>
      </x:c>
      <x:c r="C80" s="20" t="str">
        <x:v>Grano comercial</x:v>
      </x:c>
      <x:c r="D80" s="20" t="str">
        <x:v>Por cada tipo contractual, ¿la UnidadComercial nace por ejecución, ítem, movimiento, intervención, día o período?</x:v>
      </x:c>
      <x:c r="E80" s="20" t="str">
        <x:v>Contratos / Certificaciones</x:v>
      </x:c>
      <x:c r="F80" s="20" t="str">
        <x:v>Pendiente</x:v>
      </x:c>
      <x:c r="G80" s="20" t="str">
        <x:v>Crítica</x:v>
      </x:c>
      <x:c r="H80" s="20" t="str">
        <x:v>Cierra ReglaGranoUnidadComercial.</x:v>
      </x:c>
    </x:row>
    <x:row r="81" ht="54" customHeight="1">
      <x:c r="A81" s="20" t="str">
        <x:v>V75</x:v>
      </x:c>
      <x:c r="B81" s="20" t="str">
        <x:v>Gobernanza</x:v>
      </x:c>
      <x:c r="C81" s="20" t="str">
        <x:v>Override</x:v>
      </x:c>
      <x:c r="D81" s="20" t="str">
        <x:v>¿Qué advertencias pueden ser overrideadas, por quién y qué evidencia/justificación exige cada caso?</x:v>
      </x:c>
      <x:c r="E81" s="20" t="str">
        <x:v>Operaciones / Habilita / Control Documental</x:v>
      </x:c>
      <x:c r="F81" s="20" t="str">
        <x:v>Pendiente</x:v>
      </x:c>
      <x:c r="G81" s="20" t="str">
        <x:v>Crítica</x:v>
      </x:c>
      <x:c r="H81" s="20" t="str">
        <x:v>Formaliza OverrideGate y responsabilidad.</x:v>
      </x:c>
    </x:row>
    <x:row r="82" ht="54" customHeight="1">
      <x:c r="A82" s="20" t="str">
        <x:v>V76</x:v>
      </x:c>
      <x:c r="B82" s="20" t="str">
        <x:v>Habilita</x:v>
      </x:c>
      <x:c r="C82" s="20" t="str">
        <x:v>Alcance del dominio</x:v>
      </x:c>
      <x:c r="D82" s="20" t="str">
        <x:v>¿Qué categorías concretas activa VDS dentro de EventoHabilita y qué extensiones requiere cada una?</x:v>
      </x:c>
      <x:c r="E82" s="20" t="str">
        <x:v>Habilita / Operaciones</x:v>
      </x:c>
      <x:c r="F82" s="20" t="str">
        <x:v>Estructura resuelta / catálogo pendiente</x:v>
      </x:c>
      <x:c r="G82" s="20" t="str">
        <x:v>Alta</x:v>
      </x:c>
      <x:c r="H82" s="20" t="str">
        <x:v>Core EventoHabilita + extensiones ya decidido; solo falta catálogo CAT-51.</x:v>
      </x:c>
    </x:row>
    <x:row r="83" ht="54" customHeight="1">
      <x:c r="A83" s="20" t="str">
        <x:v>V77</x:v>
      </x:c>
      <x:c r="B83" s="20" t="str">
        <x:v>Habilita</x:v>
      </x:c>
      <x:c r="C83" s="20" t="str">
        <x:v>Escalamiento</x:v>
      </x:c>
      <x:c r="D83" s="20" t="str">
        <x:v>¿Qué combinación de tipo + severidad real/potencial obliga a abrir CasoHabilita/investigación?</x:v>
      </x:c>
      <x:c r="E83" s="20" t="str">
        <x:v>Habilita</x:v>
      </x:c>
      <x:c r="F83" s="20" t="str">
        <x:v>Pendiente</x:v>
      </x:c>
      <x:c r="G83" s="20" t="str">
        <x:v>Crítica</x:v>
      </x:c>
      <x:c r="H83" s="20" t="str">
        <x:v>Cierra ReglaEscalamientoHabilita.</x:v>
      </x:c>
    </x:row>
    <x:row r="84" ht="54" customHeight="1">
      <x:c r="A84" s="20" t="str">
        <x:v>V78</x:v>
      </x:c>
      <x:c r="B84" s="20" t="str">
        <x:v>Habilita</x:v>
      </x:c>
      <x:c r="C84" s="20" t="str">
        <x:v>Acción inmediata</x:v>
      </x:c>
      <x:c r="D84" s="20" t="str">
        <x:v>¿Qué eventos deben disparar automáticamente una DirectivaOperativa SUSPENDER o suspensión de PTW?</x:v>
      </x:c>
      <x:c r="E84" s="20" t="str">
        <x:v>Habilita / Operaciones</x:v>
      </x:c>
      <x:c r="F84" s="20" t="str">
        <x:v>Pendiente</x:v>
      </x:c>
      <x:c r="G84" s="20" t="str">
        <x:v>Crítica</x:v>
      </x:c>
      <x:c r="H84" s="20" t="str">
        <x:v>Conecta Habilita con Control Plane.</x:v>
      </x:c>
    </x:row>
    <x:row r="85" ht="54" customHeight="1">
      <x:c r="A85" s="20" t="str">
        <x:v>V79</x:v>
      </x:c>
      <x:c r="B85" s="20" t="str">
        <x:v>Habilita</x:v>
      </x:c>
      <x:c r="C85" s="20" t="str">
        <x:v>Reporte inicial</x:v>
      </x:c>
      <x:c r="D85" s="20" t="str">
        <x:v>Validar excepciones al contrato mínimo de Flash Report ya definido (autoderivado + confirmación + 3 inputs humanos).</x:v>
      </x:c>
      <x:c r="E85" s="20" t="str">
        <x:v>Habilita / Operaciones</x:v>
      </x:c>
      <x:c r="F85" s="20" t="str">
        <x:v>Default arquitectónico definido</x:v>
      </x:c>
      <x:c r="G85" s="20" t="str">
        <x:v>Alta</x:v>
      </x:c>
      <x:c r="H85" s="20" t="str">
        <x:v>No bloquea core; puede ajustar obligatoriedad por tipo de evento.</x:v>
      </x:c>
    </x:row>
    <x:row r="86" ht="54" customHeight="1">
      <x:c r="A86" s="20" t="str">
        <x:v>V80</x:v>
      </x:c>
      <x:c r="B86" s="20" t="str">
        <x:v>Habilita</x:v>
      </x:c>
      <x:c r="C86" s="20" t="str">
        <x:v>Incidente ambiental</x:v>
      </x:c>
      <x:c r="D86" s="20" t="str">
        <x:v>Para derrames/liberaciones, ¿qué magnitudes son obligatorias inicialmente y cuáles pueden completarse después?</x:v>
      </x:c>
      <x:c r="E86" s="20" t="str">
        <x:v>Habilita / Ambiente</x:v>
      </x:c>
      <x:c r="F86" s="20" t="str">
        <x:v>Pendiente</x:v>
      </x:c>
      <x:c r="G86" s="20" t="str">
        <x:v>Alta</x:v>
      </x:c>
      <x:c r="H86" s="20" t="str">
        <x:v>Cierra MedicionEventoHabilita y extensión ambiental.</x:v>
      </x:c>
    </x:row>
    <x:row r="87" ht="54" customHeight="1">
      <x:c r="A87" s="20" t="str">
        <x:v>V81</x:v>
      </x:c>
      <x:c r="B87" s="20" t="str">
        <x:v>Habilita</x:v>
      </x:c>
      <x:c r="C87" s="20" t="str">
        <x:v>Notificaciones</x:v>
      </x:c>
      <x:c r="D87" s="20" t="str">
        <x:v>¿Qué eventos exigen notificación a cliente/autoridad y con qué plazos/roles?</x:v>
      </x:c>
      <x:c r="E87" s="20" t="str">
        <x:v>Habilita / Legal / Cliente</x:v>
      </x:c>
      <x:c r="F87" s="20" t="str">
        <x:v>Pendiente</x:v>
      </x:c>
      <x:c r="G87" s="20" t="str">
        <x:v>Crítica</x:v>
      </x:c>
      <x:c r="H87" s="20" t="str">
        <x:v>Cierra ReglaEscalamiento/NotificacionHabilita.</x:v>
      </x:c>
    </x:row>
    <x:row r="88" ht="54" customHeight="1">
      <x:c r="A88" s="20" t="str">
        <x:v>V82</x:v>
      </x:c>
      <x:c r="B88" s="20" t="str">
        <x:v>Habilita</x:v>
      </x:c>
      <x:c r="C88" s="20" t="str">
        <x:v>Cierre</x:v>
      </x:c>
      <x:c r="D88" s="20" t="str">
        <x:v>¿Qué condiciones deben cumplirse para cerrar un CasoHabilita: investigación terminada, acciones emitidas, acciones verificadas u otra?</x:v>
      </x:c>
      <x:c r="E88" s="20" t="str">
        <x:v>Habilita</x:v>
      </x:c>
      <x:c r="F88" s="20" t="str">
        <x:v>Pendiente</x:v>
      </x:c>
      <x:c r="G88" s="20" t="str">
        <x:v>Alta</x:v>
      </x:c>
      <x:c r="H88" s="20" t="str">
        <x:v>Cierra máquina de estados.</x:v>
      </x:c>
    </x:row>
    <x:row r="89" ht="54" customHeight="1">
      <x:c r="A89" s="20" t="str">
        <x:v>V83</x:v>
      </x:c>
      <x:c r="B89" s="20" t="str">
        <x:v>Habilita</x:v>
      </x:c>
      <x:c r="C89" s="20" t="str">
        <x:v>Múltiples operaciones</x:v>
      </x:c>
      <x:c r="D89" s="20" t="str">
        <x:v>Validar casos extremos de un EventoHabilita vinculado a múltiples UE; relación N:M ya adoptada.</x:v>
      </x:c>
      <x:c r="E89" s="20" t="str">
        <x:v>Habilita / Operaciones</x:v>
      </x:c>
      <x:c r="F89" s="20" t="str">
        <x:v>Estructura resuelta</x:v>
      </x:c>
      <x:c r="G89" s="20" t="str">
        <x:v>Media</x:v>
      </x:c>
      <x:c r="H89" s="20" t="str">
        <x:v>No bloquea REV E.</x:v>
      </x:c>
    </x:row>
    <x:row r="90" ht="54" customHeight="1">
      <x:c r="A90" s="20" t="str">
        <x:v>V84</x:v>
      </x:c>
      <x:c r="B90" s="20" t="str">
        <x:v>Habilita</x:v>
      </x:c>
      <x:c r="C90" s="20" t="str">
        <x:v>Impacto comercial</x:v>
      </x:c>
      <x:c r="D90" s="20" t="str">
        <x:v>¿Qué consecuencias Habilita pueden alterar tiempos/mediciones reconocibles y cómo se decide sin usar el EventoHabilita como UnidadComercial?</x:v>
      </x:c>
      <x:c r="E90" s="20" t="str">
        <x:v>Contratos / Certificaciones / Habilita</x:v>
      </x:c>
      <x:c r="F90" s="20" t="str">
        <x:v>Pendiente</x:v>
      </x:c>
      <x:c r="G90" s="20" t="str">
        <x:v>Alta</x:v>
      </x:c>
      <x:c r="H90" s="20" t="str">
        <x:v>Mantiene separación Habilita-Comercial.</x:v>
      </x:c>
    </x:row>
    <x:row r="91" ht="54" customHeight="1">
      <x:c r="A91" s="20" t="str">
        <x:v>V85</x:v>
      </x:c>
      <x:c r="B91" s="20" t="str">
        <x:v>Habilita</x:v>
      </x:c>
      <x:c r="C91" s="20" t="str">
        <x:v>Propiedad de acciones</x:v>
      </x:c>
      <x:c r="D91" s="20" t="str">
        <x:v>Definir si AccionCorrectivaHabilita se materializa en módulo Habilita o sistema corporativo general.</x:v>
      </x:c>
      <x:c r="E91" s="20" t="str">
        <x:v>Habilita / Procesos</x:v>
      </x:c>
      <x:c r="F91" s="20" t="str">
        <x:v>Implementación posterior</x:v>
      </x:c>
      <x:c r="G91" s="20" t="str">
        <x:v>Media</x:v>
      </x:c>
      <x:c r="H91" s="20" t="str">
        <x:v>No cambia el lifecycle lógico independiente.</x:v>
      </x:c>
    </x:row>
  </x:sheetData>
  <x:conditionalFormatting sqref="H2:H16">
    <x:cfRule type="expression" dxfId="3" priority="1">
      <x:formula>H2="Pendiente"</x:formula>
    </x:cfRule>
  </x:conditionalFormatting>
  <x:conditionalFormatting sqref="C2:C16">
    <x:cfRule type="expression" dxfId="4" priority="2">
      <x:formula>C2="Crítica"</x:formula>
    </x:cfRule>
  </x:conditionalFormatting>
  <x:dataValidations count="2">
    <x:dataValidation type="list" sqref="H2:H16">
      <x:formula1>99_Listas!$D$2:$D$5</x:formula1>
    </x:dataValidation>
    <x:dataValidation type="list" sqref="C2:C16">
      <x:formula1>99_Listas!$E$2:$E$5</x:formula1>
    </x:dataValidation>
  </x:dataValidations>
  <x:pageMargins left="0.7" right="0.7" top="0.75" bottom="0.75" header="0.3" footer="0.3"/>
  <x:tableParts count="1">
    <x:tablePart xmlns:r="http://schemas.openxmlformats.org/officeDocument/2006/relationships" r:id="Rf988f2ed87db4050"/>
  </x:tableParts>
</x:worksheet>
</file>

<file path=xl/worksheets/sheet5.xml><?xml version="1.0" encoding="utf-8"?>
<x:worksheet xmlns:x="http://schemas.openxmlformats.org/spreadsheetml/2006/main">
  <x:sheetFormatPr defaultRowHeight="15"/>
  <x:cols>
    <x:col min="1" max="1" width="10" hidden="0" customWidth="1"/>
    <x:col min="2" max="2" width="24" hidden="0" customWidth="1"/>
    <x:col min="3" max="3" width="44" hidden="0" customWidth="1"/>
    <x:col min="4" max="4" width="24" hidden="0" customWidth="1"/>
    <x:col min="5" max="5" width="12" hidden="0" customWidth="1"/>
    <x:col min="6" max="6" width="22" hidden="0" customWidth="1"/>
    <x:col min="7" max="7" width="18" hidden="0" customWidth="1"/>
    <x:col min="8" max="8" width="40" hidden="0" customWidth="1"/>
  </x:cols>
  <x:sheetData>
    <x:row r="1" ht="30" customHeight="1">
      <x:c r="A1" s="52" t="str">
        <x:v>CAT-ID</x:v>
      </x:c>
      <x:c r="B1" s="52" t="str">
        <x:v>Catálogo candidato</x:v>
      </x:c>
      <x:c r="C1" s="52" t="str">
        <x:v>Para qué sirve</x:v>
      </x:c>
      <x:c r="D1" s="52" t="str">
        <x:v>Conceptos v0 asociados</x:v>
      </x:c>
      <x:c r="E1" s="52" t="str">
        <x:v>Prioridad</x:v>
      </x:c>
      <x:c r="F1" s="52" t="str">
        <x:v>Estado</x:v>
      </x:c>
      <x:c r="G1" s="52" t="str">
        <x:v>¿Input manual evita?</x:v>
      </x:c>
      <x:c r="H1" s="52" t="str">
        <x:v>Validación pendiente</x:v>
      </x:c>
    </x:row>
    <x:row r="2">
      <x:c r="A2" s="34" t="str">
        <x:v>CAT-01</x:v>
      </x:c>
      <x:c r="B2" s="34" t="str">
        <x:v>Ubicación Técnica</x:v>
      </x:c>
      <x:c r="C2" s="34" t="str">
        <x:v>Identificar destinos y derivar jerarquía/área/operadora.</x:v>
      </x:c>
      <x:c r="D2" s="34" t="str">
        <x:v>V0-018 a V0-023</x:v>
      </x:c>
      <x:c r="E2" s="34" t="str">
        <x:v>Crítica</x:v>
      </x:c>
      <x:c r="F2" s="34" t="str">
        <x:v>Sí - base sólida</x:v>
      </x:c>
      <x:c r="G2" s="34" t="str">
        <x:v>Sí</x:v>
      </x:c>
      <x:c r="H2" s="34" t="str">
        <x:v>Cargar árbol real y reglas de asignabilidad.</x:v>
      </x:c>
    </x:row>
    <x:row r="3">
      <x:c r="A3" s="34" t="str">
        <x:v>CAT-02</x:v>
      </x:c>
      <x:c r="B3" s="34" t="str">
        <x:v>Persona</x:v>
      </x:c>
      <x:c r="C3" s="34" t="str">
        <x:v>Identidad única de personal VDS y, cuando aplique, actores externos.</x:v>
      </x:c>
      <x:c r="D3" s="34" t="str">
        <x:v>V0-027, V0-028, V0-043</x:v>
      </x:c>
      <x:c r="E3" s="34" t="str">
        <x:v>Crítica</x:v>
      </x:c>
      <x:c r="F3" s="34" t="str">
        <x:v>Sí - base sólida</x:v>
      </x:c>
      <x:c r="G3" s="34" t="str">
        <x:v>Sí</x:v>
      </x:c>
      <x:c r="H3" s="34" t="str">
        <x:v>Fuente maestra e identidad de externos.</x:v>
      </x:c>
    </x:row>
    <x:row r="4">
      <x:c r="A4" s="34" t="str">
        <x:v>CAT-03</x:v>
      </x:c>
      <x:c r="B4" s="34" t="str">
        <x:v>Rol de Persona</x:v>
      </x:c>
      <x:c r="C4" s="34" t="str">
        <x:v>Evitar columnas por chofer/encargado/supervisor/solicitante.</x:v>
      </x:c>
      <x:c r="D4" s="34" t="str">
        <x:v>V0-029, V0-044</x:v>
      </x:c>
      <x:c r="E4" s="34" t="str">
        <x:v>Alta</x:v>
      </x:c>
      <x:c r="F4" s="34" t="str">
        <x:v>Provisional</x:v>
      </x:c>
      <x:c r="G4" s="34" t="str">
        <x:v>Sí</x:v>
      </x:c>
      <x:c r="H4" s="34" t="str">
        <x:v>Cerrar roles que cambian reglas.</x:v>
      </x:c>
    </x:row>
    <x:row r="5">
      <x:c r="A5" s="34" t="str">
        <x:v>CAT-04</x:v>
      </x:c>
      <x:c r="B5" s="34" t="str">
        <x:v>Recurso</x:v>
      </x:c>
      <x:c r="C5" s="34" t="str">
        <x:v>Identidad de flota/equipos VDS.</x:v>
      </x:c>
      <x:c r="D5" s="34" t="str">
        <x:v>V0-031 a V0-034</x:v>
      </x:c>
      <x:c r="E5" s="34" t="str">
        <x:v>Crítica</x:v>
      </x:c>
      <x:c r="F5" s="34" t="str">
        <x:v>Sí - base sólida</x:v>
      </x:c>
      <x:c r="G5" s="34" t="str">
        <x:v>Sí</x:v>
      </x:c>
      <x:c r="H5" s="34" t="str">
        <x:v>Integración con maestro real.</x:v>
      </x:c>
    </x:row>
    <x:row r="6">
      <x:c r="A6" s="34" t="str">
        <x:v>CAT-05</x:v>
      </x:c>
      <x:c r="B6" s="34" t="str">
        <x:v>Tipo de Recurso</x:v>
      </x:c>
      <x:c r="C6" s="34" t="str">
        <x:v>Clasificar vehículos/equipos y filtrar elegibilidad.</x:v>
      </x:c>
      <x:c r="D6" s="34" t="str">
        <x:v>V0-032</x:v>
      </x:c>
      <x:c r="E6" s="34" t="str">
        <x:v>Alta</x:v>
      </x:c>
      <x:c r="F6" s="34" t="str">
        <x:v>Base sólida</x:v>
      </x:c>
      <x:c r="G6" s="34" t="str">
        <x:v>Sí</x:v>
      </x:c>
      <x:c r="H6" s="34" t="str">
        <x:v>Jerarquía necesaria.</x:v>
      </x:c>
    </x:row>
    <x:row r="7">
      <x:c r="A7" s="34" t="str">
        <x:v>CAT-06</x:v>
      </x:c>
      <x:c r="B7" s="34" t="str">
        <x:v>Servicio</x:v>
      </x:c>
      <x:c r="C7" s="34" t="str">
        <x:v>Definir qué se ejecuta y qué reglas/campos aplican.</x:v>
      </x:c>
      <x:c r="D7" s="34" t="str">
        <x:v>V0-024</x:v>
      </x:c>
      <x:c r="E7" s="34" t="str">
        <x:v>Crítica</x:v>
      </x:c>
      <x:c r="F7" s="34" t="str">
        <x:v>Provisional</x:v>
      </x:c>
      <x:c r="G7" s="34" t="str">
        <x:v>Sí</x:v>
      </x:c>
      <x:c r="H7" s="34" t="str">
        <x:v>Taxonomía oficial VDS.</x:v>
      </x:c>
    </x:row>
    <x:row r="8">
      <x:c r="A8" s="34" t="str">
        <x:v>CAT-07</x:v>
      </x:c>
      <x:c r="B8" s="34" t="str">
        <x:v>Actividad</x:v>
      </x:c>
      <x:c r="C8" s="34" t="str">
        <x:v>Nivel operativo debajo de Servicio si aporta valor.</x:v>
      </x:c>
      <x:c r="D8" s="34" t="str">
        <x:v>V0-025</x:v>
      </x:c>
      <x:c r="E8" s="34" t="str">
        <x:v>Media</x:v>
      </x:c>
      <x:c r="F8" s="34" t="str">
        <x:v>Pendiente validación</x:v>
      </x:c>
      <x:c r="G8" s="34" t="str">
        <x:v>Sí</x:v>
      </x:c>
      <x:c r="H8" s="34" t="str">
        <x:v>Confirmar necesidad real.</x:v>
      </x:c>
    </x:row>
    <x:row r="9">
      <x:c r="A9" s="34" t="str">
        <x:v>CAT-08</x:v>
      </x:c>
      <x:c r="B9" s="34" t="str">
        <x:v>Cliente / Contraparte</x:v>
      </x:c>
      <x:c r="C9" s="34" t="str">
        <x:v>Contexto comercial sin texto libre.</x:v>
      </x:c>
      <x:c r="D9" s="34" t="str">
        <x:v>V0-035</x:v>
      </x:c>
      <x:c r="E9" s="34" t="str">
        <x:v>Alta</x:v>
      </x:c>
      <x:c r="F9" s="34" t="str">
        <x:v>Provisional</x:v>
      </x:c>
      <x:c r="G9" s="34" t="str">
        <x:v>Sí</x:v>
      </x:c>
      <x:c r="H9" s="34" t="str">
        <x:v>Separación Cliente vs Operadora.</x:v>
      </x:c>
    </x:row>
    <x:row r="10">
      <x:c r="A10" s="34" t="str">
        <x:v>CAT-09</x:v>
      </x:c>
      <x:c r="B10" s="34" t="str">
        <x:v>Operadora</x:v>
      </x:c>
      <x:c r="C10" s="34" t="str">
        <x:v>Rol/entidad operadora derivable por contexto.</x:v>
      </x:c>
      <x:c r="D10" s="34" t="str">
        <x:v>V0-021</x:v>
      </x:c>
      <x:c r="E10" s="34" t="str">
        <x:v>Alta</x:v>
      </x:c>
      <x:c r="F10" s="34" t="str">
        <x:v>Provisional</x:v>
      </x:c>
      <x:c r="G10" s="34" t="str">
        <x:v>Sí</x:v>
      </x:c>
      <x:c r="H10" s="34" t="str">
        <x:v>Definir si es entidad o rol de Cliente.</x:v>
      </x:c>
    </x:row>
    <x:row r="11">
      <x:c r="A11" s="34" t="str">
        <x:v>CAT-10</x:v>
      </x:c>
      <x:c r="B11" s="34" t="str">
        <x:v>Contrato</x:v>
      </x:c>
      <x:c r="C11" s="34" t="str">
        <x:v>Referencia contractual y motor de derivación downstream.</x:v>
      </x:c>
      <x:c r="D11" s="34" t="str">
        <x:v>V0-036</x:v>
      </x:c>
      <x:c r="E11" s="34" t="str">
        <x:v>Alta</x:v>
      </x:c>
      <x:c r="F11" s="34" t="str">
        <x:v>Provisional</x:v>
      </x:c>
      <x:c r="G11" s="34" t="str">
        <x:v>Sí</x:v>
      </x:c>
      <x:c r="H11" s="34" t="str">
        <x:v>Alcance del catálogo contractual.</x:v>
      </x:c>
    </x:row>
    <x:row r="12">
      <x:c r="A12" s="34" t="str">
        <x:v>CAT-11</x:v>
      </x:c>
      <x:c r="B12" s="34" t="str">
        <x:v>Posición de Contrato</x:v>
      </x:c>
      <x:c r="C12" s="34" t="str">
        <x:v>Clasificar certificación/facturación sin contaminar núcleo.</x:v>
      </x:c>
      <x:c r="D12" s="34" t="str">
        <x:v>V0-037</x:v>
      </x:c>
      <x:c r="E12" s="34" t="str">
        <x:v>Alta</x:v>
      </x:c>
      <x:c r="F12" s="34" t="str">
        <x:v>Pendiente validación</x:v>
      </x:c>
      <x:c r="G12" s="34" t="str">
        <x:v>Sí</x:v>
      </x:c>
      <x:c r="H12" s="34" t="str">
        <x:v>Resolver VAL-08.</x:v>
      </x:c>
    </x:row>
    <x:row r="13">
      <x:c r="A13" s="34" t="str">
        <x:v>CAT-12</x:v>
      </x:c>
      <x:c r="B13" s="34" t="str">
        <x:v>Tipo de Evento de Tiempo</x:v>
      </x:c>
      <x:c r="C13" s="34" t="str">
        <x:v>Clasificar traslado/espera/reparación/etc.</x:v>
      </x:c>
      <x:c r="D13" s="34" t="str">
        <x:v>V0-014</x:v>
      </x:c>
      <x:c r="E13" s="34" t="str">
        <x:v>Media</x:v>
      </x:c>
      <x:c r="F13" s="34" t="str">
        <x:v>Pendiente validación</x:v>
      </x:c>
      <x:c r="G13" s="34" t="str">
        <x:v>Parcial</x:v>
      </x:c>
      <x:c r="H13" s="34" t="str">
        <x:v>Resolver VAL-05.</x:v>
      </x:c>
    </x:row>
    <x:row r="14">
      <x:c r="A14" s="34" t="str">
        <x:v>CAT-13</x:v>
      </x:c>
      <x:c r="B14" s="34" t="str">
        <x:v>Tipo de Evidencia</x:v>
      </x:c>
      <x:c r="C14" s="34" t="str">
        <x:v>Firma/foto/aceptación/medición/etc.</x:v>
      </x:c>
      <x:c r="D14" s="34" t="str">
        <x:v>V0-042</x:v>
      </x:c>
      <x:c r="E14" s="34" t="str">
        <x:v>Alta</x:v>
      </x:c>
      <x:c r="F14" s="34" t="str">
        <x:v>Provisional</x:v>
      </x:c>
      <x:c r="G14" s="34" t="str">
        <x:v>Sí</x:v>
      </x:c>
      <x:c r="H14" s="34" t="str">
        <x:v>Resolver VAL-07.</x:v>
      </x:c>
    </x:row>
    <x:row r="15">
      <x:c r="A15" s="34" t="str">
        <x:v>CAT-14</x:v>
      </x:c>
      <x:c r="B15" s="34" t="str">
        <x:v>Métrica de Servicio</x:v>
      </x:c>
      <x:c r="C15" s="34" t="str">
        <x:v>Definir mediciones específicas y su tipo/unidad.</x:v>
      </x:c>
      <x:c r="D15" s="34" t="str">
        <x:v>V0-048 a V0-051</x:v>
      </x:c>
      <x:c r="E15" s="34" t="str">
        <x:v>Alta</x:v>
      </x:c>
      <x:c r="F15" s="34" t="str">
        <x:v>Patrón de extensión</x:v>
      </x:c>
      <x:c r="G15" s="34" t="str">
        <x:v>Sí</x:v>
      </x:c>
      <x:c r="H15" s="34" t="str">
        <x:v>Resolver VAL-10.</x:v>
      </x:c>
    </x:row>
    <x:row r="16">
      <x:c r="A16" s="34" t="str">
        <x:v>CAT-15</x:v>
      </x:c>
      <x:c r="B16" s="34" t="str">
        <x:v>Unidad de Medida</x:v>
      </x:c>
      <x:c r="C16" s="34" t="str">
        <x:v>Normalizar unidades ligadas a métricas.</x:v>
      </x:c>
      <x:c r="D16" s="34" t="str">
        <x:v>V0-050</x:v>
      </x:c>
      <x:c r="E16" s="34" t="str">
        <x:v>Media</x:v>
      </x:c>
      <x:c r="F16" s="34" t="str">
        <x:v>Patrón de extensión</x:v>
      </x:c>
      <x:c r="G16" s="34" t="str">
        <x:v>Sí</x:v>
      </x:c>
      <x:c r="H16" s="34" t="str">
        <x:v>Derivarla desde la métrica.</x:v>
      </x:c>
    </x:row>
    <x:row r="17">
      <x:c r="A17" s="34" t="str">
        <x:v>CAT-16</x:v>
      </x:c>
      <x:c r="B17" s="34" t="str">
        <x:v>Cuadrilla</x:v>
      </x:c>
      <x:c r="C17" s="34" t="str">
        <x:v>Identidad de grupo de trabajo si existe como objeto estable.</x:v>
      </x:c>
      <x:c r="D17" s="34" t="str">
        <x:v>V0-030</x:v>
      </x:c>
      <x:c r="E17" s="34" t="str">
        <x:v>Media</x:v>
      </x:c>
      <x:c r="F17" s="34" t="str">
        <x:v>Pendiente validación</x:v>
      </x:c>
      <x:c r="G17" s="34" t="str">
        <x:v>Sí</x:v>
      </x:c>
      <x:c r="H17" s="34" t="str">
        <x:v>Resolver VAL-14.</x:v>
      </x:c>
    </x:row>
    <x:row r="18">
      <x:c r="A18" s="53" t="str">
        <x:v>CAT-17</x:v>
      </x:c>
      <x:c r="B18" s="53" t="str">
        <x:v>Activo Cliente</x:v>
      </x:c>
      <x:c r="C18" s="53" t="str">
        <x:v>Identificar activo intervenido cuando no sea una ubicación.</x:v>
      </x:c>
      <x:c r="D18" s="53" t="str">
        <x:v>V0-023</x:v>
      </x:c>
      <x:c r="E18" s="53" t="str">
        <x:v>Alta</x:v>
      </x:c>
      <x:c r="F18" s="53" t="str">
        <x:v>Pendiente validación</x:v>
      </x:c>
      <x:c r="G18" s="53" t="str">
        <x:v>Sí</x:v>
      </x:c>
      <x:c r="H18" s="53" t="str">
        <x:v>Resolver VAL-12.</x:v>
      </x:c>
    </x:row>
    <x:row r="19">
      <x:c r="A19" t="str">
        <x:v>CAT-18</x:v>
      </x:c>
      <x:c r="B19" t="str">
        <x:v>Tipo de Parte</x:v>
      </x:c>
      <x:c r="C19" t="str">
        <x:v>Definir familias operativas, estructura, reglas de corte y ciclo.</x:v>
      </x:c>
      <x:c r="D19" t="str">
        <x:v>V0-055, V0-059</x:v>
      </x:c>
      <x:c r="E19" t="str">
        <x:v>Crítica</x:v>
      </x:c>
      <x:c r="F19" t="str">
        <x:v>Base sólida</x:v>
      </x:c>
      <x:c r="G19" t="str">
        <x:v>Sí</x:v>
      </x:c>
      <x:c r="H19" t="str">
        <x:v>Cerrar catálogo inicial y reglas por tipo.</x:v>
      </x:c>
    </x:row>
    <x:row r="20">
      <x:c r="A20" t="str">
        <x:v>CAT-19</x:v>
      </x:c>
      <x:c r="B20" t="str">
        <x:v>Componente de Parte</x:v>
      </x:c>
      <x:c r="C20" t="str">
        <x:v>Reutilizar bloques funcionales entre Tipos de Parte sin forzar un formulario universal.</x:v>
      </x:c>
      <x:c r="D20" t="str">
        <x:v>V0-057, V0-058</x:v>
      </x:c>
      <x:c r="E20" t="str">
        <x:v>Alta</x:v>
      </x:c>
      <x:c r="F20" t="str">
        <x:v>Base sólida</x:v>
      </x:c>
      <x:c r="G20" t="str">
        <x:v>Sí</x:v>
      </x:c>
      <x:c r="H20" t="str">
        <x:v>Definir componentes mínimos y condiciones.</x:v>
      </x:c>
    </x:row>
    <x:row r="21">
      <x:c r="A21" t="str">
        <x:v>CAT-20</x:v>
      </x:c>
      <x:c r="B21" t="str">
        <x:v>Perfil Operativo</x:v>
      </x:c>
      <x:c r="C21" t="str">
        <x:v>Determinar rutas de Parte y acciones posibles según perfil autenticado.</x:v>
      </x:c>
      <x:c r="D21" t="str">
        <x:v>V0-060, V0-061</x:v>
      </x:c>
      <x:c r="E21" t="str">
        <x:v>Crítica</x:v>
      </x:c>
      <x:c r="F21" t="str">
        <x:v>Provisional</x:v>
      </x:c>
      <x:c r="G21" t="str">
        <x:v>Sí</x:v>
      </x:c>
      <x:c r="H21" t="str">
        <x:v>Matriz Perfil×TipoParte.</x:v>
      </x:c>
    </x:row>
    <x:row r="22">
      <x:c r="A22" t="str">
        <x:v>CAT-21</x:v>
      </x:c>
      <x:c r="B22" t="str">
        <x:v>Tipo de Requisito Habilitante</x:v>
      </x:c>
      <x:c r="C22" t="str">
        <x:v>Gobernar control documental de personas/recursos/contexto.</x:v>
      </x:c>
      <x:c r="D22" t="str">
        <x:v>V0-063, V0-064</x:v>
      </x:c>
      <x:c r="E22" t="str">
        <x:v>Crítica</x:v>
      </x:c>
      <x:c r="F22" t="str">
        <x:v>Provisional</x:v>
      </x:c>
      <x:c r="G22" t="str">
        <x:v>Sí</x:v>
      </x:c>
      <x:c r="H22" t="str">
        <x:v>Definir taxonomía y fuente maestra.</x:v>
      </x:c>
    </x:row>
    <x:row r="23">
      <x:c r="A23" t="str">
        <x:v>CAT-22</x:v>
      </x:c>
      <x:c r="B23" t="str">
        <x:v>Tipo de Permiso de Trabajo</x:v>
      </x:c>
      <x:c r="C23" t="str">
        <x:v>Determinar permisos/controles previos requeridos por tarea/servicio.</x:v>
      </x:c>
      <x:c r="D23" t="str">
        <x:v>V0-072, V0-073</x:v>
      </x:c>
      <x:c r="E23" t="str">
        <x:v>Alta</x:v>
      </x:c>
      <x:c r="F23" t="str">
        <x:v>Provisional</x:v>
      </x:c>
      <x:c r="G23" t="str">
        <x:v>Sí</x:v>
      </x:c>
      <x:c r="H23" t="str">
        <x:v>Validar con Habilita/Operaciones.</x:v>
      </x:c>
    </x:row>
    <x:row r="24">
      <x:c r="A24" t="str">
        <x:v>CAT-23</x:v>
      </x:c>
      <x:c r="B24" t="str">
        <x:v>Tipo de Contrato</x:v>
      </x:c>
      <x:c r="C24" t="str">
        <x:v>Clasificar lógica contractual que condiciona medición/evidencia.</x:v>
      </x:c>
      <x:c r="D24" t="str">
        <x:v>V0-077</x:v>
      </x:c>
      <x:c r="E24" t="str">
        <x:v>Crítica</x:v>
      </x:c>
      <x:c r="F24" t="str">
        <x:v>Provisional</x:v>
      </x:c>
      <x:c r="G24" t="str">
        <x:v>Sí</x:v>
      </x:c>
      <x:c r="H24" t="str">
        <x:v>Cerrar indemnizado/mensualizado/On Call y variantes.</x:v>
      </x:c>
    </x:row>
    <x:row r="25">
      <x:c r="A25" t="str">
        <x:v>CAT-24</x:v>
      </x:c>
      <x:c r="B25" t="str">
        <x:v>Ítem de Contrato</x:v>
      </x:c>
      <x:c r="C25" t="str">
        <x:v>Relacionar servicio/posición con unidad de medida y regla de medición.</x:v>
      </x:c>
      <x:c r="D25" t="str">
        <x:v>V0-078, V0-080</x:v>
      </x:c>
      <x:c r="E25" t="str">
        <x:v>Crítica</x:v>
      </x:c>
      <x:c r="F25" t="str">
        <x:v>Provisional</x:v>
      </x:c>
      <x:c r="G25" t="str">
        <x:v>Sí</x:v>
      </x:c>
      <x:c r="H25" t="str">
        <x:v>Cargar catálogo contractual real.</x:v>
      </x:c>
    </x:row>
    <x:row r="26">
      <x:c r="A26" t="str">
        <x:v>CAT-25</x:v>
      </x:c>
      <x:c r="B26" t="str">
        <x:v>Tipo de Evento Operativo</x:v>
      </x:c>
      <x:c r="C26" t="str">
        <x:v>Estructurar desvíos y cambios durante la jornada.</x:v>
      </x:c>
      <x:c r="D26" t="str">
        <x:v>V0-081, V0-082</x:v>
      </x:c>
      <x:c r="E26" t="str">
        <x:v>Alta</x:v>
      </x:c>
      <x:c r="F26" t="str">
        <x:v>Provisional</x:v>
      </x:c>
      <x:c r="G26" t="str">
        <x:v>Sí</x:v>
      </x:c>
      <x:c r="H26" t="str">
        <x:v>Cerrar catálogo inicial y efectos.</x:v>
      </x:c>
    </x:row>
    <x:row r="27">
      <x:c r="A27" t="str">
        <x:v>CAT-26</x:v>
      </x:c>
      <x:c r="B27" t="str">
        <x:v>Severidad de Habilitación</x:v>
      </x:c>
      <x:c r="C27" t="str">
        <x:v>Estandarizar informar/advertir-bajo-override/bloquear.</x:v>
      </x:c>
      <x:c r="D27" t="str">
        <x:v>V0-071</x:v>
      </x:c>
      <x:c r="E27" t="str">
        <x:v>Alta</x:v>
      </x:c>
      <x:c r="F27" t="str">
        <x:v>Base sólida</x:v>
      </x:c>
      <x:c r="G27" t="str">
        <x:v>Sí</x:v>
      </x:c>
      <x:c r="H27" t="str">
        <x:v>Configurable por requisito.</x:v>
      </x:c>
    </x:row>
    <x:row r="28">
      <x:c r="A28" t="str">
        <x:v>CAT-27</x:v>
      </x:c>
      <x:c r="B28" t="str">
        <x:v>Regla de Enrutamiento</x:v>
      </x:c>
      <x:c r="C28" t="str">
        <x:v>Resolver TipoParte desde perfil + asignación + servicio/contexto.</x:v>
      </x:c>
      <x:c r="D28" t="str">
        <x:v>V0-062</x:v>
      </x:c>
      <x:c r="E28" t="str">
        <x:v>Crítica</x:v>
      </x:c>
      <x:c r="F28" t="str">
        <x:v>Provisional</x:v>
      </x:c>
      <x:c r="G28" t="str">
        <x:v>Sí</x:v>
      </x:c>
      <x:c r="H28" t="str">
        <x:v>Definir prioridad y fallback controlado.</x:v>
      </x:c>
    </x:row>
    <x:row r="29" ht="46" customHeight="1">
      <x:c r="A29" s="20" t="str">
        <x:v>CAT-28</x:v>
      </x:c>
      <x:c r="B29" s="20" t="str">
        <x:v>Rol de Recurso en Ejecución</x:v>
      </x:c>
      <x:c r="C29" s="20" t="str">
        <x:v>Distinguir recurso principal, tractor/camión, acoplado/semi, apoyo o adicional sin crear columnas específicas por servicio.</x:v>
      </x:c>
      <x:c r="D29" s="20" t="str">
        <x:v>V0-085</x:v>
      </x:c>
      <x:c r="E29" s="20" t="str">
        <x:v>Alta</x:v>
      </x:c>
      <x:c r="F29" s="20" t="str">
        <x:v>Base sólida inicial</x:v>
      </x:c>
      <x:c r="G29" s="20" t="str">
        <x:v>Sí</x:v>
      </x:c>
      <x:c r="H29" s="20" t="str">
        <x:v>Cerrar roles mínimos y efectos de cambio para cada TipoParte.</x:v>
      </x:c>
    </x:row>
    <x:row r="30" ht="50" customHeight="1">
      <x:c r="A30" s="20" t="str">
        <x:v>CAT-29</x:v>
      </x:c>
      <x:c r="B30" s="20" t="str">
        <x:v>Centro de Costo</x:v>
      </x:c>
      <x:c r="C30" s="20" t="str">
        <x:v>Normalizar CC26 / CC27 / CC80 y otros centros de costo separados del Contrato.</x:v>
      </x:c>
      <x:c r="D30" s="20" t="str">
        <x:v>V0-038</x:v>
      </x:c>
      <x:c r="E30" s="20" t="str">
        <x:v>Crítica</x:v>
      </x:c>
      <x:c r="F30" s="20" t="str">
        <x:v>Fuente parcial</x:v>
      </x:c>
      <x:c r="G30" s="20" t="str">
        <x:v>Sí</x:v>
      </x:c>
      <x:c r="H30" s="20" t="str">
        <x:v>Obtener tabla maestra centrocosto_id ↔ código/nombre.</x:v>
      </x:c>
    </x:row>
    <x:row r="31" ht="50" customHeight="1">
      <x:c r="A31" s="20" t="str">
        <x:v>CAT-30</x:v>
      </x:c>
      <x:c r="B31" s="20" t="str">
        <x:v>ContratoServicio</x:v>
      </x:c>
      <x:c r="C31" s="20" t="str">
        <x:v>Configurar qué reglas aplica un Contrato/versión a cada Servicio.</x:v>
      </x:c>
      <x:c r="D31" s="20" t="str">
        <x:v>V0-087 a V0-090</x:v>
      </x:c>
      <x:c r="E31" s="20" t="str">
        <x:v>Crítica</x:v>
      </x:c>
      <x:c r="F31" s="20" t="str">
        <x:v>Patrón sólido</x:v>
      </x:c>
      <x:c r="G31" s="20" t="str">
        <x:v>Sí</x:v>
      </x:c>
      <x:c r="H31" s="20" t="str">
        <x:v>Mapear cuando lleguen contratos específicos.</x:v>
      </x:c>
    </x:row>
    <x:row r="32" ht="50" customHeight="1">
      <x:c r="A32" s="20" t="str">
        <x:v>CAT-31</x:v>
      </x:c>
      <x:c r="B32" s="20" t="str">
        <x:v>Regla de Agrupación Certificación</x:v>
      </x:c>
      <x:c r="C32" s="20" t="str">
        <x:v>Definir cómo Partes/Unidades se agrupan antes de certificar.</x:v>
      </x:c>
      <x:c r="D32" s="20" t="str">
        <x:v>V0-090, V0-091</x:v>
      </x:c>
      <x:c r="E32" s="20" t="str">
        <x:v>Crítica</x:v>
      </x:c>
      <x:c r="F32" s="20" t="str">
        <x:v>Base inicial</x:v>
      </x:c>
      <x:c r="G32" s="20" t="str">
        <x:v>Sí</x:v>
      </x:c>
      <x:c r="H32" s="20" t="str">
        <x:v>Cerrar dimensiones por contrato/servicio.</x:v>
      </x:c>
    </x:row>
    <x:row r="33" ht="48" customHeight="1">
      <x:c r="A33" s="20" t="str">
        <x:v>CAT-32</x:v>
      </x:c>
      <x:c r="B33" s="20" t="str">
        <x:v>Prioridad Operativa</x:v>
      </x:c>
      <x:c r="C33" s="20" t="str">
        <x:v>Ordenar asignaciones y soportar urgencias/replanificación sin texto libre.</x:v>
      </x:c>
      <x:c r="D33" s="20" t="str">
        <x:v>V0-103</x:v>
      </x:c>
      <x:c r="E33" s="20" t="str">
        <x:v>Alta</x:v>
      </x:c>
      <x:c r="F33" s="20" t="str">
        <x:v>Provisional</x:v>
      </x:c>
      <x:c r="G33" s="20" t="str">
        <x:v>Sí</x:v>
      </x:c>
      <x:c r="H33" s="20" t="str">
        <x:v>Cerrar niveles y reglas de escalamiento.</x:v>
      </x:c>
    </x:row>
    <x:row r="34" ht="48" customHeight="1">
      <x:c r="A34" s="20" t="str">
        <x:v>CAT-33</x:v>
      </x:c>
      <x:c r="B34" s="20" t="str">
        <x:v>Motivo Fuera de Planificación</x:v>
      </x:c>
      <x:c r="C34" s="20" t="str">
        <x:v>Estructurar causas por las que una ejecución nace sin plan confirmado.</x:v>
      </x:c>
      <x:c r="D34" s="20" t="str">
        <x:v>V0-106</x:v>
      </x:c>
      <x:c r="E34" s="20" t="str">
        <x:v>Alta</x:v>
      </x:c>
      <x:c r="F34" s="20" t="str">
        <x:v>Base inicial</x:v>
      </x:c>
      <x:c r="G34" s="20" t="str">
        <x:v>Sí</x:v>
      </x:c>
      <x:c r="H34" s="20" t="str">
        <x:v>Cerrar catálogo y permisos para iniciar.</x:v>
      </x:c>
    </x:row>
    <x:row r="35" ht="48" customHeight="1">
      <x:c r="A35" s="20" t="str">
        <x:v>CAT-34</x:v>
      </x:c>
      <x:c r="B35" s="20" t="str">
        <x:v>Regla de Planificación</x:v>
      </x:c>
      <x:c r="C35" s="20" t="str">
        <x:v>Parametrizar quién planifica y qué datos/gates exige cada ContratoServicio.</x:v>
      </x:c>
      <x:c r="D35" s="20" t="str">
        <x:v>V0-095</x:v>
      </x:c>
      <x:c r="E35" s="20" t="str">
        <x:v>Crítica</x:v>
      </x:c>
      <x:c r="F35" s="20" t="str">
        <x:v>Base inicial</x:v>
      </x:c>
      <x:c r="G35" s="20" t="str">
        <x:v>Sí</x:v>
      </x:c>
      <x:c r="H35" s="20" t="str">
        <x:v>Completar al recibir contratos y diseñar Planificación.</x:v>
      </x:c>
    </x:row>
    <x:row r="36" ht="48" customHeight="1">
      <x:c r="A36" s="20" t="str">
        <x:v>CAT-35</x:v>
      </x:c>
      <x:c r="B36" s="20" t="str">
        <x:v>Estado/Tipo de Demanda</x:v>
      </x:c>
      <x:c r="C36" s="20" t="str">
        <x:v>Clasificar ingreso de trabajo antes de programarlo.</x:v>
      </x:c>
      <x:c r="D36" s="20" t="str">
        <x:v>V0-109, V0-110</x:v>
      </x:c>
      <x:c r="E36" s="20" t="str">
        <x:v>Media</x:v>
      </x:c>
      <x:c r="F36" s="20" t="str">
        <x:v>Provisional</x:v>
      </x:c>
      <x:c r="G36" s="20" t="str">
        <x:v>Sí</x:v>
      </x:c>
      <x:c r="H36" s="20" t="str">
        <x:v>Cerrar fuentes y estados.</x:v>
      </x:c>
    </x:row>
    <x:row r="37" ht="48" customHeight="1">
      <x:c r="A37" s="20" t="str">
        <x:v>CAT-36</x:v>
      </x:c>
      <x:c r="B37" s="20" t="str">
        <x:v>Requerimiento de Competencia</x:v>
      </x:c>
      <x:c r="C37" s="20" t="str">
        <x:v>Definir competencias/roles necesarios por servicio sin nominar personas.</x:v>
      </x:c>
      <x:c r="D37" s="20" t="str">
        <x:v>V0-112</x:v>
      </x:c>
      <x:c r="E37" s="20" t="str">
        <x:v>Alta</x:v>
      </x:c>
      <x:c r="F37" s="20" t="str">
        <x:v>Patrón sólido</x:v>
      </x:c>
      <x:c r="G37" s="20" t="str">
        <x:v>Sí</x:v>
      </x:c>
      <x:c r="H37" s="20" t="str">
        <x:v>Cargar matriz servicio→competencia.</x:v>
      </x:c>
    </x:row>
    <x:row r="38" ht="48" customHeight="1">
      <x:c r="A38" s="20" t="str">
        <x:v>CAT-37</x:v>
      </x:c>
      <x:c r="B38" s="20" t="str">
        <x:v>Motivo Observación Certificación</x:v>
      </x:c>
      <x:c r="C38" s="20" t="str">
        <x:v>Estructurar faltantes/discrepancias y permitir análisis de causa.</x:v>
      </x:c>
      <x:c r="D38" s="20" t="str">
        <x:v>V0-118</x:v>
      </x:c>
      <x:c r="E38" s="20" t="str">
        <x:v>Alta</x:v>
      </x:c>
      <x:c r="F38" s="20" t="str">
        <x:v>Provisional</x:v>
      </x:c>
      <x:c r="G38" s="20" t="str">
        <x:v>Sí</x:v>
      </x:c>
      <x:c r="H38" s="20" t="str">
        <x:v>Definir con Certificaciones.</x:v>
      </x:c>
    </x:row>
    <x:row r="39" ht="48" customHeight="1">
      <x:c r="A39" s="20" t="str">
        <x:v>CAT-38</x:v>
      </x:c>
      <x:c r="B39" s="20" t="str">
        <x:v>Tipo/Clase de Intervención</x:v>
      </x:c>
      <x:c r="C39" s="20" t="str">
        <x:v>Clasificar work packages/intervenciones TP-01 sin depender de texto libre.</x:v>
      </x:c>
      <x:c r="D39" s="20" t="str">
        <x:v>V0-124</x:v>
      </x:c>
      <x:c r="E39" s="20" t="str">
        <x:v>Alta</x:v>
      </x:c>
      <x:c r="F39" s="20" t="str">
        <x:v>Provisional</x:v>
      </x:c>
      <x:c r="G39" s="20" t="str">
        <x:v>Sí</x:v>
      </x:c>
      <x:c r="H39" s="20" t="str">
        <x:v>Derivar de Servicio/Tarea cuando sea posible.</x:v>
      </x:c>
    </x:row>
    <x:row r="40" ht="48" customHeight="1">
      <x:c r="A40" s="20" t="str">
        <x:v>CAT-39</x:v>
      </x:c>
      <x:c r="B40" s="20" t="str">
        <x:v>Tipo de Handover/Extensión PTW</x:v>
      </x:c>
      <x:c r="C40" s="20" t="str">
        <x:v>Estructurar cambio de turno/responsable/renovación del permiso.</x:v>
      </x:c>
      <x:c r="D40" s="20" t="str">
        <x:v>V0-127</x:v>
      </x:c>
      <x:c r="E40" s="20" t="str">
        <x:v>Alta</x:v>
      </x:c>
      <x:c r="F40" s="20" t="str">
        <x:v>Benchmark + pendiente negocio</x:v>
      </x:c>
      <x:c r="G40" s="20" t="str">
        <x:v>Sí</x:v>
      </x:c>
      <x:c r="H40" s="20" t="str">
        <x:v>Validar con Habilita/clientes.</x:v>
      </x:c>
    </x:row>
    <x:row r="41" ht="48" customHeight="1">
      <x:c r="A41" s="20" t="str">
        <x:v>CAT-40</x:v>
      </x:c>
      <x:c r="B41" s="20" t="str">
        <x:v>Tipo de OT Externa</x:v>
      </x:c>
      <x:c r="C41" s="20" t="str">
        <x:v>Clasificar referencias externas de órdenes cuando existan.</x:v>
      </x:c>
      <x:c r="D41" s="20" t="str">
        <x:v>V0-123</x:v>
      </x:c>
      <x:c r="E41" s="20" t="str">
        <x:v>Media</x:v>
      </x:c>
      <x:c r="F41" s="20" t="str">
        <x:v>Provisional</x:v>
      </x:c>
      <x:c r="G41" s="20" t="str">
        <x:v>Sí</x:v>
      </x:c>
      <x:c r="H41" s="20" t="str">
        <x:v>No necesario si solo hay una referencia genérica.</x:v>
      </x:c>
    </x:row>
    <x:row r="42" ht="50" customHeight="1">
      <x:c r="A42" s="20" t="str">
        <x:v>CAT-41</x:v>
      </x:c>
      <x:c r="B42" s="20" t="str">
        <x:v>Estado Disponibilidad Recurso</x:v>
      </x:c>
      <x:c r="C42" s="20" t="str">
        <x:v>Normalizar disponibilidad técnica/operativa para matching y readiness.</x:v>
      </x:c>
      <x:c r="D42" s="20" t="str">
        <x:v>V0-130, V0-131</x:v>
      </x:c>
      <x:c r="E42" s="20" t="str">
        <x:v>Crítica</x:v>
      </x:c>
      <x:c r="F42" s="20" t="str">
        <x:v>Base inicial</x:v>
      </x:c>
      <x:c r="G42" s="20" t="str">
        <x:v>Sí</x:v>
      </x:c>
      <x:c r="H42" s="20" t="str">
        <x:v>Cerrar fuente y precedencias con mantenimiento/documentación.</x:v>
      </x:c>
    </x:row>
    <x:row r="43" ht="50" customHeight="1">
      <x:c r="A43" s="20" t="str">
        <x:v>CAT-42</x:v>
      </x:c>
      <x:c r="B43" s="20" t="str">
        <x:v>Tipo Directiva Operativa</x:v>
      </x:c>
      <x:c r="C43" s="20" t="str">
        <x:v>Definir señales de Control Plane: cancelar, suspender, repriorizar, reprogramar, cambiar alcance.</x:v>
      </x:c>
      <x:c r="D43" s="20" t="str">
        <x:v>V0-132, V0-133</x:v>
      </x:c>
      <x:c r="E43" s="20" t="str">
        <x:v>Crítica</x:v>
      </x:c>
      <x:c r="F43" s="20" t="str">
        <x:v>Base sólida</x:v>
      </x:c>
      <x:c r="G43" s="20" t="str">
        <x:v>Sí</x:v>
      </x:c>
      <x:c r="H43" s="20" t="str">
        <x:v>Cerrar semántica bloqueante/informativa.</x:v>
      </x:c>
    </x:row>
    <x:row r="44" ht="50" customHeight="1">
      <x:c r="A44" s="20" t="str">
        <x:v>CAT-43</x:v>
      </x:c>
      <x:c r="B44" s="20" t="str">
        <x:v>Motivo Enmienda Operativa</x:v>
      </x:c>
      <x:c r="C44" s="20" t="str">
        <x:v>Estructurar correcciones reales de captura sin usar ajustes comerciales.</x:v>
      </x:c>
      <x:c r="D44" s="20" t="str">
        <x:v>V0-129</x:v>
      </x:c>
      <x:c r="E44" s="20" t="str">
        <x:v>Alta</x:v>
      </x:c>
      <x:c r="F44" s="20" t="str">
        <x:v>Base sólida</x:v>
      </x:c>
      <x:c r="G44" s="20" t="str">
        <x:v>Sí</x:v>
      </x:c>
      <x:c r="H44" s="20" t="str">
        <x:v>Definir motivos y autorizantes.</x:v>
      </x:c>
    </x:row>
    <x:row r="45" ht="50" customHeight="1">
      <x:c r="A45" s="20" t="str">
        <x:v>CAT-44</x:v>
      </x:c>
      <x:c r="B45" s="20" t="str">
        <x:v>Motivo Cierre Administrativo PTW</x:v>
      </x:c>
      <x:c r="C45" s="20" t="str">
        <x:v>Estructurar cierre excepcional autorizado de permisos suspendidos/abandonados.</x:v>
      </x:c>
      <x:c r="D45" s="20" t="str">
        <x:v>V0-136</x:v>
      </x:c>
      <x:c r="E45" s="20" t="str">
        <x:v>Alta</x:v>
      </x:c>
      <x:c r="F45" s="20" t="str">
        <x:v>Provisional</x:v>
      </x:c>
      <x:c r="G45" s="20" t="str">
        <x:v>Sí</x:v>
      </x:c>
      <x:c r="H45" s="20" t="str">
        <x:v>Validar con Habilita.</x:v>
      </x:c>
    </x:row>
    <x:row r="46" ht="48" customHeight="1">
      <x:c r="A46" s="20" t="str">
        <x:v>CAT-45</x:v>
      </x:c>
      <x:c r="B46" s="20" t="str">
        <x:v>Tipo Transición Operativa</x:v>
      </x:c>
      <x:c r="C46" s="20" t="str">
        <x:v>Clasificar traslados/esperas/cambios entre ejecuciones sin perder continuidad temporal.</x:v>
      </x:c>
      <x:c r="D46" s="20" t="str">
        <x:v>V0-138 a V0-140</x:v>
      </x:c>
      <x:c r="E46" s="20" t="str">
        <x:v>Alta</x:v>
      </x:c>
      <x:c r="F46" s="20" t="str">
        <x:v>Base inicial</x:v>
      </x:c>
      <x:c r="G46" s="20" t="str">
        <x:v>Sí</x:v>
      </x:c>
      <x:c r="H46" s="20" t="str">
        <x:v>Cerrar catálogo mínimo.</x:v>
      </x:c>
    </x:row>
    <x:row r="47" ht="48" customHeight="1">
      <x:c r="A47" s="20" t="str">
        <x:v>CAT-46</x:v>
      </x:c>
      <x:c r="B47" s="20" t="str">
        <x:v>Tratamiento Comercial del Tiempo</x:v>
      </x:c>
      <x:c r="C47" s="20" t="str">
        <x:v>Mapear categorías operativas de tiempo a tratamiento certificable por contrato/ítem.</x:v>
      </x:c>
      <x:c r="D47" s="20" t="str">
        <x:v>V0-141</x:v>
      </x:c>
      <x:c r="E47" s="20" t="str">
        <x:v>Crítica</x:v>
      </x:c>
      <x:c r="F47" s="20" t="str">
        <x:v>Pendiente contratos</x:v>
      </x:c>
      <x:c r="G47" s="20" t="str">
        <x:v>Sí</x:v>
      </x:c>
      <x:c r="H47" s="20" t="str">
        <x:v>No hardcodear stand-by/traslado.</x:v>
      </x:c>
    </x:row>
    <x:row r="48" ht="48" customHeight="1">
      <x:c r="A48" s="20" t="str">
        <x:v>CAT-47</x:v>
      </x:c>
      <x:c r="B48" s="20" t="str">
        <x:v>Estado Derivación Comercial</x:v>
      </x:c>
      <x:c r="C48" s="20" t="str">
        <x:v>Marcar derivados comerciales vigentes o que requieren recálculo.</x:v>
      </x:c>
      <x:c r="D48" s="20" t="str">
        <x:v>V0-149</x:v>
      </x:c>
      <x:c r="E48" s="20" t="str">
        <x:v>Alta</x:v>
      </x:c>
      <x:c r="F48" s="20" t="str">
        <x:v>Base inicial</x:v>
      </x:c>
      <x:c r="G48" s="20" t="str">
        <x:v>Sí</x:v>
      </x:c>
      <x:c r="H48" s="20" t="str">
        <x:v>Cerrar estados finales.</x:v>
      </x:c>
    </x:row>
    <x:row r="49" ht="48" customHeight="1">
      <x:c r="A49" s="20" t="str">
        <x:v>CAT-48</x:v>
      </x:c>
      <x:c r="B49" s="20" t="str">
        <x:v>Tipo Conflicto Temporal</x:v>
      </x:c>
      <x:c r="C49" s="20" t="str">
        <x:v>Clasificar solapamientos de persona/recurso y severidad.</x:v>
      </x:c>
      <x:c r="D49" s="20" t="str">
        <x:v>V0-151, V0-152</x:v>
      </x:c>
      <x:c r="E49" s="20" t="str">
        <x:v>Alta</x:v>
      </x:c>
      <x:c r="F49" s="20" t="str">
        <x:v>Provisional</x:v>
      </x:c>
      <x:c r="G49" s="20" t="str">
        <x:v>Sí</x:v>
      </x:c>
      <x:c r="H49" s="20" t="str">
        <x:v>Validar recursos compartibles.</x:v>
      </x:c>
    </x:row>
    <x:row r="50" ht="48" customHeight="1">
      <x:c r="A50" s="20" t="str">
        <x:v>CAT-49</x:v>
      </x:c>
      <x:c r="B50" s="20" t="str">
        <x:v>Motivo Override Gate</x:v>
      </x:c>
      <x:c r="C50" s="20" t="str">
        <x:v>Estructurar motivos de continuidad autorizada ante advertencias.</x:v>
      </x:c>
      <x:c r="D50" s="20" t="str">
        <x:v>V0-153</x:v>
      </x:c>
      <x:c r="E50" s="20" t="str">
        <x:v>Crítica</x:v>
      </x:c>
      <x:c r="F50" s="20" t="str">
        <x:v>Pendiente negocio/Habilita</x:v>
      </x:c>
      <x:c r="G50" s="20" t="str">
        <x:v>Sí</x:v>
      </x:c>
      <x:c r="H50" s="20" t="str">
        <x:v>Definir quién autoriza.</x:v>
      </x:c>
    </x:row>
    <x:row r="51" ht="48" customHeight="1">
      <x:c r="A51" s="20" t="str">
        <x:v>CAT-50</x:v>
      </x:c>
      <x:c r="B51" s="20" t="str">
        <x:v>Grano Unidad Comercial</x:v>
      </x:c>
      <x:c r="C51" s="20" t="str">
        <x:v>Configurar generación por ejecución/ítem/movimiento/intervención/día/período.</x:v>
      </x:c>
      <x:c r="D51" s="20" t="str">
        <x:v>V0-150</x:v>
      </x:c>
      <x:c r="E51" s="20" t="str">
        <x:v>Crítica</x:v>
      </x:c>
      <x:c r="F51" s="20" t="str">
        <x:v>Pendiente contratos</x:v>
      </x:c>
      <x:c r="G51" s="20" t="str">
        <x:v>Sí</x:v>
      </x:c>
      <x:c r="H51" s="20" t="str">
        <x:v>Cerrar al recibir contratos.</x:v>
      </x:c>
    </x:row>
    <x:row r="52" ht="50" customHeight="1">
      <x:c r="A52" s="20" t="str">
        <x:v>CAT-51</x:v>
      </x:c>
      <x:c r="B52" s="20" t="str">
        <x:v>Tipo Evento Habilita</x:v>
      </x:c>
      <x:c r="C52" s="20" t="str">
        <x:v>Clasificar eventos sin convertir categorías Habilita en TiposParte.</x:v>
      </x:c>
      <x:c r="D52" s="20" t="str">
        <x:v>V0-155</x:v>
      </x:c>
      <x:c r="E52" s="20" t="str">
        <x:v>Crítica</x:v>
      </x:c>
      <x:c r="F52" s="20" t="str">
        <x:v>Pendiente Habilita</x:v>
      </x:c>
      <x:c r="G52" s="20" t="str">
        <x:v>Sí</x:v>
      </x:c>
      <x:c r="H52" s="20" t="str">
        <x:v>Ambiental, near miss, proceso, vehicular, etc. son ejemplos, no catálogo final.</x:v>
      </x:c>
    </x:row>
    <x:row r="53" ht="50" customHeight="1">
      <x:c r="A53" s="20" t="str">
        <x:v>CAT-52</x:v>
      </x:c>
      <x:c r="B53" s="20" t="str">
        <x:v>Severidad Real Habilita</x:v>
      </x:c>
      <x:c r="C53" s="20" t="str">
        <x:v>Clasificar consecuencia efectivamente ocurrida.</x:v>
      </x:c>
      <x:c r="D53" s="20" t="str">
        <x:v>V0-159</x:v>
      </x:c>
      <x:c r="E53" s="20" t="str">
        <x:v>Crítica</x:v>
      </x:c>
      <x:c r="F53" s="20" t="str">
        <x:v>Pendiente Habilita</x:v>
      </x:c>
      <x:c r="G53" s="20" t="str">
        <x:v>Sí</x:v>
      </x:c>
      <x:c r="H53" s="20" t="str">
        <x:v>Recibir matriz VDS/cliente.</x:v>
      </x:c>
    </x:row>
    <x:row r="54" ht="50" customHeight="1">
      <x:c r="A54" s="20" t="str">
        <x:v>CAT-53</x:v>
      </x:c>
      <x:c r="B54" s="20" t="str">
        <x:v>Severidad Potencial Habilita</x:v>
      </x:c>
      <x:c r="C54" s="20" t="str">
        <x:v>Priorizar eventos con alta consecuencia potencial aunque el daño real sea bajo.</x:v>
      </x:c>
      <x:c r="D54" s="20" t="str">
        <x:v>V0-160</x:v>
      </x:c>
      <x:c r="E54" s="20" t="str">
        <x:v>Crítica</x:v>
      </x:c>
      <x:c r="F54" s="20" t="str">
        <x:v>Pendiente Habilita</x:v>
      </x:c>
      <x:c r="G54" s="20" t="str">
        <x:v>Sí</x:v>
      </x:c>
      <x:c r="H54" s="20" t="str">
        <x:v>Recibir matriz VDS/cliente.</x:v>
      </x:c>
    </x:row>
    <x:row r="55" ht="50" customHeight="1">
      <x:c r="A55" s="20" t="str">
        <x:v>CAT-54</x:v>
      </x:c>
      <x:c r="B55" s="20" t="str">
        <x:v>Rol Persona en Evento Habilita</x:v>
      </x:c>
      <x:c r="C55" s="20" t="str">
        <x:v>Afectada, involucrada, testigo, reportante u otros.</x:v>
      </x:c>
      <x:c r="D55" s="20" t="str">
        <x:v>V0-163</x:v>
      </x:c>
      <x:c r="E55" s="20" t="str">
        <x:v>Media</x:v>
      </x:c>
      <x:c r="F55" s="20" t="str">
        <x:v>Provisional</x:v>
      </x:c>
      <x:c r="G55" s="20" t="str">
        <x:v>Sí</x:v>
      </x:c>
      <x:c r="H55" s="20" t="str">
        <x:v>Validar privacidad/roles.</x:v>
      </x:c>
    </x:row>
    <x:row r="56" ht="50" customHeight="1">
      <x:c r="A56" s="20" t="str">
        <x:v>CAT-55</x:v>
      </x:c>
      <x:c r="B56" s="20" t="str">
        <x:v>Rol Recurso en Evento Habilita</x:v>
      </x:c>
      <x:c r="C56" s="20" t="str">
        <x:v>Fuente, afectado, involucrado, respuesta u otros.</x:v>
      </x:c>
      <x:c r="D56" s="20" t="str">
        <x:v>V0-164</x:v>
      </x:c>
      <x:c r="E56" s="20" t="str">
        <x:v>Media</x:v>
      </x:c>
      <x:c r="F56" s="20" t="str">
        <x:v>Provisional</x:v>
      </x:c>
      <x:c r="G56" s="20" t="str">
        <x:v>Sí</x:v>
      </x:c>
      <x:c r="H56" s="20" t="str">
        <x:v>Validar Habilita.</x:v>
      </x:c>
    </x:row>
    <x:row r="57" ht="50" customHeight="1">
      <x:c r="A57" s="20" t="str">
        <x:v>CAT-56</x:v>
      </x:c>
      <x:c r="B57" s="20" t="str">
        <x:v>Estado Caso Habilita</x:v>
      </x:c>
      <x:c r="C57" s="20" t="str">
        <x:v>Triage → investigación → acciones/verificación → cerrado.</x:v>
      </x:c>
      <x:c r="D57" s="20" t="str">
        <x:v>V0-167</x:v>
      </x:c>
      <x:c r="E57" s="20" t="str">
        <x:v>Alta</x:v>
      </x:c>
      <x:c r="F57" s="20" t="str">
        <x:v>Provisional</x:v>
      </x:c>
      <x:c r="G57" s="20" t="str">
        <x:v>Sí</x:v>
      </x:c>
      <x:c r="H57" s="20" t="str">
        <x:v>Cerrar workflow real.</x:v>
      </x:c>
    </x:row>
    <x:row r="58" ht="50" customHeight="1">
      <x:c r="A58" s="20" t="str">
        <x:v>CAT-57</x:v>
      </x:c>
      <x:c r="B58" s="20" t="str">
        <x:v>Estado Contexto Contractual</x:v>
      </x:c>
      <x:c r="C58" s="20" t="str">
        <x:v>Expresar incertidumbre de imputación sin inventar CentroCosto/Item.</x:v>
      </x:c>
      <x:c r="D58" s="20" t="str">
        <x:v>V0-172</x:v>
      </x:c>
      <x:c r="E58" s="20" t="str">
        <x:v>Crítica</x:v>
      </x:c>
      <x:c r="F58" s="20" t="str">
        <x:v>Base inicial</x:v>
      </x:c>
      <x:c r="G58" s="20" t="str">
        <x:v>Sí</x:v>
      </x:c>
      <x:c r="H58" s="20" t="str">
        <x:v>RESUELTO / PENDIENTE / AMBIGUO / NO_APLICA.</x:v>
      </x:c>
    </x:row>
    <x:row r="59" ht="50" customHeight="1">
      <x:c r="A59" s="20" t="str">
        <x:v>CAT-58</x:v>
      </x:c>
      <x:c r="B59" s="20" t="str">
        <x:v>Política Inicio Emergente</x:v>
      </x:c>
      <x:c r="C59" s="20" t="str">
        <x:v>Configurar bloqueo o inicio autorizado ante contexto contractual incompleto.</x:v>
      </x:c>
      <x:c r="D59" s="20" t="str">
        <x:v>V0-173</x:v>
      </x:c>
      <x:c r="E59" s="20" t="str">
        <x:v>Crítica</x:v>
      </x:c>
      <x:c r="F59" s="20" t="str">
        <x:v>Pendiente Q-02</x:v>
      </x:c>
      <x:c r="G59" s="20" t="str">
        <x:v>Sí</x:v>
      </x:c>
      <x:c r="H59" s="20" t="str">
        <x:v>No afecta hard blocks Habilita.</x:v>
      </x:c>
    </x:row>
    <x:row r="60" ht="50" customHeight="1">
      <x:c r="A60" s="20" t="str">
        <x:v>CAT-59</x:v>
      </x:c>
      <x:c r="B60" s="20" t="str">
        <x:v>Estado Investigación Habilita</x:v>
      </x:c>
      <x:c r="C60" s="20" t="str">
        <x:v>Separar progreso de investigación del estado global CasoHabilita.</x:v>
      </x:c>
      <x:c r="D60" s="20" t="str">
        <x:v>V0-175</x:v>
      </x:c>
      <x:c r="E60" s="20" t="str">
        <x:v>Alta</x:v>
      </x:c>
      <x:c r="F60" s="20" t="str">
        <x:v>Base inicial</x:v>
      </x:c>
      <x:c r="G60" s="20" t="str">
        <x:v>Sí</x:v>
      </x:c>
      <x:c r="H60" s="20" t="str">
        <x:v>Cerrar con Habilita.</x:v>
      </x:c>
    </x:row>
    <x:row r="61" ht="50" customHeight="1">
      <x:c r="A61" s="20" t="str">
        <x:v>CAT-60</x:v>
      </x:c>
      <x:c r="B61" s="20" t="str">
        <x:v>Estado Acción Correctiva Habilita</x:v>
      </x:c>
      <x:c r="C61" s="20" t="str">
        <x:v>Lifecycle independiente de CAPAs.</x:v>
      </x:c>
      <x:c r="D61" s="20" t="str">
        <x:v>V0-176</x:v>
      </x:c>
      <x:c r="E61" s="20" t="str">
        <x:v>Alta</x:v>
      </x:c>
      <x:c r="F61" s="20" t="str">
        <x:v>Base inicial</x:v>
      </x:c>
      <x:c r="G61" s="20" t="str">
        <x:v>Sí</x:v>
      </x:c>
      <x:c r="H61" s="20" t="str">
        <x:v>Cerrar con Habilita.</x:v>
      </x:c>
    </x:row>
    <x:row r="62" ht="50" customHeight="1">
      <x:c r="A62" s="20" t="str">
        <x:v>CAT-61</x:v>
      </x:c>
      <x:c r="B62" s="20" t="str">
        <x:v>Estado Supersession Comercial</x:v>
      </x:c>
      <x:c r="C62" s="20" t="str">
        <x:v>Vigencia/versionado de UC frente a enmiendas de la fuente.</x:v>
      </x:c>
      <x:c r="D62" s="20" t="str">
        <x:v>V0-178</x:v>
      </x:c>
      <x:c r="E62" s="20" t="str">
        <x:v>Crítica</x:v>
      </x:c>
      <x:c r="F62" s="20" t="str">
        <x:v>Pendiente Q-04</x:v>
      </x:c>
      <x:c r="G62" s="20" t="str">
        <x:v>Sí</x:v>
      </x:c>
      <x:c r="H62" s="20" t="str">
        <x:v>No eliminar versiones previas.</x:v>
      </x:c>
    </x:row>
    <x:row r="63" ht="52" customHeight="1">
      <x:c r="A63" s="20" t="str">
        <x:v>CAT-62</x:v>
      </x:c>
      <x:c r="B63" s="20" t="str">
        <x:v>Estado Planificacion</x:v>
      </x:c>
      <x:c r="C63" s="20" t="str">
        <x:v>ABIERTA · ACTIVA · CERRADA · CANCELADA.</x:v>
      </x:c>
      <x:c r="D63" s="20" t="str">
        <x:v>State machine v0.1</x:v>
      </x:c>
      <x:c r="E63" s="20" t="str">
        <x:v>Alta</x:v>
      </x:c>
      <x:c r="F63" s="20" t="str">
        <x:v>Baseline v2.2</x:v>
      </x:c>
      <x:c r="G63" s="20" t="str">
        <x:v>Sí</x:v>
      </x:c>
      <x:c r="H63" s="20" t="str">
        <x:v>No usar para expresar ejecución real.</x:v>
      </x:c>
    </x:row>
    <x:row r="64" ht="52" customHeight="1">
      <x:c r="A64" s="20" t="str">
        <x:v>CAT-63</x:v>
      </x:c>
      <x:c r="B64" s="20" t="str">
        <x:v>Estado AsignacionPlanificada</x:v>
      </x:c>
      <x:c r="C64" s="20" t="str">
        <x:v>PROGRAMADA · READY · DESPACHADA · CUMPLIDA · NO_REALIZADA · CANCELADA · SUPERSEDIDA.</x:v>
      </x:c>
      <x:c r="D64" s="20" t="str">
        <x:v>State machine v0.1</x:v>
      </x:c>
      <x:c r="E64" s="20" t="str">
        <x:v>Alta</x:v>
      </x:c>
      <x:c r="F64" s="20" t="str">
        <x:v>Baseline v2.2</x:v>
      </x:c>
      <x:c r="G64" s="20" t="str">
        <x:v>Sí</x:v>
      </x:c>
      <x:c r="H64" s="20" t="str">
        <x:v>DESPACHADA no significa ejecutada.</x:v>
      </x:c>
    </x:row>
    <x:row r="65" ht="52" customHeight="1">
      <x:c r="A65" s="20" t="str">
        <x:v>CAT-64</x:v>
      </x:c>
      <x:c r="B65" s="20" t="str">
        <x:v>Estado Parte</x:v>
      </x:c>
      <x:c r="C65" s="20" t="str">
        <x:v>PREPARADO · EN_EJECUCION · SUSPENDIDO · CERRADO_OPERATIVAMENTE · ANULADO.</x:v>
      </x:c>
      <x:c r="D65" s="20" t="str">
        <x:v>State machine v0.1</x:v>
      </x:c>
      <x:c r="E65" s="20" t="str">
        <x:v>Crítica</x:v>
      </x:c>
      <x:c r="F65" s="20" t="str">
        <x:v>Baseline v2.2</x:v>
      </x:c>
      <x:c r="G65" s="20" t="str">
        <x:v>Sí</x:v>
      </x:c>
      <x:c r="H65" s="20" t="str">
        <x:v>Completitud documental/comercial va por otras dimensiones.</x:v>
      </x:c>
    </x:row>
    <x:row r="66" ht="52" customHeight="1">
      <x:c r="A66" s="20" t="str">
        <x:v>CAT-65</x:v>
      </x:c>
      <x:c r="B66" s="20" t="str">
        <x:v>Estado UnidadEjecucion</x:v>
      </x:c>
      <x:c r="C66" s="20" t="str">
        <x:v>PENDIENTE · EN_EJECUCION · SUSPENDIDA · CERRADA · NO_REALIZADA · ANULADA.</x:v>
      </x:c>
      <x:c r="D66" s="20" t="str">
        <x:v>State machine v0.1</x:v>
      </x:c>
      <x:c r="E66" s="20" t="str">
        <x:v>Crítica</x:v>
      </x:c>
      <x:c r="F66" s="20" t="str">
        <x:v>Baseline v2.2</x:v>
      </x:c>
      <x:c r="G66" s="20" t="str">
        <x:v>Sí</x:v>
      </x:c>
      <x:c r="H66" s="20" t="str">
        <x:v>UE cerrada se corrige por enmienda, no reabre.</x:v>
      </x:c>
    </x:row>
    <x:row r="67" ht="52" customHeight="1">
      <x:c r="A67" s="20" t="str">
        <x:v>CAT-66</x:v>
      </x:c>
      <x:c r="B67" s="20" t="str">
        <x:v>Estado PermisoTrabajo</x:v>
      </x:c>
      <x:c r="C67" s="20" t="str">
        <x:v>BORRADOR · PENDIENTE_APROBACION · APROBADO · VIGENTE · SUSPENDIDO · CERRADO · RECHAZADO · VENCIDO · ANULADO.</x:v>
      </x:c>
      <x:c r="D67" s="20" t="str">
        <x:v>State machine v0.1</x:v>
      </x:c>
      <x:c r="E67" s="20" t="str">
        <x:v>Crítica</x:v>
      </x:c>
      <x:c r="F67" s="20" t="str">
        <x:v>Baseline v2.2</x:v>
      </x:c>
      <x:c r="G67" s="20" t="str">
        <x:v>Sí</x:v>
      </x:c>
      <x:c r="H67" s="20" t="str">
        <x:v>VENCIDO no equivale a CERRADO.</x:v>
      </x:c>
    </x:row>
    <x:row r="68" ht="52" customHeight="1">
      <x:c r="A68" s="20" t="str">
        <x:v>CAT-67</x:v>
      </x:c>
      <x:c r="B68" s="20" t="str">
        <x:v>Estado DirectivaOperativa</x:v>
      </x:c>
      <x:c r="C68" s="20" t="str">
        <x:v>EMITIDA · RECIBIDA · RECONOCIDA · APLICADA · RECHAZADA · CANCELADA · EXPIRADA.</x:v>
      </x:c>
      <x:c r="D68" s="20" t="str">
        <x:v>State machine v0.1</x:v>
      </x:c>
      <x:c r="E68" s="20" t="str">
        <x:v>Alta</x:v>
      </x:c>
      <x:c r="F68" s="20" t="str">
        <x:v>Baseline v2.2</x:v>
      </x:c>
      <x:c r="G68" s="20" t="str">
        <x:v>Sí</x:v>
      </x:c>
      <x:c r="H68" s="20" t="str">
        <x:v>ACK y aplicación son hechos distintos.</x:v>
      </x:c>
    </x:row>
    <x:row r="69" ht="52" customHeight="1">
      <x:c r="A69" s="20" t="str">
        <x:v>CAT-68</x:v>
      </x:c>
      <x:c r="B69" s="20" t="str">
        <x:v>Estado EventoHabilita</x:v>
      </x:c>
      <x:c r="C69" s="20" t="str">
        <x:v>REPORTADO · EN_TRIAGE · CLASIFICADO · ESCALADO_A_CASO · CERRADO_SIN_CASO · DESCARTADO.</x:v>
      </x:c>
      <x:c r="D69" s="20" t="str">
        <x:v>State machine v0.1</x:v>
      </x:c>
      <x:c r="E69" s="20" t="str">
        <x:v>Alta</x:v>
      </x:c>
      <x:c r="F69" s="20" t="str">
        <x:v>Baseline v2.2</x:v>
      </x:c>
      <x:c r="G69" s="20" t="str">
        <x:v>Sí</x:v>
      </x:c>
      <x:c r="H69" s="20" t="str">
        <x:v>Reporte inicial se preserva.</x:v>
      </x:c>
    </x:row>
    <x:row r="70" ht="52" customHeight="1">
      <x:c r="A70" s="20" t="str">
        <x:v>CAT-69</x:v>
      </x:c>
      <x:c r="B70" s="20" t="str">
        <x:v>Estado CasoHabilita</x:v>
      </x:c>
      <x:c r="C70" s="20" t="str">
        <x:v>ABIERTO · EN_INVESTIGACION · SEGUIMIENTO_ACCIONES · LISTO_PARA_CIERRE · CERRADO.</x:v>
      </x:c>
      <x:c r="D70" s="20" t="str">
        <x:v>State machine v0.1</x:v>
      </x:c>
      <x:c r="E70" s="20" t="str">
        <x:v>Alta</x:v>
      </x:c>
      <x:c r="F70" s="20" t="str">
        <x:v>Baseline v2.2</x:v>
      </x:c>
      <x:c r="G70" s="20" t="str">
        <x:v>Sí</x:v>
      </x:c>
      <x:c r="H70" s="20" t="str">
        <x:v>Acciones tienen lifecycle separado.</x:v>
      </x:c>
    </x:row>
    <x:row r="71" ht="52" customHeight="1">
      <x:c r="A71" s="20" t="str">
        <x:v>CAT-70</x:v>
      </x:c>
      <x:c r="B71" s="20" t="str">
        <x:v>Estado UnidadComercial</x:v>
      </x:c>
      <x:c r="C71" s="20" t="str">
        <x:v>INCOMPLETA · ELEGIBLE · EN_REVISION · OBSERVADA · ACEPTADA · RECHAZADA.</x:v>
      </x:c>
      <x:c r="D71" s="20" t="str">
        <x:v>State machine v0.1</x:v>
      </x:c>
      <x:c r="E71" s="20" t="str">
        <x:v>Crítica</x:v>
      </x:c>
      <x:c r="F71" s="20" t="str">
        <x:v>Baseline v2.2</x:v>
      </x:c>
      <x:c r="G71" s="20" t="str">
        <x:v>Sí</x:v>
      </x:c>
      <x:c r="H71" s="20" t="str">
        <x:v>Supersession corre en paralelo.</x:v>
      </x:c>
    </x:row>
    <x:row r="72" ht="52" customHeight="1">
      <x:c r="A72" s="20" t="str">
        <x:v>CAT-71</x:v>
      </x:c>
      <x:c r="B72" s="20" t="str">
        <x:v>Estado PaqueteCertificacion</x:v>
      </x:c>
      <x:c r="C72" s="20" t="str">
        <x:v>BORRADOR · LISTO_PARA_ENVIO · ENVIADO · EN_REVISION · OBSERVADO · ACEPTADO_PARCIAL · ACEPTADO · RECHAZADO · SUSTITUIDO.</x:v>
      </x:c>
      <x:c r="D72" s="20" t="str">
        <x:v>State machine v0.1</x:v>
      </x:c>
      <x:c r="E72" s="20" t="str">
        <x:v>Alta</x:v>
      </x:c>
      <x:c r="F72" s="20" t="str">
        <x:v>Baseline v2.2</x:v>
      </x:c>
      <x:c r="G72" s="20" t="str">
        <x:v>Sí</x:v>
      </x:c>
      <x:c r="H72" s="20" t="str">
        <x:v>Parcial solo por regla.</x:v>
      </x:c>
    </x:row>
    <x:row r="73" ht="52" customHeight="1">
      <x:c r="A73" s="20" t="str">
        <x:v>CAT-72</x:v>
      </x:c>
      <x:c r="B73" s="20" t="str">
        <x:v>Estado LoteFacturacion</x:v>
      </x:c>
      <x:c r="C73" s="20" t="str">
        <x:v>BORRADOR · VALIDADO · ENVIADO_ERP · ACEPTADO_ERP · ERROR_ERP · CANCELADO.</x:v>
      </x:c>
      <x:c r="D73" s="20" t="str">
        <x:v>State machine v0.1</x:v>
      </x:c>
      <x:c r="E73" s="20" t="str">
        <x:v>Alta</x:v>
      </x:c>
      <x:c r="F73" s="20" t="str">
        <x:v>Baseline v2.2</x:v>
      </x:c>
      <x:c r="G73" s="20" t="str">
        <x:v>Sí</x:v>
      </x:c>
      <x:c r="H73" s="20" t="str">
        <x:v>ERP es boundary.</x:v>
      </x:c>
    </x:row>
    <x:row r="74" ht="48" customHeight="1">
      <x:c r="A74" s="20" t="str">
        <x:v>CAT-73</x:v>
      </x:c>
      <x:c r="B74" s="20" t="str">
        <x:v>Modo Captura Campo</x:v>
      </x:c>
      <x:c r="C74" s="20" t="str">
        <x:v>AUTODERIVADO</x:v>
      </x:c>
      <x:c r="D74" s="20" t="str">
        <x:v>Sin interacción; fuente canónica confiable.</x:v>
      </x:c>
      <x:c r="E74" s="20" t="str">
        <x:v>Alta</x:v>
      </x:c>
      <x:c r="F74" s="20" t="str">
        <x:v>Baseline v2.4</x:v>
      </x:c>
      <x:c r="G74" s="20" t="str">
        <x:v>Sí</x:v>
      </x:c>
      <x:c r="H74" s="20" t="str">
        <x:v>No mostrar si no aporta contexto.</x:v>
      </x:c>
    </x:row>
    <x:row r="75" ht="48" customHeight="1">
      <x:c r="A75" s="20" t="str">
        <x:v>CAT-74</x:v>
      </x:c>
      <x:c r="B75" s="20" t="str">
        <x:v>Modo Captura Campo</x:v>
      </x:c>
      <x:c r="C75" s="20" t="str">
        <x:v>AUTODERIVADO_VISIBLE</x:v>
      </x:c>
      <x:c r="D75" s="20" t="str">
        <x:v>Derivado; se muestra como contexto pero no exige confirmación normal.</x:v>
      </x:c>
      <x:c r="E75" s="20" t="str">
        <x:v>Alta</x:v>
      </x:c>
      <x:c r="F75" s="20" t="str">
        <x:v>Baseline v2.4</x:v>
      </x:c>
      <x:c r="G75" s="20" t="str">
        <x:v>Sí</x:v>
      </x:c>
      <x:c r="H75" s="20" t="str">
        <x:v>Excepción puede habilitar corrección.</x:v>
      </x:c>
    </x:row>
    <x:row r="76" ht="48" customHeight="1">
      <x:c r="A76" s="20" t="str">
        <x:v>CAT-75</x:v>
      </x:c>
      <x:c r="B76" s="20" t="str">
        <x:v>Modo Captura Campo</x:v>
      </x:c>
      <x:c r="C76" s="20" t="str">
        <x:v>PRECARGADO_CONFIRMAR</x:v>
      </x:c>
      <x:c r="D76" s="20" t="str">
        <x:v>Sistema propone valor y el humano confirma/corrige.</x:v>
      </x:c>
      <x:c r="E76" s="20" t="str">
        <x:v>Alta</x:v>
      </x:c>
      <x:c r="F76" s="20" t="str">
        <x:v>Baseline v2.4</x:v>
      </x:c>
      <x:c r="G76" s="20" t="str">
        <x:v>Sí</x:v>
      </x:c>
      <x:c r="H76" s="20" t="str">
        <x:v>Útil para ubicación/carga/contexto ambiguo.</x:v>
      </x:c>
    </x:row>
    <x:row r="77" ht="48" customHeight="1">
      <x:c r="A77" s="20" t="str">
        <x:v>CAT-76</x:v>
      </x:c>
      <x:c r="B77" s="20" t="str">
        <x:v>Modo Captura Campo</x:v>
      </x:c>
      <x:c r="C77" s="20" t="str">
        <x:v>SELECT</x:v>
      </x:c>
      <x:c r="D77" s="20" t="str">
        <x:v>Input humano estructurado de catálogo corto/contextual.</x:v>
      </x:c>
      <x:c r="E77" s="20" t="str">
        <x:v>Alta</x:v>
      </x:c>
      <x:c r="F77" s="20" t="str">
        <x:v>Baseline v2.4</x:v>
      </x:c>
      <x:c r="G77" s="20" t="str">
        <x:v>Sí</x:v>
      </x:c>
      <x:c r="H77" s="20" t="str">
        <x:v>Evitar listas masivas.</x:v>
      </x:c>
    </x:row>
    <x:row r="78" ht="48" customHeight="1">
      <x:c r="A78" s="20" t="str">
        <x:v>CAT-77</x:v>
      </x:c>
      <x:c r="B78" s="20" t="str">
        <x:v>Modo Captura Campo</x:v>
      </x:c>
      <x:c r="C78" s="20" t="str">
        <x:v>SHORT_INPUT</x:v>
      </x:c>
      <x:c r="D78" s="20" t="str">
        <x:v>Texto/voz breve inevitable.</x:v>
      </x:c>
      <x:c r="E78" s="20" t="str">
        <x:v>Alta</x:v>
      </x:c>
      <x:c r="F78" s="20" t="str">
        <x:v>Baseline v2.4</x:v>
      </x:c>
      <x:c r="G78" s="20" t="str">
        <x:v>Sí</x:v>
      </x:c>
      <x:c r="H78" s="20" t="str">
        <x:v>Nunca usar como sustituto de catálogos/relaciones.</x:v>
      </x:c>
    </x:row>
    <x:row r="79" ht="48" customHeight="1">
      <x:c r="A79" s="20" t="str">
        <x:v>CAT-78</x:v>
      </x:c>
      <x:c r="B79" s="20" t="str">
        <x:v>Modo Captura Campo</x:v>
      </x:c>
      <x:c r="C79" s="20" t="str">
        <x:v>EVIDENCE</x:v>
      </x:c>
      <x:c r="D79" s="20" t="str">
        <x:v>Foto/video/archivo/voz como evidencia contextual.</x:v>
      </x:c>
      <x:c r="E79" s="20" t="str">
        <x:v>Alta</x:v>
      </x:c>
      <x:c r="F79" s="20" t="str">
        <x:v>Baseline v2.4</x:v>
      </x:c>
      <x:c r="G79" s="20" t="str">
        <x:v>Sí</x:v>
      </x:c>
      <x:c r="H79" s="20" t="str">
        <x:v>Metadata autoderivada.</x:v>
      </x:c>
    </x:row>
    <x:row r="80" ht="48" customHeight="1">
      <x:c r="A80" s="20" t="str">
        <x:v>CAT-79</x:v>
      </x:c>
      <x:c r="B80" s="20" t="str">
        <x:v>Modo Captura Campo</x:v>
      </x:c>
      <x:c r="C80" s="20" t="str">
        <x:v>SUPERVISOR / THIRD_PARTY</x:v>
      </x:c>
      <x:c r="D80" s="20" t="str">
        <x:v>Acto explícito de autoridad o conformidad, no carga normal del operario.</x:v>
      </x:c>
      <x:c r="E80" s="20" t="str">
        <x:v>Alta</x:v>
      </x:c>
      <x:c r="F80" s="20" t="str">
        <x:v>Baseline v2.4</x:v>
      </x:c>
      <x:c r="G80" s="20" t="str">
        <x:v>Sí</x:v>
      </x:c>
      <x:c r="H80" s="20" t="str">
        <x:v>No contar como dato autoderivable.</x:v>
      </x:c>
    </x:row>
    <x:row r="81" ht="48" customHeight="1">
      <x:c r="A81" s="20" t="str">
        <x:v>CAT-80</x:v>
      </x:c>
      <x:c r="B81" s="20" t="str">
        <x:v>Modo Captura Campo</x:v>
      </x:c>
      <x:c r="C81" s="20" t="str">
        <x:v>BACK_OFFICE</x:v>
      </x:c>
      <x:c r="D81" s="20" t="str">
        <x:v>Dato/completitud resuelta después; nunca pedir al operador si puede reconstruirse downstream.</x:v>
      </x:c>
      <x:c r="E81" s="20" t="str">
        <x:v>Alta</x:v>
      </x:c>
      <x:c r="F81" s="20" t="str">
        <x:v>Baseline v2.4</x:v>
      </x:c>
      <x:c r="G81" s="20" t="str">
        <x:v>Sí</x:v>
      </x:c>
      <x:c r="H81" s="20" t="str">
        <x:v>Contrato/certificación/facturación.</x:v>
      </x:c>
    </x:row>
    <x:row r="82" ht="48" customHeight="1">
      <x:c r="A82" s="20" t="str">
        <x:v>CAT-81</x:v>
      </x:c>
      <x:c r="B82" s="20" t="str">
        <x:v>Modo Captura Campo</x:v>
      </x:c>
      <x:c r="C82" s="20" t="str">
        <x:v>EXCEPCION_ONLY</x:v>
      </x:c>
      <x:c r="D82" s="20" t="str">
        <x:v>Campo oculto en happy path; aparece solo cuando hay desvío real.</x:v>
      </x:c>
      <x:c r="E82" s="20" t="str">
        <x:v>Alta</x:v>
      </x:c>
      <x:c r="F82" s="20" t="str">
        <x:v>Baseline v2.4</x:v>
      </x:c>
      <x:c r="G82" s="20" t="str">
        <x:v>Sí</x:v>
      </x:c>
      <x:c r="H82" s="20" t="str">
        <x:v>Clave para mantener ≤2 min.</x:v>
      </x:c>
    </x:row>
  </x:sheetData>
  <x:pageMargins left="0.7" right="0.7" top="0.75" bottom="0.75" header="0.3" footer="0.3"/>
  <x:tableParts count="1">
    <x:tablePart xmlns:r="http://schemas.openxmlformats.org/officeDocument/2006/relationships" r:id="R8ead29b07f2344d8"/>
  </x:tableParts>
</x:worksheet>
</file>

<file path=xl/worksheets/sheet6.xml><?xml version="1.0" encoding="utf-8"?>
<x:worksheet xmlns:x="http://schemas.openxmlformats.org/spreadsheetml/2006/main">
  <x:sheetFormatPr defaultRowHeight="15"/>
  <x:cols>
    <x:col min="1" max="1" width="30" hidden="0" customWidth="1"/>
    <x:col min="2" max="2" width="52" hidden="0" customWidth="1"/>
    <x:col min="3" max="3" width="28" hidden="0" customWidth="1"/>
    <x:col min="4" max="4" width="18" hidden="0" customWidth="1"/>
    <x:col min="5" max="5" width="20" hidden="0" customWidth="1"/>
  </x:cols>
  <x:sheetData>
    <x:row r="1" ht="30" customHeight="1">
      <x:c r="A1" s="52" t="str">
        <x:v>Variable PAE-only</x:v>
      </x:c>
      <x:c r="B1" s="52" t="str">
        <x:v>Lección útil para VDS</x:v>
      </x:c>
      <x:c r="C1" s="52" t="str">
        <x:v>Destino/impacto v0</x:v>
      </x:c>
      <x:c r="D1" s="52" t="str">
        <x:v>Restricción para VDS</x:v>
      </x:c>
      <x:c r="E1" s="52" t="str">
        <x:v>Decisión</x:v>
      </x:c>
    </x:row>
    <x:row r="2">
      <x:c r="A2" s="56" t="str">
        <x:v>Cantidad de Material</x:v>
      </x:c>
      <x:c r="B2" s="56" t="str">
        <x:v>PAE-only; solo confirma patrón de mediciones específicas.</x:v>
      </x:c>
      <x:c r="C2" s="56" t="str">
        <x:v>V0-048; V0-049; V0-050</x:v>
      </x:c>
      <x:c r="D2" s="56" t="str">
        <x:v>Ninguna</x:v>
      </x:c>
      <x:c r="E2" s="56" t="str">
        <x:v>Benchmark únicamente</x:v>
      </x:c>
    </x:row>
    <x:row r="3">
      <x:c r="A3" s="56" t="str">
        <x:v>Código / Descripción de Material</x:v>
      </x:c>
      <x:c r="B3" s="56" t="str">
        <x:v>PAE-only; si VDS lo necesitara, requerirá catálogo de material específico.</x:v>
      </x:c>
      <x:c r="C3" s="56" t="str">
        <x:v>V0-048</x:v>
      </x:c>
      <x:c r="D3" s="56" t="str">
        <x:v>Ninguna</x:v>
      </x:c>
      <x:c r="E3" s="56" t="str">
        <x:v>Benchmark únicamente</x:v>
      </x:c>
    </x:row>
    <x:row r="4">
      <x:c r="A4" s="56" t="str">
        <x:v>Día de Ejecución</x:v>
      </x:c>
      <x:c r="B4" s="56" t="str">
        <x:v>PAE-only; confirma necesidad de fecha real de ejecución.</x:v>
      </x:c>
      <x:c r="C4" s="56" t="str">
        <x:v>V0-010</x:v>
      </x:c>
      <x:c r="D4" s="56" t="str">
        <x:v>Ninguna</x:v>
      </x:c>
      <x:c r="E4" s="56" t="str">
        <x:v>Benchmark únicamente</x:v>
      </x:c>
    </x:row>
    <x:row r="5">
      <x:c r="A5" s="56" t="str">
        <x:v>Finalización de OT</x:v>
      </x:c>
      <x:c r="B5" s="56" t="str">
        <x:v>PAE-only y propio de su workflow de OT; no condicionar núcleo VDS.</x:v>
      </x:c>
      <x:c r="C5" s="56" t="str"/>
      <x:c r="D5" s="56" t="str">
        <x:v>Ninguna</x:v>
      </x:c>
      <x:c r="E5" s="56" t="str">
        <x:v>Benchmark únicamente</x:v>
      </x:c>
    </x:row>
    <x:row r="6">
      <x:c r="A6" s="56" t="str">
        <x:v>ID MANTEC Equipo Desmontado</x:v>
      </x:c>
      <x:c r="B6" s="56" t="str">
        <x:v>PAE-only; identificador de activo intervenido en sistema externo.</x:v>
      </x:c>
      <x:c r="C6" s="56" t="str">
        <x:v>V0-023</x:v>
      </x:c>
      <x:c r="D6" s="56" t="str">
        <x:v>Ninguna</x:v>
      </x:c>
      <x:c r="E6" s="56" t="str">
        <x:v>Benchmark únicamente</x:v>
      </x:c>
    </x:row>
    <x:row r="7">
      <x:c r="A7" s="56" t="str">
        <x:v>ID MANTEC Equipo Hallado</x:v>
      </x:c>
      <x:c r="B7" s="56" t="str">
        <x:v>PAE-only; identificador de activo intervenido en sistema externo.</x:v>
      </x:c>
      <x:c r="C7" s="56" t="str">
        <x:v>V0-023</x:v>
      </x:c>
      <x:c r="D7" s="56" t="str">
        <x:v>Ninguna</x:v>
      </x:c>
      <x:c r="E7" s="56" t="str">
        <x:v>Benchmark únicamente</x:v>
      </x:c>
    </x:row>
    <x:row r="8">
      <x:c r="A8" s="56" t="str">
        <x:v>ID MANTEC Equipo Montado</x:v>
      </x:c>
      <x:c r="B8" s="56" t="str">
        <x:v>PAE-only; identificador de activo intervenido en sistema externo.</x:v>
      </x:c>
      <x:c r="C8" s="56" t="str">
        <x:v>V0-023</x:v>
      </x:c>
      <x:c r="D8" s="56" t="str">
        <x:v>Ninguna</x:v>
      </x:c>
      <x:c r="E8" s="56" t="str">
        <x:v>Benchmark únicamente</x:v>
      </x:c>
    </x:row>
    <x:row r="9">
      <x:c r="A9" s="56" t="str">
        <x:v>ID SAP Equipo Desmontado</x:v>
      </x:c>
      <x:c r="B9" s="56" t="str">
        <x:v>PAE-only; identificador externo de activo.</x:v>
      </x:c>
      <x:c r="C9" s="56" t="str">
        <x:v>V0-023</x:v>
      </x:c>
      <x:c r="D9" s="56" t="str">
        <x:v>Ninguna</x:v>
      </x:c>
      <x:c r="E9" s="56" t="str">
        <x:v>Benchmark únicamente</x:v>
      </x:c>
    </x:row>
    <x:row r="10">
      <x:c r="A10" s="56" t="str">
        <x:v>ID SAP Equipo Hallado</x:v>
      </x:c>
      <x:c r="B10" s="56" t="str">
        <x:v>PAE-only; identificador externo de activo.</x:v>
      </x:c>
      <x:c r="C10" s="56" t="str">
        <x:v>V0-023</x:v>
      </x:c>
      <x:c r="D10" s="56" t="str">
        <x:v>Ninguna</x:v>
      </x:c>
      <x:c r="E10" s="56" t="str">
        <x:v>Benchmark únicamente</x:v>
      </x:c>
    </x:row>
    <x:row r="11">
      <x:c r="A11" s="56" t="str">
        <x:v>ID SAP Equipo Montado</x:v>
      </x:c>
      <x:c r="B11" s="56" t="str">
        <x:v>PAE-only; identificador externo de activo.</x:v>
      </x:c>
      <x:c r="C11" s="56" t="str">
        <x:v>V0-023</x:v>
      </x:c>
      <x:c r="D11" s="56" t="str">
        <x:v>Ninguna</x:v>
      </x:c>
      <x:c r="E11" s="56" t="str">
        <x:v>Benchmark únicamente</x:v>
      </x:c>
    </x:row>
    <x:row r="12">
      <x:c r="A12" s="56" t="str">
        <x:v>N° de Cuadrilla</x:v>
      </x:c>
      <x:c r="B12" s="56" t="str">
        <x:v>PAE-only; aporta evidencia de que Cuadrilla puede tener identidad.</x:v>
      </x:c>
      <x:c r="C12" s="56" t="str">
        <x:v>V0-030</x:v>
      </x:c>
      <x:c r="D12" s="56" t="str">
        <x:v>Ninguna</x:v>
      </x:c>
      <x:c r="E12" s="56" t="str">
        <x:v>Benchmark únicamente</x:v>
      </x:c>
    </x:row>
    <x:row r="13">
      <x:c r="A13" s="56" t="str">
        <x:v>Orden de Trabajo (OT N°)</x:v>
      </x:c>
      <x:c r="B13" s="56" t="str">
        <x:v>PAE-only; referencia upstream de su sistema.</x:v>
      </x:c>
      <x:c r="C13" s="56" t="str"/>
      <x:c r="D13" s="56" t="str">
        <x:v>Ninguna</x:v>
      </x:c>
      <x:c r="E13" s="56" t="str">
        <x:v>Benchmark únicamente</x:v>
      </x:c>
    </x:row>
    <x:row r="14">
      <x:c r="A14" s="56" t="str">
        <x:v>Período / Mes / Rango de Fechas</x:v>
      </x:c>
      <x:c r="B14" s="56" t="str">
        <x:v>PAE-only; patrón de período, no core del Parte.</x:v>
      </x:c>
      <x:c r="C14" s="56" t="str">
        <x:v>V0-052; V0-053</x:v>
      </x:c>
      <x:c r="D14" s="56" t="str">
        <x:v>Ninguna</x:v>
      </x:c>
      <x:c r="E14" s="56" t="str">
        <x:v>Benchmark únicamente</x:v>
      </x:c>
    </x:row>
    <x:row r="15">
      <x:c r="A15" s="56" t="str">
        <x:v>Unidad de Gestión</x:v>
      </x:c>
      <x:c r="B15" s="56" t="str">
        <x:v>PAE-only; dimensión organizacional propia del sistema PAE.</x:v>
      </x:c>
      <x:c r="C15" s="56" t="str"/>
      <x:c r="D15" s="56" t="str">
        <x:v>Ninguna</x:v>
      </x:c>
      <x:c r="E15" s="56" t="str">
        <x:v>Benchmark únicamente</x:v>
      </x:c>
    </x:row>
    <x:row r="16">
      <x:c r="A16" s="57" t="str">
        <x:v>Unidad de Medida</x:v>
      </x:c>
      <x:c r="B16" s="57" t="str">
        <x:v>PAE-only; confirma patrón de métrica + unidad.</x:v>
      </x:c>
      <x:c r="C16" s="57" t="str">
        <x:v>V0-050</x:v>
      </x:c>
      <x:c r="D16" s="57" t="str">
        <x:v>Ninguna</x:v>
      </x:c>
      <x:c r="E16" s="57" t="str">
        <x:v>Benchmark únicamente</x:v>
      </x:c>
    </x:row>
  </x:sheetData>
  <x:pageMargins left="0.7" right="0.7" top="0.75" bottom="0.75" header="0.3" footer="0.3"/>
  <x:tableParts count="1">
    <x:tablePart xmlns:r="http://schemas.openxmlformats.org/officeDocument/2006/relationships" r:id="Rda47385691d54343"/>
  </x:tableParts>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x:c r="A1" s="46" t="str">
        <x:v>Estado v0</x:v>
      </x:c>
      <x:c r="B1" s="46" t="str">
        <x:v>Input humano</x:v>
      </x:c>
      <x:c r="C1" s="46" t="str">
        <x:v>Obligatoriedad</x:v>
      </x:c>
      <x:c r="D1" s="46" t="str">
        <x:v>Estado validación</x:v>
      </x:c>
      <x:c r="E1" s="46" t="str">
        <x:v>Prioridad</x:v>
      </x:c>
      <x:c r="F1" t="str">
        <x:v>Estado respuesta</x:v>
      </x:c>
    </x:row>
    <x:row r="2">
      <x:c r="A2" s="20" t="str">
        <x:v>Base sólida</x:v>
      </x:c>
      <x:c r="B2" s="20" t="str">
        <x:v>No</x:v>
      </x:c>
      <x:c r="C2" s="20" t="str">
        <x:v>Core</x:v>
      </x:c>
      <x:c r="D2" s="20" t="str">
        <x:v>Pendiente</x:v>
      </x:c>
      <x:c r="E2" s="20" t="str">
        <x:v>Crítica</x:v>
      </x:c>
      <x:c r="F2" t="str">
        <x:v>Pendiente</x:v>
      </x:c>
    </x:row>
    <x:row r="3">
      <x:c r="A3" s="20" t="str">
        <x:v>Provisional</x:v>
      </x:c>
      <x:c r="B3" s="20" t="str">
        <x:v>Confirmación</x:v>
      </x:c>
      <x:c r="C3" s="20" t="str">
        <x:v>Condicional</x:v>
      </x:c>
      <x:c r="D3" s="20" t="str">
        <x:v>Validado</x:v>
      </x:c>
      <x:c r="E3" s="20" t="str">
        <x:v>Alta</x:v>
      </x:c>
      <x:c r="F3" t="str">
        <x:v>Respuesta inicial</x:v>
      </x:c>
    </x:row>
    <x:row r="4">
      <x:c r="A4" s="20" t="str">
        <x:v>Patrón de extensión</x:v>
      </x:c>
      <x:c r="B4" s="20" t="str">
        <x:v>Condicional</x:v>
      </x:c>
      <x:c r="C4" s="20" t="str">
        <x:v>Específica de servicio</x:v>
      </x:c>
      <x:c r="D4" s="20" t="str">
        <x:v>Rechazado</x:v>
      </x:c>
      <x:c r="E4" s="20" t="str">
        <x:v>Media</x:v>
      </x:c>
      <x:c r="F4" t="str">
        <x:v>Validado</x:v>
      </x:c>
    </x:row>
    <x:row r="5">
      <x:c r="A5" s="20" t="str">
        <x:v>Referencia upstream/downstream</x:v>
      </x:c>
      <x:c r="B5" s="20" t="str">
        <x:v>Sí (mínimo)</x:v>
      </x:c>
      <x:c r="C5" s="20" t="str">
        <x:v>Referencia</x:v>
      </x:c>
      <x:c r="D5" s="20" t="str">
        <x:v>No aplica</x:v>
      </x:c>
      <x:c r="E5" s="20" t="str">
        <x:v>Baja</x:v>
      </x:c>
      <x:c r="F5" t="str">
        <x:v>Requiere ajuste</x:v>
      </x:c>
    </x:row>
    <x:row r="6">
      <x:c r="A6" s="20" t="str">
        <x:v>Descartar como input</x:v>
      </x:c>
      <x:c r="B6" s="20"/>
      <x:c r="C6" s="20" t="str">
        <x:v>No core</x:v>
      </x:c>
      <x:c r="D6" s="20"/>
      <x:c r="E6" s="20"/>
      <x:c r="F6" t="str">
        <x:v>No aplica</x:v>
      </x:c>
    </x:row>
    <x:row r="7">
      <x:c r="A7" s="20"/>
      <x:c r="B7" s="20"/>
      <x:c r="C7" s="20"/>
      <x:c r="D7" s="20"/>
      <x:c r="E7" s="20"/>
    </x:row>
    <x:row r="8">
      <x:c r="A8" s="20"/>
      <x:c r="B8" s="20"/>
      <x:c r="C8" s="20"/>
      <x:c r="D8" s="20"/>
      <x:c r="E8" s="20"/>
    </x:row>
    <x:row r="9">
      <x:c r="A9" s="20"/>
      <x:c r="B9" s="20"/>
      <x:c r="C9" s="20"/>
      <x:c r="D9" s="20"/>
      <x:c r="E9" s="20"/>
    </x:row>
    <x:row r="10">
      <x:c r="A10" s="20"/>
      <x:c r="B10" s="20"/>
      <x:c r="C10" s="20"/>
      <x:c r="D10" s="20"/>
      <x:c r="E10" s="20"/>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24" hidden="0" customWidth="1"/>
    <x:col min="3" max="3" width="18" hidden="0" customWidth="1"/>
    <x:col min="4" max="4" width="34" hidden="0" customWidth="1"/>
    <x:col min="5" max="5" width="34" hidden="0" customWidth="1"/>
    <x:col min="6" max="6" width="34" hidden="0" customWidth="1"/>
    <x:col min="7" max="7" width="34" hidden="0" customWidth="1"/>
    <x:col min="8" max="8" width="34" hidden="0" customWidth="1"/>
  </x:cols>
  <x:sheetData>
    <x:row r="1" ht="15" hidden="0" customHeight="1">
      <x:c r="A1" s="67" t="str">
        <x:v>TP-ID</x:v>
      </x:c>
      <x:c r="B1" s="67" t="str">
        <x:v>Tipo de Parte / familia</x:v>
      </x:c>
      <x:c r="C1" s="67" t="str">
        <x:v>Formularios origen</x:v>
      </x:c>
      <x:c r="D1" s="67" t="str">
        <x:v>Estructura común observada</x:v>
      </x:c>
      <x:c r="E1" s="67" t="str">
        <x:v>Ramas específicas</x:v>
      </x:c>
      <x:c r="F1" s="67" t="str">
        <x:v>Regla de corte actual</x:v>
      </x:c>
      <x:c r="G1" s="67" t="str">
        <x:v>Estado v0.1</x:v>
      </x:c>
      <x:c r="H1" s="67" t="str">
        <x:v>Pendiente clave</x:v>
      </x:c>
    </x:row>
    <x:row r="2" ht="88" hidden="0" customHeight="1">
      <x:c r="A2" s="20" t="str">
        <x:v>TP-01</x:v>
      </x:c>
      <x:c r="B2" s="20" t="str">
        <x:v>Intervención / Trabajo Específico (nombre provisional)</x:v>
      </x:c>
      <x:c r="C2" s="20" t="str">
        <x:v>T2 + T6</x:v>
      </x:c>
      <x:c r="D2" s="20" t="str">
        <x:v>Parte centrado en un work package/intervención específica: alcance/tarea + ubicación/activo + personal/recursos + tiempo + evidencia. Puede contener subactividades/eventos, pero no trabajos comercialmente independientes.</x:v>
      </x:c>
      <x:c r="E2" s="20" t="str">
        <x:v>Ramas por servicio/intervención; referencias OT externas; mediciones/activos específicos cuando el contrato/servicio lo requiera.</x:v>
      </x:c>
      <x:c r="F2" s="20" t="str">
        <x:v>Corte por cambio de cliente o nuevo work package. Ubicación corta solo si cambia alcance/asset/perímetro de autorización. Turno: handover/revalidación, no corte universal. Recurso: sustitución trazada salvo que cree ejecución independiente.</x:v>
      </x:c>
      <x:c r="G2" s="20" t="str">
        <x:v>En definición avanzada · identidad redefinida</x:v>
      </x:c>
      <x:c r="H2" s="20" t="str">
        <x:v>Validar frontera exacta del work package, handover/cambio de turno, servicios compatibles, alcance de firmas y cardinalidad PermisoTrabajo.</x:v>
      </x:c>
    </x:row>
    <x:row r="3" ht="78" hidden="0" customHeight="1">
      <x:c r="A3" s="20" t="str">
        <x:v>TP-02</x:v>
      </x:c>
      <x:c r="B3" s="20" t="str">
        <x:v>Transporte de Cargas</x:v>
      </x:c>
      <x:c r="C3" s="20" t="str">
        <x:v>T3 + T4</x:v>
      </x:c>
      <x:c r="D3" s="20" t="str">
        <x:v>Parte como bitácora de una asignación/configuración de transporte homogénea; contiene N UnidadesEjecución/Movimientos con tiempos, ubicaciones, imputación y evidencia.</x:v>
      </x:c>
      <x:c r="E3" s="20" t="str">
        <x:v>Sólidas: equipo/pozo/reserva/imputación + evidencia solicitante por movimiento. Líquidas: camión + semi/acoplado + medición m³ + descarga/destino + firmas de cierre.</x:v>
      </x:c>
      <x:c r="F3" s="20" t="str">
        <x:v>Ubicación e imputación no cortan. Cliente sí. Rama sólida↔líquida y cambio de configuración principal: corte/continuidad condicional a validar. Unidad principal adicional =&gt; otro Parte.</x:v>
      </x:c>
      <x:c r="G3" s="20" t="str">
        <x:v>En definición avanzada</x:v>
      </x:c>
      <x:c r="H3" s="20" t="str">
        <x:v>Cerrar frontera temporal, sustitución de camión/semi, alcance de firmas, significado de Equipo T3 y Descarga Bat/Eq T4.</x:v>
      </x:c>
    </x:row>
    <x:row r="4" ht="26.399999618530273" hidden="0" customHeight="1">
      <x:c r="A4" s="20" t="str">
        <x:v>TP-03</x:v>
      </x:c>
      <x:c r="B4" s="20" t="str">
        <x:v>Reporte Diario de Cuadrilla</x:v>
      </x:c>
      <x:c r="C4" s="20" t="str">
        <x:v>T5 + T7</x:v>
      </x:c>
      <x:c r="D4" s="20" t="str">
        <x:v>Cuadrilla + fecha operativa + turno + cliente; contiene N UnidadesEjecución con tiempo, ubicación, recursos y evidencia.</x:v>
      </x:c>
      <x:c r="E4" s="20" t="str">
        <x:v>Variaciones T5/T7 se normalizan a componentes canónicos; ramas solo para datos específicos de Servicio/Contrato.</x:v>
      </x:c>
      <x:c r="F4" s="20" t="str">
        <x:v>Ubicación e imputación no cortan. Cliente y turno sí. Servicio/recurso adicional: corte condicional por regla.</x:v>
      </x:c>
      <x:c r="G4" s="20" t="str">
        <x:v>En definición avanzada</x:v>
      </x:c>
      <x:c r="H4" s="20" t="str">
        <x:v>Validar turnos, servicios que salen del TP-03, recurso adicional y alcance de evidencias/firmas.</x:v>
      </x:c>
    </x:row>
    <x:row r="5" ht="90" hidden="0" customHeight="1">
      <x:c r="A5" s="20" t="str">
        <x:v>HABILITA-01</x:v>
      </x:c>
      <x:c r="B5" s="20" t="str">
        <x:v>Evento Habilita / Incidente Ambiental — MÓDULO TRANSVERSAL</x:v>
      </x:c>
      <x:c r="C5" s="20" t="str">
        <x:v>Respuesta operativa + benchmark HSE</x:v>
      </x:c>
      <x:c r="D5" s="20" t="str">
        <x:v>Registro independiente de una ocurrencia Habilita. Puede vincularse a TP-01/02/03 o existir sin Parte activo. Mantiene identidad propia, triage/severidad y eventual CasoHabilita.</x:v>
      </x:c>
      <x:c r="E5" s="20" t="str">
        <x:v>Ambiental, near miss/high potential, lesión/illness, proceso, vehicular u otras categorías a validar con Habilita.</x:v>
      </x:c>
      <x:c r="F5" s="20" t="str">
        <x:v>NO participa del Motor de TipoParte. Cada ocurrencia genera EventoHabilita propio; puede suspender ejecución/PTW según ReglaEscalamientoHabilita pero no corta Parte automáticamente.</x:v>
      </x:c>
      <x:c r="G5" s="20" t="str">
        <x:v>DECISIÓN v1.1 · fuera del catálogo TipoParte</x:v>
      </x:c>
      <x:c r="H5" s="20" t="str">
        <x:v>Cerrar taxonomía, severidades, reporte mínimo, escalamiento, notificaciones y cierre de CasoHabilita.</x:v>
      </x:c>
    </x:row>
    <x:row r="6" ht="15" hidden="0" customHeight="1">
      <x:c r="A6" s="20"/>
      <x:c r="B6" s="20"/>
      <x:c r="C6" s="20"/>
      <x:c r="D6" s="20"/>
      <x:c r="E6" s="20"/>
      <x:c r="F6" s="20"/>
      <x:c r="G6" s="20"/>
      <x:c r="H6" s="20"/>
    </x:row>
    <x:row r="7" ht="15" hidden="0" customHeight="1">
      <x:c r="A7" s="20"/>
      <x:c r="B7" s="20"/>
      <x:c r="C7" s="20"/>
      <x:c r="D7" s="20"/>
      <x:c r="E7" s="20"/>
      <x:c r="F7" s="20"/>
      <x:c r="G7" s="20"/>
      <x:c r="H7" s="20"/>
    </x:row>
    <x:row r="8" ht="15" hidden="0" customHeight="1">
      <x:c r="A8" s="72" t="str">
        <x:v>Paso</x:v>
      </x:c>
      <x:c r="B8" s="72" t="str">
        <x:v>Input</x:v>
      </x:c>
      <x:c r="C8" s="72" t="str">
        <x:v>Motor / decisión</x:v>
      </x:c>
      <x:c r="D8" s="72" t="str">
        <x:v>Output</x:v>
      </x:c>
      <x:c r="E8" s="72" t="str">
        <x:v>¿Usuario elige tipo?</x:v>
      </x:c>
      <x:c r="F8" s="72" t="str">
        <x:v>Fallback</x:v>
      </x:c>
      <x:c r="G8" s="72" t="str">
        <x:v>Nota</x:v>
      </x:c>
      <x:c r="H8" s="20"/>
    </x:row>
    <x:row r="9" ht="26.399999618530273" hidden="0" customHeight="1">
      <x:c r="A9" s="20" t="n">
        <x:v>1</x:v>
      </x:c>
      <x:c r="B9" s="20" t="str">
        <x:v>Usuario autenticado</x:v>
      </x:c>
      <x:c r="C9" s="20" t="str">
        <x:v>Resolver PerfilOperativo</x:v>
      </x:c>
      <x:c r="D9" s="20" t="str">
        <x:v>Perfil + capacidades</x:v>
      </x:c>
      <x:c r="E9" s="20" t="str">
        <x:v>No</x:v>
      </x:c>
      <x:c r="F9" s="20" t="str">
        <x:v>—</x:v>
      </x:c>
      <x:c r="G9" s="20" t="str">
        <x:v>El perfil acota rutas posibles.</x:v>
      </x:c>
      <x:c r="H9" s="20"/>
    </x:row>
    <x:row r="10" ht="26.399999618530273" hidden="0" customHeight="1">
      <x:c r="A10" s="20" t="n">
        <x:v>2</x:v>
      </x:c>
      <x:c r="B10" s="20" t="str">
        <x:v>Asignación/Planificación</x:v>
      </x:c>
      <x:c r="C10" s="20" t="str">
        <x:v>Leer tarea, servicio, ubicación y contexto</x:v>
      </x:c>
      <x:c r="D10" s="20" t="str">
        <x:v>Contexto de trabajo</x:v>
      </x:c>
      <x:c r="E10" s="20" t="str">
        <x:v>No</x:v>
      </x:c>
      <x:c r="F10" s="20" t="str">
        <x:v>Trabajo emergente</x:v>
      </x:c>
      <x:c r="G10" s="20" t="str">
        <x:v>No diseñamos Planificación aún; solo consumimos su contexto.</x:v>
      </x:c>
      <x:c r="H10" s="20"/>
    </x:row>
    <x:row r="11" ht="39.599998474121094" hidden="0" customHeight="1">
      <x:c r="A11" s="20" t="n">
        <x:v>3</x:v>
      </x:c>
      <x:c r="B11" s="20" t="str">
        <x:v>Perfil + contexto</x:v>
      </x:c>
      <x:c r="C11" s="20" t="str">
        <x:v>Aplicar ReglaEnrutamientoTipoParte</x:v>
      </x:c>
      <x:c r="D11" s="20" t="str">
        <x:v>TipoParte candidato/resuelto</x:v>
      </x:c>
      <x:c r="E11" s="20" t="str">
        <x:v>No</x:v>
      </x:c>
      <x:c r="F11" s="20" t="str">
        <x:v>Ambigüedad controlada</x:v>
      </x:c>
      <x:c r="G11" s="20" t="str">
        <x:v>Nunca mostrar catálogo general de Partes.</x:v>
      </x:c>
      <x:c r="H11" s="20"/>
    </x:row>
    <x:row r="12" ht="39.599998474121094" hidden="0" customHeight="1">
      <x:c r="A12" s="20" t="n">
        <x:v>4</x:v>
      </x:c>
      <x:c r="B12" s="20" t="str">
        <x:v>TipoParte + Servicio + Contrato</x:v>
      </x:c>
      <x:c r="C12" s="20" t="str">
        <x:v>Componer componentes y requisitos</x:v>
      </x:c>
      <x:c r="D12" s="20" t="str">
        <x:v>Ruta/formulario operativo</x:v>
      </x:c>
      <x:c r="E12" s="20" t="str">
        <x:v>No</x:v>
      </x:c>
      <x:c r="F12" s="20" t="str">
        <x:v>Regla de excepción</x:v>
      </x:c>
      <x:c r="G12" s="20" t="str">
        <x:v>El contrato agrega mediciones; el servicio agrega datos técnicos.</x:v>
      </x:c>
      <x:c r="H12" s="20"/>
    </x:row>
    <x:row r="13" ht="15" hidden="0" customHeight="1">
      <x:c r="A13" s="20" t="n">
        <x:v>5</x:v>
      </x:c>
      <x:c r="B13" s="20" t="str">
        <x:v>Personas + recursos + fecha</x:v>
      </x:c>
      <x:c r="C13" s="20" t="str">
        <x:v>Evaluar habilitaciones</x:v>
      </x:c>
      <x:c r="D13" s="20" t="str">
        <x:v>Habilita / advierte / bloquea</x:v>
      </x:c>
      <x:c r="E13" s="20" t="str">
        <x:v>No</x:v>
      </x:c>
      <x:c r="F13" s="20" t="str">
        <x:v>Override autorizado</x:v>
      </x:c>
      <x:c r="G13" s="20" t="str">
        <x:v>Supervisor ve causas concretas.</x:v>
      </x:c>
      <x:c r="H13" s="20"/>
    </x:row>
    <x:row r="14" ht="26.399999618530273" hidden="0" customHeight="1">
      <x:c r="A14" s="20" t="n">
        <x:v>6</x:v>
      </x:c>
      <x:c r="B14" s="20" t="str">
        <x:v>Permisos aplicables</x:v>
      </x:c>
      <x:c r="C14" s="20" t="str">
        <x:v>Evaluar gate de seguridad</x:v>
      </x:c>
      <x:c r="D14" s="20" t="str">
        <x:v>Puede iniciar / bloqueado</x:v>
      </x:c>
      <x:c r="E14" s="20" t="str">
        <x:v>No</x:v>
      </x:c>
      <x:c r="F14" s="20" t="str">
        <x:v>Resolver permiso</x:v>
      </x:c>
      <x:c r="G14" s="20" t="str">
        <x:v>PermisoTrabajo es distinto del control documental permanente.</x:v>
      </x:c>
      <x:c r="H14" s="20"/>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32" hidden="0" customWidth="1"/>
    <x:col min="3" max="3" width="32" hidden="0" customWidth="1"/>
    <x:col min="4" max="4" width="32" hidden="0" customWidth="1"/>
    <x:col min="5" max="5" width="32" hidden="0" customWidth="1"/>
    <x:col min="6" max="6" width="32" hidden="0" customWidth="1"/>
    <x:col min="7" max="7" width="32" hidden="0" customWidth="1"/>
    <x:col min="8" max="8" width="32" hidden="0" customWidth="1"/>
  </x:cols>
  <x:sheetData>
    <x:row r="1" ht="15" hidden="0" customHeight="1">
      <x:c r="A1" s="67" t="str">
        <x:v>Momento</x:v>
      </x:c>
      <x:c r="B1" s="67" t="str">
        <x:v>Qué se evalúa</x:v>
      </x:c>
      <x:c r="C1" s="67" t="str">
        <x:v>Fecha contra la que se evalúa</x:v>
      </x:c>
      <x:c r="D1" s="67" t="str">
        <x:v>Resultado</x:v>
      </x:c>
      <x:c r="E1" s="67" t="str">
        <x:v>Acción supervisor</x:v>
      </x:c>
      <x:c r="F1" s="67" t="str">
        <x:v>Persistencia</x:v>
      </x:c>
      <x:c r="G1" s="67" t="str">
        <x:v>Ejemplo de riesgo</x:v>
      </x:c>
      <x:c r="H1" s="67" t="str">
        <x:v>Regla v0.1</x:v>
      </x:c>
    </x:row>
    <x:row r="2" ht="26.399999618530273" hidden="0" customHeight="1">
      <x:c r="A2" s="20" t="str">
        <x:v>Planificación</x:v>
      </x:c>
      <x:c r="B2" s="20" t="str">
        <x:v>Requisitos de personas y recursos previstos</x:v>
      </x:c>
      <x:c r="C2" s="20" t="str">
        <x:v>Fecha planificada</x:v>
      </x:c>
      <x:c r="D2" s="20" t="str">
        <x:v>Habilita / advierte / bloquea</x:v>
      </x:c>
      <x:c r="E2" s="20" t="str">
        <x:v>Ver faltantes/vencimientos futuros antes de asignar</x:v>
      </x:c>
      <x:c r="F2" s="20" t="str">
        <x:v>EvaluacionHabilitacion</x:v>
      </x:c>
      <x:c r="G2" s="20" t="str">
        <x:v>Documento vence antes de la tarea</x:v>
      </x:c>
      <x:c r="H2" s="20" t="str">
        <x:v>Anticipar el problema antes de que la cuadrilla salga.</x:v>
      </x:c>
    </x:row>
    <x:row r="3" ht="26.399999618530273" hidden="0" customHeight="1">
      <x:c r="A3" s="20" t="str">
        <x:v>Previo al inicio del Parte</x:v>
      </x:c>
      <x:c r="B3" s="20" t="str">
        <x:v>Personas y recursos reales + requisitos de contexto</x:v>
      </x:c>
      <x:c r="C3" s="20" t="str">
        <x:v>Fecha-hora real de inicio</x:v>
      </x:c>
      <x:c r="D3" s="20" t="str">
        <x:v>Habilita / advierte / bloquea</x:v>
      </x:c>
      <x:c r="E3" s="20" t="str">
        <x:v>Resolver reemplazo/override o impedir inicio</x:v>
      </x:c>
      <x:c r="F3" s="20" t="str">
        <x:v>EvaluacionHabilitacion</x:v>
      </x:c>
      <x:c r="G3" s="20" t="str">
        <x:v>Recurso/persona ya no habilitado</x:v>
      </x:c>
      <x:c r="H3" s="20" t="str">
        <x:v>Revalidación obligatoria del snapshot planificado.</x:v>
      </x:c>
    </x:row>
    <x:row r="4" ht="26.399999618530273" hidden="0" customHeight="1">
      <x:c r="A4" s="20" t="str">
        <x:v>Durante ejecución</x:v>
      </x:c>
      <x:c r="B4" s="20" t="str">
        <x:v>Cambios reales de persona/recurso o contexto</x:v>
      </x:c>
      <x:c r="C4" s="20" t="str">
        <x:v>Momento del cambio</x:v>
      </x:c>
      <x:c r="D4" s="20" t="str">
        <x:v>Reevaluación puntual</x:v>
      </x:c>
      <x:c r="E4" s="20" t="str">
        <x:v>Aceptar solo si nuevo recurso/persona cumple</x:v>
      </x:c>
      <x:c r="F4" s="20" t="str">
        <x:v>Nueva EvaluacionHabilitacion</x:v>
      </x:c>
      <x:c r="G4" s="20" t="str">
        <x:v>Reemplazo de unidad u operario</x:v>
      </x:c>
      <x:c r="H4" s="20" t="str">
        <x:v>Cada cambio relevante vuelve a pasar por el gate.</x:v>
      </x:c>
    </x:row>
    <x:row r="5" ht="15" hidden="0" customHeight="1">
      <x:c r="A5" s="20"/>
      <x:c r="B5" s="20"/>
      <x:c r="C5" s="20"/>
      <x:c r="D5" s="20"/>
      <x:c r="E5" s="20"/>
      <x:c r="F5" s="20"/>
      <x:c r="G5" s="20"/>
      <x:c r="H5" s="20"/>
    </x:row>
    <x:row r="6" ht="15" hidden="0" customHeight="1">
      <x:c r="A6" s="20"/>
      <x:c r="B6" s="20"/>
      <x:c r="C6" s="20"/>
      <x:c r="D6" s="20"/>
      <x:c r="E6" s="20"/>
      <x:c r="F6" s="20"/>
      <x:c r="G6" s="20"/>
      <x:c r="H6" s="20"/>
    </x:row>
    <x:row r="7" ht="15" hidden="0" customHeight="1">
      <x:c r="A7" s="72" t="str">
        <x:v>Objeto</x:v>
      </x:c>
      <x:c r="B7" s="72" t="str">
        <x:v>Rol</x:v>
      </x:c>
      <x:c r="C7" s="72" t="str">
        <x:v>Fuente</x:v>
      </x:c>
      <x:c r="D7" s="72" t="str">
        <x:v>Vigencia</x:v>
      </x:c>
      <x:c r="E7" s="72" t="str">
        <x:v>Severidad</x:v>
      </x:c>
      <x:c r="F7" s="72" t="str">
        <x:v>Override</x:v>
      </x:c>
      <x:c r="G7" s="72" t="str">
        <x:v>Auditoría</x:v>
      </x:c>
      <x:c r="H7" s="72" t="str">
        <x:v>Nota</x:v>
      </x:c>
    </x:row>
    <x:row r="8" ht="26.399999618530273" hidden="0" customHeight="1">
      <x:c r="A8" s="20" t="str">
        <x:v>RequisitoHabilitacion</x:v>
      </x:c>
      <x:c r="B8" s="20" t="str">
        <x:v>Define qué debe cumplirse y cuándo aplica</x:v>
      </x:c>
      <x:c r="C8" s="20" t="str">
        <x:v>Catálogo/gobernanza</x:v>
      </x:c>
      <x:c r="D8" s="20" t="str">
        <x:v>Puede ser permanente o con vencimiento</x:v>
      </x:c>
      <x:c r="E8" s="20" t="str">
        <x:v>Configurable</x:v>
      </x:c>
      <x:c r="F8" s="20" t="str">
        <x:v>Configurable</x:v>
      </x:c>
      <x:c r="G8" s="20" t="str">
        <x:v>Versionar regla</x:v>
      </x:c>
      <x:c r="H8" s="20" t="str">
        <x:v>No es el documento en sí.</x:v>
      </x:c>
    </x:row>
    <x:row r="9" ht="15" hidden="0" customHeight="1">
      <x:c r="A9" s="20" t="str">
        <x:v>DocumentoHabilitante</x:v>
      </x:c>
      <x:c r="B9" s="20" t="str">
        <x:v>Demuestra cumplimiento</x:v>
      </x:c>
      <x:c r="C9" s="20" t="str">
        <x:v>Gestión documental / integración</x:v>
      </x:c>
      <x:c r="D9" s="20" t="str">
        <x:v>desde/hasta</x:v>
      </x:c>
      <x:c r="E9" s="20" t="str">
        <x:v>—</x:v>
      </x:c>
      <x:c r="F9" s="20" t="str">
        <x:v>—</x:v>
      </x:c>
      <x:c r="G9" s="20" t="str">
        <x:v>Conservar metadatos</x:v>
      </x:c>
      <x:c r="H9" s="20" t="str">
        <x:v>El Parte no debería recargarlo.</x:v>
      </x:c>
    </x:row>
    <x:row r="10" ht="15" hidden="0" customHeight="1">
      <x:c r="A10" s="20" t="str">
        <x:v>EvaluacionHabilitacion</x:v>
      </x:c>
      <x:c r="B10" s="20" t="str">
        <x:v>Snapshot de decisión</x:v>
      </x:c>
      <x:c r="C10" s="20" t="str">
        <x:v>Sistema</x:v>
      </x:c>
      <x:c r="D10" s="20" t="str">
        <x:v>Fecha de planificación/inicio/cambio</x:v>
      </x:c>
      <x:c r="E10" s="20" t="str">
        <x:v>Informativo / advertencia / bloqueo</x:v>
      </x:c>
      <x:c r="F10" s="20" t="str">
        <x:v>Solo si regla lo permite</x:v>
      </x:c>
      <x:c r="G10" s="20" t="str">
        <x:v>Actor+hora+motivo</x:v>
      </x:c>
      <x:c r="H10" s="20" t="str">
        <x:v>Clave para trazabilidad.</x:v>
      </x:c>
    </x:row>
    <x:row r="11" ht="52" customHeight="1">
      <x:c r="A11" s="20" t="str">
        <x:v>OverrideGate</x:v>
      </x:c>
      <x:c r="B11" s="20" t="str">
        <x:v>Evento explícito de continuidad autorizada ante una ADVERTENCIA overrideable</x:v>
      </x:c>
      <x:c r="C11" s="20" t="str">
        <x:v>EvaluacionHabilitacion + regla</x:v>
      </x:c>
      <x:c r="D11" s="20" t="str">
        <x:v>Puntual</x:v>
      </x:c>
      <x:c r="E11" s="20" t="str">
        <x:v>Solo advertencia configurable</x:v>
      </x:c>
      <x:c r="F11" s="20" t="str">
        <x:v>Actor/rol autorizado + motivo + evidencia</x:v>
      </x:c>
      <x:c r="G11" s="20" t="str">
        <x:v>Append-only</x:v>
      </x:c>
      <x:c r="H11" s="20" t="str">
        <x:v>Un BLOQUEO duro no admite override salvo que la regla misma lo defina.</x:v>
      </x:c>
    </x:row>
    <x:row r="12" ht="52" customHeight="1">
      <x:c r="A12" s="20" t="str">
        <x:v>Invalidación Readiness</x:v>
      </x:c>
      <x:c r="B12" s="20" t="str">
        <x:v>Cambio posterior que vuelve obsoleto un resultado previo</x:v>
      </x:c>
      <x:c r="C12" s="20" t="str">
        <x:v>Documentos / disponibilidad / fecha / alcance</x:v>
      </x:c>
      <x:c r="D12" s="20" t="str">
        <x:v>Hasta nueva evaluación</x:v>
      </x:c>
      <x:c r="E12" s="20" t="str">
        <x:v>Reevaluar</x:v>
      </x:c>
      <x:c r="F12" s="20" t="str">
        <x:v>No aplica</x:v>
      </x:c>
      <x:c r="G12" s="20" t="str">
        <x:v>EventoInvalidacionReadiness</x:v>
      </x:c>
      <x:c r="H12" s="20" t="str">
        <x:v>READY debe poder volver a NO_READY antes del despacho/inicio.</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31" hidden="0" customWidth="1"/>
    <x:col min="3" max="3" width="31" hidden="0" customWidth="1"/>
    <x:col min="4" max="4" width="31" hidden="0" customWidth="1"/>
    <x:col min="5" max="5" width="31" hidden="0" customWidth="1"/>
    <x:col min="6" max="6" width="31" hidden="0" customWidth="1"/>
    <x:col min="7" max="7" width="31" hidden="0" customWidth="1"/>
    <x:col min="8" max="8" width="31" hidden="0" customWidth="1"/>
  </x:cols>
  <x:sheetData>
    <x:row r="1" ht="26.399999618530273" hidden="0" customHeight="1">
      <x:c r="A1" s="67" t="str">
        <x:v>Tipo contractual</x:v>
      </x:c>
      <x:c r="B1" s="67" t="str">
        <x:v>Qué exige registrar según respuesta inicial</x:v>
      </x:c>
      <x:c r="C1" s="67" t="str">
        <x:v>Unidad/medición</x:v>
      </x:c>
      <x:c r="D1" s="67" t="str">
        <x:v>Granularidad sugerida</x:v>
      </x:c>
      <x:c r="E1" s="67" t="str">
        <x:v>Efecto sobre el Parte</x:v>
      </x:c>
      <x:c r="F1" s="67" t="str">
        <x:v>Estado</x:v>
      </x:c>
      <x:c r="G1" s="67" t="str">
        <x:v>Validar</x:v>
      </x:c>
      <x:c r="H1" s="67" t="str">
        <x:v>Nota</x:v>
      </x:c>
    </x:row>
    <x:row r="2" ht="26.399999618530273" hidden="0" customHeight="1">
      <x:c r="A2" s="20" t="str">
        <x:v>Indemnizado</x:v>
      </x:c>
      <x:c r="B2" s="20" t="str">
        <x:v>Cantidad certificable por ítem</x:v>
      </x:c>
      <x:c r="C2" s="20" t="str">
        <x:v>Definida por ItemContrato (ej. hora, m³, pulgadas, etc.)</x:v>
      </x:c>
      <x:c r="D2" s="20" t="str">
        <x:v>UnidadEjecución/ImputacionEjecucion</x:v>
      </x:c>
      <x:c r="E2" s="20" t="str">
        <x:v>Activa mediciones obligatorias; no fuerza split por sí sola</x:v>
      </x:c>
      <x:c r="F2" s="20" t="str">
        <x:v>Respuesta inicial</x:v>
      </x:c>
      <x:c r="G2" s="20" t="str">
        <x:v>Reglas reales por contrato/ítem</x:v>
      </x:c>
      <x:c r="H2" s="20" t="str">
        <x:v>No fijar lista cerrada de unidades todavía.</x:v>
      </x:c>
    </x:row>
    <x:row r="3" ht="26.399999618530273" hidden="0" customHeight="1">
      <x:c r="A3" s="20" t="str">
        <x:v>Mensualizado</x:v>
      </x:c>
      <x:c r="B3" s="20" t="str">
        <x:v>Registro/evidencia de que la prestación ocurrió</x:v>
      </x:c>
      <x:c r="C3" s="20" t="str">
        <x:v>Puede no requerir cantidad por evento</x:v>
      </x:c>
      <x:c r="D3" s="20" t="str">
        <x:v>Parte/UnidadEjecución según tipo</x:v>
      </x:c>
      <x:c r="E3" s="20" t="str">
        <x:v>Prioriza trazabilidad/evidencia</x:v>
      </x:c>
      <x:c r="F3" s="20" t="str">
        <x:v>Respuesta inicial</x:v>
      </x:c>
      <x:c r="G3" s="20" t="str">
        <x:v>Qué evidencia mínima exige cada contrato</x:v>
      </x:c>
      <x:c r="H3" s="20" t="str">
        <x:v>Puede coexistir con métricas operativas no certificables.</x:v>
      </x:c>
    </x:row>
    <x:row r="4" ht="26.399999618530273" hidden="0" customHeight="1">
      <x:c r="A4" s="20" t="str">
        <x:v>On Call</x:v>
      </x:c>
      <x:c r="B4" s="20" t="str">
        <x:v>Tarea/intervención puntual</x:v>
      </x:c>
      <x:c r="C4" s="20" t="str">
        <x:v>Según ítem/servicio</x:v>
      </x:c>
      <x:c r="D4" s="20" t="str">
        <x:v>UnidadEjecución puntual</x:v>
      </x:c>
      <x:c r="E4" s="20" t="str">
        <x:v>Activa requisitos de tarea y evidencia</x:v>
      </x:c>
      <x:c r="F4" s="20" t="str">
        <x:v>Respuesta inicial</x:v>
      </x:c>
      <x:c r="G4" s="20" t="str">
        <x:v>Definición exacta y variantes</x:v>
      </x:c>
      <x:c r="H4" s="20" t="str">
        <x:v>No asumir que todo On Call comparte la misma unidad.</x:v>
      </x:c>
    </x:row>
    <x:row r="5" ht="15" hidden="0" customHeight="1">
      <x:c r="A5" s="20"/>
      <x:c r="B5" s="20"/>
      <x:c r="C5" s="20"/>
      <x:c r="D5" s="20"/>
      <x:c r="E5" s="20"/>
      <x:c r="F5" s="20"/>
      <x:c r="G5" s="20"/>
      <x:c r="H5" s="20"/>
    </x:row>
    <x:row r="6" ht="15" hidden="0" customHeight="1">
      <x:c r="A6" s="20"/>
      <x:c r="B6" s="20"/>
      <x:c r="C6" s="20"/>
      <x:c r="D6" s="20"/>
      <x:c r="E6" s="20"/>
      <x:c r="F6" s="20"/>
      <x:c r="G6" s="20"/>
      <x:c r="H6" s="20"/>
    </x:row>
    <x:row r="7" ht="15" hidden="0" customHeight="1">
      <x:c r="A7" s="72" t="str">
        <x:v>Relación</x:v>
      </x:c>
      <x:c r="B7" s="72" t="str">
        <x:v>Cardinalidad conceptual v0.1</x:v>
      </x:c>
      <x:c r="C7" s="72" t="str">
        <x:v>Regla</x:v>
      </x:c>
      <x:c r="D7" s="72" t="str">
        <x:v>Estado</x:v>
      </x:c>
      <x:c r="E7" s="72" t="str">
        <x:v>Riesgo</x:v>
      </x:c>
      <x:c r="F7" s="72" t="str">
        <x:v>Validación</x:v>
      </x:c>
      <x:c r="G7" s="72" t="str">
        <x:v>Consecuencia</x:v>
      </x:c>
      <x:c r="H7" s="20"/>
    </x:row>
    <x:row r="8" ht="26.399999618530273" hidden="0" customHeight="1">
      <x:c r="A8" s="20" t="str">
        <x:v>Contrato → ItemContrato</x:v>
      </x:c>
      <x:c r="B8" s="20" t="str">
        <x:v>1:N</x:v>
      </x:c>
      <x:c r="C8" s="20" t="str">
        <x:v>Un contrato puede contener múltiples ítems/servicios</x:v>
      </x:c>
      <x:c r="D8" s="20" t="str">
        <x:v>Base sólida conceptual</x:v>
      </x:c>
      <x:c r="E8" s="20" t="str">
        <x:v>Catálogo contractual incompleto</x:v>
      </x:c>
      <x:c r="F8" s="20" t="str">
        <x:v>Cargar contratos reales</x:v>
      </x:c>
      <x:c r="G8" s="20" t="str">
        <x:v>Permite derivar unidad y medición.</x:v>
      </x:c>
      <x:c r="H8" s="20"/>
    </x:row>
    <x:row r="9" ht="26.399999618530273" hidden="0" customHeight="1">
      <x:c r="A9" s="20" t="str">
        <x:v>UnidadEjecución → ImputacionEjecucion</x:v>
      </x:c>
      <x:c r="B9" s="20" t="str">
        <x:v>1:N potencial</x:v>
      </x:c>
      <x:c r="C9" s="20" t="str">
        <x:v>Una ejecución puede cambiar de imputación dentro de un Parte</x:v>
      </x:c>
      <x:c r="D9" s="20" t="str">
        <x:v>Respuesta inicial</x:v>
      </x:c>
      <x:c r="E9" s="20" t="str">
        <x:v>Granularidad exacta pendiente</x:v>
      </x:c>
      <x:c r="F9" s="20" t="str">
        <x:v>Validar si una unidad puede dividirse</x:v>
      </x:c>
      <x:c r="G9" s="20" t="str">
        <x:v>Evita split automático del Parte.</x:v>
      </x:c>
      <x:c r="H9" s="20"/>
    </x:row>
    <x:row r="10" ht="26.399999618530273" hidden="0" customHeight="1">
      <x:c r="A10" s="20" t="str">
        <x:v>Servicio → Contrato/Ítem</x:v>
      </x:c>
      <x:c r="B10" s="20" t="str">
        <x:v>Resolución contextual</x:v>
      </x:c>
      <x:c r="C10" s="20" t="str">
        <x:v>Debe resolver inequívocamente dentro de cliente+vigencia+contexto</x:v>
      </x:c>
      <x:c r="D10" s="20" t="str">
        <x:v>Provisional</x:v>
      </x:c>
      <x:c r="E10" s="20" t="str">
        <x:v>No generalizar globalmente</x:v>
      </x:c>
      <x:c r="F10" s="20" t="str">
        <x:v>Validar regla 'un servicio no dos contratos'</x:v>
      </x:c>
      <x:c r="G10" s="20" t="str">
        <x:v>Motor contractual confiable.</x:v>
      </x:c>
      <x:c r="H10" s="20"/>
    </x:row>
    <x:row r="12" ht="54" customHeight="1">
      <x:c r="A12" s="20" t="str">
        <x:v>Regla contractual adicional</x:v>
      </x:c>
      <x:c r="B12" s="20" t="str">
        <x:v>Objeto</x:v>
      </x:c>
      <x:c r="C12" s="20" t="str">
        <x:v>Qué resuelve</x:v>
      </x:c>
      <x:c r="D12" s="20" t="str">
        <x:v>Nivel</x:v>
      </x:c>
      <x:c r="E12" s="20" t="str">
        <x:v>Estado</x:v>
      </x:c>
      <x:c r="F12" s="20" t="str">
        <x:v>Validar</x:v>
      </x:c>
      <x:c r="G12" s="20" t="str">
        <x:v>Consecuencia</x:v>
      </x:c>
      <x:c r="H12" s="20" t="str">
        <x:v>Nota</x:v>
      </x:c>
    </x:row>
    <x:row r="13" ht="54" customHeight="1">
      <x:c r="A13" s="20" t="str">
        <x:v>ReglaTratamientoTiempo</x:v>
      </x:c>
      <x:c r="B13" s="20" t="str">
        <x:v>ContratoServicio/ItemContrato</x:v>
      </x:c>
      <x:c r="C13" s="20" t="str">
        <x:v>Cómo se trata comercialmente traslado, stand-by, suspensión, espera, carga/descarga</x:v>
      </x:c>
      <x:c r="D13" s="20" t="str">
        <x:v>EventoTiempo/categoría</x:v>
      </x:c>
      <x:c r="E13" s="20" t="str">
        <x:v>Nueva v1.0</x:v>
      </x:c>
      <x:c r="F13" s="20" t="str">
        <x:v>V68</x:v>
      </x:c>
      <x:c r="G13" s="20" t="str">
        <x:v>No obliga a borrar tiempo operacional</x:v>
      </x:c>
      <x:c r="H13" s="20" t="str">
        <x:v>Puede mapear a otro ítem, cero certificable o cantidad propia.</x:v>
      </x:c>
    </x:row>
    <x:row r="14" ht="54" customHeight="1">
      <x:c r="A14" s="20" t="str">
        <x:v>ReglaGranoUnidadComercial</x:v>
      </x:c>
      <x:c r="B14" s="20" t="str">
        <x:v>ContratoServicio/TipoContrato/Item</x:v>
      </x:c>
      <x:c r="C14" s="20" t="str">
        <x:v>Si UC nace por ejecución, movimiento, intervención, día o período</x:v>
      </x:c>
      <x:c r="D14" s="20" t="str">
        <x:v>UnidadComercial</x:v>
      </x:c>
      <x:c r="E14" s="20" t="str">
        <x:v>Nueva v1.0</x:v>
      </x:c>
      <x:c r="F14" s="20" t="str">
        <x:v>V74</x:v>
      </x:c>
      <x:c r="G14" s="20" t="str">
        <x:v>Permite N ejecuciones → 1 UC</x:v>
      </x:c>
      <x:c r="H14" s="20" t="str">
        <x:v>Clave para mensualizado/on-call.</x:v>
      </x:c>
    </x:row>
    <x:row r="15" ht="54" customHeight="1">
      <x:c r="A15" s="20" t="str">
        <x:v>ReglaParcialidadCertificacion</x:v>
      </x:c>
      <x:c r="B15" s="20" t="str">
        <x:v>ContratoServicio/cliente</x:v>
      </x:c>
      <x:c r="C15" s="20" t="str">
        <x:v>Si un paquete puede avanzar parcialmente</x:v>
      </x:c>
      <x:c r="D15" s="20" t="str">
        <x:v>PaqueteCertificacion</x:v>
      </x:c>
      <x:c r="E15" s="20" t="str">
        <x:v>Nueva v1.0</x:v>
      </x:c>
      <x:c r="F15" s="20" t="str">
        <x:v>V70</x:v>
      </x:c>
      <x:c r="G15" s="20" t="str">
        <x:v>UC independientes no implican paquete parcial automático</x:v>
      </x:c>
      <x:c r="H15" s="20" t="str">
        <x:v>Cliente/contrato gobierna.</x:v>
      </x:c>
    </x:row>
    <x:row r="16" ht="54" customHeight="1">
      <x:c r="A16" s="20" t="str">
        <x:v>ReglaFrescuraContexto</x:v>
      </x:c>
      <x:c r="B16" s="20" t="str">
        <x:v>ContratoServicio/TipoParte/riesgo</x:v>
      </x:c>
      <x:c r="C16" s="20" t="str">
        <x:v>Si se exige contexto offline fresco antes de Start Work</x:v>
      </x:c>
      <x:c r="D16" s="20" t="str">
        <x:v>ExecutionContextBundle</x:v>
      </x:c>
      <x:c r="E16" s="20" t="str">
        <x:v>Nueva v1.0</x:v>
      </x:c>
      <x:c r="F16" s="20" t="str">
        <x:v>V71</x:v>
      </x:c>
      <x:c r="G16" s="20" t="str">
        <x:v>Protege contra OT/cambios no recibidos</x:v>
      </x:c>
      <x:c r="H16" s="20" t="str">
        <x:v>Puede admitir override/emergencia controlada.</x:v>
      </x:c>
    </x:row>
    <x:row r="17" ht="54" customHeight="1">
      <x:c r="A17" s="20" t="str">
        <x:v>ReglaSolapamientoTemporal</x:v>
      </x:c>
      <x:c r="B17" s="20" t="str">
        <x:v>TipoRecurso/rol/servicio</x:v>
      </x:c>
      <x:c r="C17" s="20" t="str">
        <x:v>Qué solapamientos son incompatibles</x:v>
      </x:c>
      <x:c r="D17" s="20" t="str">
        <x:v>Persona/Recurso temporal</x:v>
      </x:c>
      <x:c r="E17" s="20" t="str">
        <x:v>Nueva v1.0</x:v>
      </x:c>
      <x:c r="F17" s="20" t="str">
        <x:v>V73</x:v>
      </x:c>
      <x:c r="G17" s="20" t="str">
        <x:v>Evita doble booking/doble ejecución</x:v>
      </x:c>
      <x:c r="H17" s="20" t="str">
        <x:v>No todo recurso de apoyo es exclusivo.</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6" hidden="0" customWidth="1"/>
    <x:col min="2" max="2" width="25" hidden="0" customWidth="1"/>
    <x:col min="3" max="3" width="46" hidden="0" customWidth="1"/>
    <x:col min="4" max="4" width="46" hidden="0" customWidth="1"/>
    <x:col min="5" max="5" width="18" hidden="0" customWidth="1"/>
  </x:cols>
  <x:sheetData>
    <x:row r="1" ht="15" hidden="0" customHeight="1">
      <x:c r="A1" s="67" t="str">
        <x:v>Q</x:v>
      </x:c>
      <x:c r="B1" s="67" t="str">
        <x:v>Tema</x:v>
      </x:c>
      <x:c r="C1" s="67" t="str">
        <x:v>Respuesta inicial resumida</x:v>
      </x:c>
      <x:c r="D1" s="67" t="str">
        <x:v>Impacto en modelo v0.1</x:v>
      </x:c>
      <x:c r="E1" s="67" t="str">
        <x:v>Estado</x:v>
      </x:c>
    </x:row>
    <x:row r="2" ht="26.399999618530273" hidden="0" customHeight="1">
      <x:c r="A2" s="20" t="n">
        <x:v>1</x:v>
      </x:c>
      <x:c r="B2" s="20" t="str">
        <x:v>Cuándo se genera más de un Parte</x:v>
      </x:c>
      <x:c r="C2" s="20" t="str">
        <x:v>Se mencionan cambios de ubicación, servicio, cliente, equipo, turno e incidentes; incidentes separados.</x:v>
      </x:c>
      <x:c r="D2" s="20" t="str">
        <x:v>Regla de corte se mueve a TipoParte.</x:v>
      </x:c>
      <x:c r="E2" s="20" t="str">
        <x:v>Respuesta inicial</x:v>
      </x:c>
    </x:row>
    <x:row r="3" ht="26.399999618530273" hidden="0" customHeight="1">
      <x:c r="A3" s="20" t="n">
        <x:v>2</x:v>
      </x:c>
      <x:c r="B3" s="20" t="str">
        <x:v>Trabajos independientes</x:v>
      </x:c>
      <x:c r="C3" s="20" t="str">
        <x:v>Tareas con certificación puntual/obra afectada no se mezclan necesariamente con otras.</x:v>
      </x:c>
      <x:c r="D3" s="20" t="str">
        <x:v>UnidadEjecución y regla de corte por tipo/contrato.</x:v>
      </x:c>
      <x:c r="E3" s="20" t="str">
        <x:v>Respuesta inicial</x:v>
      </x:c>
    </x:row>
    <x:row r="4" ht="26.399999618530273" hidden="0" customHeight="1">
      <x:c r="A4" s="20" t="n">
        <x:v>3</x:v>
      </x:c>
      <x:c r="B4" s="20" t="str">
        <x:v>Qué se conoce antes/durante</x:v>
      </x:c>
      <x:c r="C4" s="20" t="str">
        <x:v>Previo: dónde y qué tarea. Durante: clima/condiciones/directivas/urgencias y replanificación.</x:v>
      </x:c>
      <x:c r="D4" s="20" t="str">
        <x:v>Planificación precarga; EventosOperativos registran realidad emergente.</x:v>
      </x:c>
      <x:c r="E4" s="20" t="str">
        <x:v>Respuesta inicial</x:v>
      </x:c>
    </x:row>
    <x:row r="5" ht="26.399999618530273" hidden="0" customHeight="1">
      <x:c r="A5" s="20" t="n">
        <x:v>4</x:v>
      </x:c>
      <x:c r="B5" s="20" t="str">
        <x:v>Desvíos frecuentes</x:v>
      </x:c>
      <x:c r="C5" s="20" t="str">
        <x:v>Ubicación, equipo, personal, adicional, no realizado, espera, contingencia, extensión.</x:v>
      </x:c>
      <x:c r="D5" s="20" t="str">
        <x:v>EventoOperativo estructurado.</x:v>
      </x:c>
      <x:c r="E5" s="20" t="str">
        <x:v>Respuesta inicial</x:v>
      </x:c>
    </x:row>
    <x:row r="6" ht="26.399999618530273" hidden="0" customHeight="1">
      <x:c r="A6" s="20" t="n">
        <x:v>5</x:v>
      </x:c>
      <x:c r="B6" s="20" t="str">
        <x:v>Tipos de tiempo</x:v>
      </x:c>
      <x:c r="C6" s="20" t="str">
        <x:v>Traslado, ejecución, stand-by, cierre; pausas/refrigerio dependen del tipo.</x:v>
      </x:c>
      <x:c r="D6" s="20" t="str">
        <x:v>EventoTiempo + categorías configurables por TipoParte.</x:v>
      </x:c>
      <x:c r="E6" s="20" t="str">
        <x:v>Respuesta inicial</x:v>
      </x:c>
    </x:row>
    <x:row r="7" ht="26.399999618530273" hidden="0" customHeight="1">
      <x:c r="A7" s="20" t="n">
        <x:v>6</x:v>
      </x:c>
      <x:c r="B7" s="20" t="str">
        <x:v>Cambios de personas/recursos</x:v>
      </x:c>
      <x:c r="C7" s="20" t="str">
        <x:v>Reemplazo operario/unidad, equipo adicional, cambio turno; equipo adicional puede generar otro Parte.</x:v>
      </x:c>
      <x:c r="D7" s="20" t="str">
        <x:v>Asignaciones reales + reevaluación habilitación + regla de corte.</x:v>
      </x:c>
      <x:c r="E7" s="20" t="str">
        <x:v>Respuesta inicial</x:v>
      </x:c>
    </x:row>
    <x:row r="8" ht="26.399999618530273" hidden="0" customHeight="1">
      <x:c r="A8" s="20" t="n">
        <x:v>7</x:v>
      </x:c>
      <x:c r="B8" s="20" t="str">
        <x:v>Evidencia y permiso</x:v>
      </x:c>
      <x:c r="C8" s="20" t="str">
        <x:v>Aprobación cliente, fotos/mediciones cuando aplica; PermisoTrabajo habilita inicio y debe cerrarse.</x:v>
      </x:c>
      <x:c r="D8" s="20" t="str">
        <x:v>Separar Evidencia de PermisoTrabajo; gate previo de seguridad.</x:v>
      </x:c>
      <x:c r="E8" s="20" t="str">
        <x:v>Respuesta inicial</x:v>
      </x:c>
    </x:row>
    <x:row r="9" ht="26.399999618530273" hidden="0" customHeight="1">
      <x:c r="A9" s="20" t="n">
        <x:v>8</x:v>
      </x:c>
      <x:c r="B9" s="20" t="str">
        <x:v>Más de una imputación</x:v>
      </x:c>
      <x:c r="C9" s="20" t="str">
        <x:v>Sí: una jornada puede contener trabajos/movimientos con imputaciones distintas; centro global agrupa.</x:v>
      </x:c>
      <x:c r="D9" s="20" t="str">
        <x:v>ImputacionEjecucion a nivel granular; no split contractual automático.</x:v>
      </x:c>
      <x:c r="E9" s="20" t="str">
        <x:v>Respuesta inicial</x:v>
      </x:c>
    </x:row>
    <x:row r="10" ht="26.399999618530273" hidden="0" customHeight="1">
      <x:c r="A10" s="20" t="n">
        <x:v>9</x:v>
      </x:c>
      <x:c r="B10" s="20" t="str">
        <x:v>Datos indispensables para certificar</x:v>
      </x:c>
      <x:c r="C10" s="20" t="str">
        <x:v>Dependen del tipo de contrato: indemnizado por unidad/ítem; mensualizado registro; On Call tarea puntual.</x:v>
      </x:c>
      <x:c r="D10" s="20" t="str">
        <x:v>TipoContrato + ItemContrato + ReglaMedicion.</x:v>
      </x:c>
      <x:c r="E10" s="20" t="str">
        <x:v>Respuesta inicial</x:v>
      </x:c>
    </x:row>
    <x:row r="11" ht="15" hidden="0" customHeight="1">
      <x:c r="A11" s="20" t="n">
        <x:v>10</x:v>
      </x:c>
      <x:c r="B11" s="20" t="str">
        <x:v>Datos específicos servicio</x:v>
      </x:c>
      <x:c r="C11" s="20" t="str">
        <x:v>Lineales al tipo de contrato y unidad de medida.</x:v>
      </x:c>
      <x:c r="D11" s="20" t="str">
        <x:v>Mediciones activadas por ItemContrato/Servicio.</x:v>
      </x:c>
      <x:c r="E11" s="20" t="str">
        <x:v>Respuesta inicial</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28" hidden="0" customWidth="1"/>
    <x:col min="3" max="3" width="16" hidden="0" customWidth="1"/>
    <x:col min="4" max="4" width="34" hidden="0" customWidth="1"/>
    <x:col min="5" max="5" width="26" hidden="0" customWidth="1"/>
    <x:col min="6" max="6" width="29" hidden="0" customWidth="1"/>
    <x:col min="7" max="7" width="28" hidden="0" customWidth="1"/>
    <x:col min="8" max="8" width="30" hidden="0" customWidth="1"/>
    <x:col min="9" max="9" width="18" hidden="0" customWidth="1"/>
    <x:col min="10" max="10" width="20" hidden="0" customWidth="1"/>
    <x:col min="11" max="11" width="20" hidden="0" customWidth="1"/>
    <x:col min="12" max="12" width="20" hidden="0" customWidth="1"/>
    <x:col min="13" max="13" width="20" hidden="0" customWidth="1"/>
    <x:col min="14" max="14" width="20" hidden="0" customWidth="1"/>
    <x:col min="15" max="15" width="18" hidden="0" customWidth="1"/>
    <x:col min="16" max="16" width="22" hidden="0" customWidth="1"/>
    <x:col min="17" max="17" width="18" hidden="0" customWidth="1"/>
    <x:col min="18" max="18" width="18" hidden="0" customWidth="1"/>
    <x:col min="19" max="19" width="28" hidden="0" customWidth="1"/>
    <x:col min="20" max="20" width="34" hidden="0" customWidth="1"/>
    <x:col min="21" max="21" width="36" hidden="0" customWidth="1"/>
    <x:col min="22" max="22" width="32" hidden="0" customWidth="1"/>
    <x:col min="23" max="23" width="28" hidden="0" customWidth="1"/>
    <x:col min="24" max="24" width="34" hidden="0" customWidth="1"/>
    <x:col min="25" max="25" width="34" hidden="0" customWidth="1"/>
    <x:col min="26" max="26" width="22" hidden="0" customWidth="1"/>
    <x:col min="27" max="27" width="40" hidden="0" customWidth="1"/>
  </x:cols>
  <x:sheetData>
    <x:row r="1" ht="30" customHeight="1">
      <x:c r="A1" s="77" t="str">
        <x:v>MATRIZ DE TIPOS DE PARTE v0 · IDENTIDAD + REGLAS DE CORTE + COMPONENTES</x:v>
      </x:c>
      <x:c r="B1" s="77"/>
      <x:c r="C1" s="77"/>
      <x:c r="D1" s="77"/>
      <x:c r="E1" s="77"/>
      <x:c r="F1" s="77"/>
      <x:c r="G1" s="77"/>
      <x:c r="H1" s="77"/>
      <x:c r="I1" s="77"/>
      <x:c r="J1" s="77"/>
      <x:c r="K1" s="77"/>
      <x:c r="L1" s="77"/>
      <x:c r="M1" s="77"/>
      <x:c r="N1" s="77"/>
      <x:c r="O1" s="77"/>
      <x:c r="P1" s="77"/>
      <x:c r="Q1" s="77"/>
      <x:c r="R1" s="77"/>
      <x:c r="S1" s="77"/>
      <x:c r="T1" s="77"/>
      <x:c r="U1" s="77"/>
      <x:c r="V1" s="77"/>
      <x:c r="W1" s="77"/>
      <x:c r="X1" s="77"/>
      <x:c r="Y1" s="77"/>
      <x:c r="Z1" s="77"/>
      <x:c r="AA1" s="77"/>
    </x:row>
    <x:row r="2" ht="34" customHeight="1">
      <x:c r="A2" s="80" t="str">
        <x:v>Lectura provisional basada en muestra + homologación + respuestas operativas. ✓ = evidencia inicial fuerte · H = hipótesis de diseño · ? = pendiente de validación. La matriz no fuerza un Parte universal: compara Tipos de Parte y ayuda a distinguir tipos reales, variantes y reglas.</x:v>
      </x:c>
      <x:c r="B2" s="80"/>
      <x:c r="C2" s="80"/>
      <x:c r="D2" s="80"/>
      <x:c r="E2" s="80"/>
      <x:c r="F2" s="80"/>
      <x:c r="G2" s="80"/>
      <x:c r="H2" s="80"/>
      <x:c r="I2" s="80"/>
      <x:c r="J2" s="80"/>
      <x:c r="K2" s="80"/>
      <x:c r="L2" s="80"/>
      <x:c r="M2" s="80"/>
      <x:c r="N2" s="80"/>
      <x:c r="O2" s="80"/>
      <x:c r="P2" s="80"/>
      <x:c r="Q2" s="80"/>
      <x:c r="R2" s="80"/>
      <x:c r="S2" s="80"/>
      <x:c r="T2" s="80"/>
      <x:c r="U2" s="80"/>
      <x:c r="V2" s="80"/>
      <x:c r="W2" s="80"/>
      <x:c r="X2" s="80"/>
      <x:c r="Y2" s="80"/>
      <x:c r="Z2" s="80"/>
      <x:c r="AA2" s="80"/>
    </x:row>
    <x:row r="3">
      <x:c r="A3" s="94" t="str">
        <x:v>IDENTIFICACIÓN</x:v>
      </x:c>
      <x:c r="B3" s="95"/>
      <x:c r="C3" s="95"/>
      <x:c r="D3" s="95" t="str">
        <x:v>IDENTIDAD Y CICLO</x:v>
      </x:c>
      <x:c r="E3" s="95"/>
      <x:c r="F3" s="95"/>
      <x:c r="G3" s="95"/>
      <x:c r="H3" s="95"/>
      <x:c r="I3" s="95" t="str">
        <x:v>VARIABILIDAD DENTRO DEL MISMO PARTE</x:v>
      </x:c>
      <x:c r="J3" s="95"/>
      <x:c r="K3" s="95"/>
      <x:c r="L3" s="95"/>
      <x:c r="M3" s="95" t="str">
        <x:v>REGLAS DE CORTE / NUEVO PARTE</x:v>
      </x:c>
      <x:c r="N3" s="95"/>
      <x:c r="O3" s="95"/>
      <x:c r="P3" s="95"/>
      <x:c r="Q3" s="95"/>
      <x:c r="R3" s="95"/>
      <x:c r="S3" s="95" t="str">
        <x:v>COMPONENTES, GATES Y SALIDA</x:v>
      </x:c>
      <x:c r="T3" s="95"/>
      <x:c r="U3" s="95"/>
      <x:c r="V3" s="95"/>
      <x:c r="W3" s="95"/>
      <x:c r="X3" s="95"/>
      <x:c r="Y3" s="95"/>
      <x:c r="Z3" s="95" t="str">
        <x:v>ESTADO DE DISEÑO</x:v>
      </x:c>
      <x:c r="AA3" s="96"/>
    </x:row>
    <x:row r="4" ht="42" customHeight="1">
      <x:c r="A4" s="97" t="str">
        <x:v>TP-ID</x:v>
      </x:c>
      <x:c r="B4" s="98" t="str">
        <x:v>Tipo de Parte / familia</x:v>
      </x:c>
      <x:c r="C4" s="98" t="str">
        <x:v>Formularios origen</x:v>
      </x:c>
      <x:c r="D4" s="98" t="str">
        <x:v>Propósito operacional</x:v>
      </x:c>
      <x:c r="E4" s="98" t="str">
        <x:v>Identidad / qué lo mantiene unido</x:v>
      </x:c>
      <x:c r="F4" s="98" t="str">
        <x:v>Evento de inicio</x:v>
      </x:c>
      <x:c r="G4" s="98" t="str">
        <x:v>Evento de cierre</x:v>
      </x:c>
      <x:c r="H4" s="98" t="str">
        <x:v>Perfil / ruta principal</x:v>
      </x:c>
      <x:c r="I4" s="98" t="str">
        <x:v>¿Múltiples ubicaciones?</x:v>
      </x:c>
      <x:c r="J4" s="98" t="str">
        <x:v>¿Múltiples servicios?</x:v>
      </x:c>
      <x:c r="K4" s="98" t="str">
        <x:v>¿Múltiples imputaciones?</x:v>
      </x:c>
      <x:c r="L4" s="98" t="str">
        <x:v>¿Múltiples recursos?</x:v>
      </x:c>
      <x:c r="M4" s="98" t="str">
        <x:v>Corte: ubicación</x:v>
      </x:c>
      <x:c r="N4" s="98" t="str">
        <x:v>Corte: servicio</x:v>
      </x:c>
      <x:c r="O4" s="98" t="str">
        <x:v>Corte: cliente</x:v>
      </x:c>
      <x:c r="P4" s="98" t="str">
        <x:v>Corte: recurso/equipo</x:v>
      </x:c>
      <x:c r="Q4" s="98" t="str">
        <x:v>Corte: turno</x:v>
      </x:c>
      <x:c r="R4" s="98" t="str">
        <x:v>Corte: incidente</x:v>
      </x:c>
      <x:c r="S4" s="98" t="str">
        <x:v>Categorías de tiempo</x:v>
      </x:c>
      <x:c r="T4" s="98" t="str">
        <x:v>Componentes base</x:v>
      </x:c>
      <x:c r="U4" s="98" t="str">
        <x:v>Ramas / datos específicos</x:v>
      </x:c>
      <x:c r="V4" s="98" t="str">
        <x:v>Control documental</x:v>
      </x:c>
      <x:c r="W4" s="98" t="str">
        <x:v>Permiso de trabajo</x:v>
      </x:c>
      <x:c r="X4" s="98" t="str">
        <x:v>Contrato / medición</x:v>
      </x:c>
      <x:c r="Y4" s="98" t="str">
        <x:v>Evidencia / cierre</x:v>
      </x:c>
      <x:c r="Z4" s="98" t="str">
        <x:v>Estado v0</x:v>
      </x:c>
      <x:c r="AA4" s="99" t="str">
        <x:v>Pendientes críticos</x:v>
      </x:c>
    </x:row>
    <x:row r="5" ht="120" customHeight="1">
      <x:c r="A5" s="124" t="str">
        <x:v>TP-01</x:v>
      </x:c>
      <x:c r="B5" s="125" t="str">
        <x:v>Intervención / Trabajo Específico (nombre provisional)</x:v>
      </x:c>
      <x:c r="C5" s="125" t="str">
        <x:v>T2 + T6</x:v>
      </x:c>
      <x:c r="D5" s="113" t="str">
        <x:v>Registrar la ejecución de un work package/intervención específica, preservando alcance, ubicación/activo, recursos, tiempos, permisos aplicables y evidencia; apto para trabajos que no deben diluirse dentro de un reporte diario.</x:v>
      </x:c>
      <x:c r="E5" s="113" t="str">
        <x:v>H fuerte · Un Parte representa un work package/intervención homogénea. Puede contener subactividades/eventos, pero no trabajos independientes con otro objetivo/alcance comercial.</x:v>
      </x:c>
      <x:c r="F5" s="113" t="str">
        <x:v>H fuerte · Motor resuelve Asignación/UnidadPlanificada + alcance + ubicación/activo + cliente/contexto. Gate documental y PTW si aplica.</x:v>
      </x:c>
      <x:c r="G5" s="113" t="str">
        <x:v>H · Trabajo resuelto/cancelado/no realizado + evidencias operativas obligatorias + permisos aplicables cerrados/suspendidos correctamente. Firma comercial puede ocurrir después.</x:v>
      </x:c>
      <x:c r="H5" s="113" t="str">
        <x:v>Perfil compatible con tarea/intervención + asignación; supervisor gestiona readiness/permiso/excepciones. Sin selector manual.</x:v>
      </x:c>
      <x:c r="I5" s="113" t="str">
        <x:v>H · Sí dentro del perímetro/alcance autorizado. Cambio de activo/ubicación que altere alcance o PTW puede cortar.</x:v>
      </x:c>
      <x:c r="J5" s="113" t="str">
        <x:v>H · Solo servicios/subactividades compatibles con el mismo work package. Nuevo objetivo/servicio independiente =&gt; nuevo Parte/TipoParte.</x:v>
      </x:c>
      <x:c r="K5" s="113" t="str">
        <x:v>✓/H · Sí. Una intervención puede contener 1..N UnidadesEjecución con imputaciones/ItemContrato distintos si siguen perteneciendo al mismo work package; downstream generan UnidadesComerciales según regla.</x:v>
      </x:c>
      <x:c r="L5" s="113" t="str">
        <x:v>✓/H · Múltiples recursos asociados. Sustituciones se trazan; recurso adicional independiente puede generar otra ejecución/Parte.</x:v>
      </x:c>
      <x:c r="M5" s="113" t="str">
        <x:v>H fuerte · CORTE CONDICIONAL: no por coordenada; sí si cambia work package, activo/perímetro autorizado o contexto Habilita relevante.</x:v>
      </x:c>
      <x:c r="N5" s="113" t="str">
        <x:v>H fuerte · Nuevo servicio/objetivo independiente corta; subactividad compatible no.</x:v>
      </x:c>
      <x:c r="O5" s="113" t="str">
        <x:v>✓ inicial fuerte · SÍ corta: otro cliente/contexto contractual =&gt; otro Parte.</x:v>
      </x:c>
      <x:c r="P5" s="113" t="str">
        <x:v>✓/H · Sustitución NO corta por defecto: revalidación + EventoOperativo. Segunda unidad principal con trabajo independiente puede cortar.</x:v>
      </x:c>
      <x:c r="Q5" s="113" t="str">
        <x:v>H · NO universal. Cambio de turno puede resolverse mediante handover + cierre/apertura automática de AsignacionPersonaEjecucion + revalidación PTW/documental; el ContratoServicio/TipoParte puede exigir split si negocio lo valida.</x:v>
      </x:c>
      <x:c r="R5" s="113" t="str">
        <x:v>✓/v1.1 · Incidente/near miss genera EventoHabilita paralelo. ReglaEscalamiento puede suspender TP-01/PTW; NO corta automáticamente el Parte.</x:v>
      </x:c>
      <x:c r="S5" s="113" t="str">
        <x:v>Preparación | Ejecución | Stand-by | Suspensión | Cierre. Traslado si la intervención lo requiere.</x:v>
      </x:c>
      <x:c r="T5" s="113" t="str">
        <x:v>Parte base | UnidadEjecución [1..N] dentro del mismo work package | AsignacionPersonaEjecucion temporal | AsignacionRecursoEjecucion | Ubicación/Activo | EventoTiempo | EventoOperativo | PermisoTrabajo [0..N] | Evidencia | Imputación/Medición | OT externa cond.</x:v>
      </x:c>
      <x:c r="U5" s="113" t="str">
        <x:v>Ramas por servicio/activo; alquiler de equipo u otras variaciones históricas T2/T6 se expresan con componentes. Subactividades con identidad/medición propia pueden ser UnidadesEjecución sin romper el work package.</x:v>
      </x:c>
      <x:c r="V5" s="113" t="str">
        <x:v>Sí · pre-check futuro + revalidación real para personas/recursos/contexto. Sustituciones vuelven a ejecutar el gate.</x:v>
      </x:c>
      <x:c r="W5" s="113" t="str">
        <x:v>Condicional pero central: PTW es entidad/gate separado; un TP-01 puede requerir 0..N permisos. Expiración/suspensión puede pausar trabajo sin cerrar Parte.</x:v>
      </x:c>
      <x:c r="X5" s="113" t="str">
        <x:v>ContratoServicio/ItemContrato activa medición/evidencia. OT externa es referencia, no contrato ni identidad.</x:v>
      </x:c>
      <x:c r="Y5" s="113" t="str">
        <x:v>Evidencia de ejecución (actor/rol), foto/medición si aplica, solicitante/cliente según regla. Cierre operativo separado de conformidad comercial y cierre PTW.</x:v>
      </x:c>
      <x:c r="Z5" s="114" t="str">
        <x:v>En definición avanzada · tercer TipoParte en cierre lógico</x:v>
      </x:c>
      <x:c r="AA5" s="115" t="str">
        <x:v>Validar frontera del work package; política de cambio turno/handovers; permisos múltiples; alcance de firmas; activo/ubicación; granularidad de UnidadesEjecución.</x:v>
      </x:c>
    </x:row>
    <x:row r="6" ht="110" customHeight="1">
      <x:c r="A6" s="124" t="str">
        <x:v>TP-02</x:v>
      </x:c>
      <x:c r="B6" s="125" t="str">
        <x:v>Transporte de Cargas</x:v>
      </x:c>
      <x:c r="C6" s="125" t="str">
        <x:v>T3 + T4</x:v>
      </x:c>
      <x:c r="D6" s="113" t="str">
        <x:v>Registrar una secuencia de movimientos/operaciones de transporte ejecutados por una asignación/configuración de transporte para un cliente, preservando tiempos, ubicaciones, recursos, mediciones e evidencia.</x:v>
      </x:c>
      <x:c r="E6" s="113" t="str">
        <x:v>✓/H · Parte = bitácora de una asignación/configuración de transporte homogénea; contiene N UnidadesEjecución/Movimientos. Un viaje individual NO es Parte por defecto.</x:v>
      </x:c>
      <x:c r="F6" s="113" t="str">
        <x:v>✓/H · Motor resuelve perfil + asignación transporte + cliente/contexto + recurso(s) principal(es) + servicio/rama. Gate documental antes de iniciar.</x:v>
      </x:c>
      <x:c r="G6" s="113" t="str">
        <x:v>H · Cierre de la asignación/ventana cuando todos los movimientos están resueltos + mediciones/evidencia obligatoria + permisos aplicables cerrados.</x:v>
      </x:c>
      <x:c r="H6" s="113" t="str">
        <x:v>Chofer/operador transporte como ruta principal; supervisor gestiona excepciones. Sin selector manual del TipoParte.</x:v>
      </x:c>
      <x:c r="I6" s="113" t="str">
        <x:v>✓ · Sí. Origen/destino/carga/descarga cambian por movimiento y no cortan por sí solos.</x:v>
      </x:c>
      <x:c r="J6" s="113" t="str">
        <x:v>H · Sí dentro de transporte compatible. Cambio Sólida↔Líquida corta instancia/rama por configuración distinta, pero sigue siendo TP-02.</x:v>
      </x:c>
      <x:c r="K6" s="113" t="str">
        <x:v>✓ · Sí. T3 registra imputación por línea/movimiento.</x:v>
      </x:c>
      <x:c r="L6" s="113" t="str">
        <x:v>✓/H · Puede relacionar tractor/camión, semi/acoplado y apoyo. Una segunda unidad principal independiente abre otro Parte.</x:v>
      </x:c>
      <x:c r="M6" s="113" t="str">
        <x:v>✓ · NO corta: cada movimiento porta sus ubicaciones/roles.</x:v>
      </x:c>
      <x:c r="N6" s="113" t="str">
        <x:v>H · CORTE CONDICIONAL: si cambia a servicio no compatible o cambia rama Sólida↔Líquida, nuevo Parte TP-02/ruta.</x:v>
      </x:c>
      <x:c r="O6" s="113" t="str">
        <x:v>✓ inicial fuerte · SÍ corta: cliente/contexto contractual distinto =&gt; nuevo Parte.</x:v>
      </x:c>
      <x:c r="P6" s="113" t="str">
        <x:v>✓/H · Cambio de configuración principal probablemente corta; reemplazo contingente se traza y requiere validar continuidad.</x:v>
      </x:c>
      <x:c r="Q6" s="113" t="str">
        <x:v>✓ inicial · SÍ corta por turno/ventana operativa. La fecha no se asume frontera universal: T4 registra fecha por movimiento.</x:v>
      </x:c>
      <x:c r="R6" s="113" t="str">
        <x:v>✓/v1.1 · Incidente genera EventoHabilita paralelo; TP-02 continúa/suspende según Habilita/Control Plane, no por creación del evento en sí.</x:v>
      </x:c>
      <x:c r="S6" s="113" t="str">
        <x:v>Traslado | Carga | Descarga | Stand-by | Cierre. Ejecución puede ser categoría paraguas; validar catálogo final.</x:v>
      </x:c>
      <x:c r="T6" s="113" t="str">
        <x:v>Parte base | UnidadEjecución/Movimiento | AsignaciónPersona | AsignaciónRecurso+rol | Ubicaciones por rol | EventoTiempo | Medición | Evidencia | Imputación | PermisoTrabajo cond.</x:v>
      </x:c>
      <x:c r="U6" s="113" t="str">
        <x:v>Sólidas: equipo/pozo/reserva/imputación + firma solicitante por movimiento. Líquidas: camión + semi/acoplado + m³ carga + destino/descarga + firmas de cierre.</x:v>
      </x:c>
      <x:c r="V6" s="113" t="str">
        <x:v>Sí · pre-check chofer/personas + camión + acoplado/semi + requisitos cliente/servicio; revalidar sustituciones.</x:v>
      </x:c>
      <x:c r="W6" s="113" t="str">
        <x:v>Condicional por movimiento/sitio/tarea; no es requisito universal del TP-02.</x:v>
      </x:c>
      <x:c r="X6" s="113" t="str">
        <x:v>ItemContrato activa métrica/unidad por movimiento: viaje, hora, m³, registro u otra regla. Imputación puede variar por movimiento.</x:v>
      </x:c>
      <x:c r="Y6" s="113" t="str">
        <x:v>Evidencia puede ser por movimiento (T3 solicitante) o por Parte (T4 cierre chofer/contratista/cliente); alcance configurado por rama/servicio.</x:v>
      </x:c>
      <x:c r="Z6" s="114" t="str">
        <x:v>En definición avanzada · segundo TipoParte en cierre lógico</x:v>
      </x:c>
      <x:c r="AA6" s="115" t="str">
        <x:v>Validar frontera temporal del Parte; cambio/reemplazo de recurso principal; múltiples paradas; servicios compatibles; alcance de firmas; semántica Equipo T3 y Descarga Bat/Eq T4.</x:v>
      </x:c>
    </x:row>
    <x:row r="7" ht="95" customHeight="1">
      <x:c r="A7" s="124" t="str">
        <x:v>TP-03</x:v>
      </x:c>
      <x:c r="B7" s="125" t="str">
        <x:v>Reporte Diario de Cuadrilla</x:v>
      </x:c>
      <x:c r="C7" s="125" t="str">
        <x:v>T5 + T7</x:v>
      </x:c>
      <x:c r="D7" s="113" t="str">
        <x:v>Registrar la jornada/turno de una cuadrilla y, dentro de ella, las distintas unidades de ejecución, traslados, stand-by, desvíos, recursos y evidencias.</x:v>
      </x:c>
      <x:c r="E7" s="113" t="str">
        <x:v>✓/H · Regla de agrupación: Cuadrilla + fecha_operativa + turno + cliente. parte_id sigue siendo la identidad técnica.</x:v>
      </x:c>
      <x:c r="F7" s="113" t="str">
        <x:v>✓/H · El sistema lo enruta desde Perfil + Asignación + Contexto. Tras Gate documental aprobado, comienza con la jornada/primera UnidadEjecución.</x:v>
      </x:c>
      <x:c r="G7" s="113" t="str">
        <x:v>✓/H · Cierre de turno/jornada cuando todas las unidades están resueltas, los permisos requeridos cerrados y la evidencia obligatoria completa.</x:v>
      </x:c>
      <x:c r="H7" s="113" t="str">
        <x:v>Encargado/supervisor asignado como ruta principal; el trabajador no selecciona TP-03.</x:v>
      </x:c>
      <x:c r="I7" s="113" t="str">
        <x:v>✓ · Sí. Cambio de ubicación genera nueva UnidadEjecución, no nuevo Parte por sí solo.</x:v>
      </x:c>
      <x:c r="J7" s="113" t="str">
        <x:v>✓/H · Sí, si el servicio sigue siendo compatible con TP-03. Si requiere certificación puntual u otro TipoParte, el motor abre otro Parte.</x:v>
      </x:c>
      <x:c r="K7" s="113" t="str">
        <x:v>✓ · Sí. Cada UnidadEjecución puede resolver a una imputación/ítem distinto.</x:v>
      </x:c>
      <x:c r="L7" s="113" t="str">
        <x:v>✓/H · Sí. Reemplazos se trazan dentro del Parte; un recurso adicional con ejecución independiente puede disparar otro Parte.</x:v>
      </x:c>
      <x:c r="M7" s="113" t="str">
        <x:v>✓ · NO corta por sí sola → nueva UnidadEjecución / actualización de ubicación.</x:v>
      </x:c>
      <x:c r="N7" s="113" t="str">
        <x:v>✓/H · CORTE CONDICIONAL: mismo TP-03 si el servicio es compatible; nuevo Parte/TipoParte si exige registro o certificación independiente.</x:v>
      </x:c>
      <x:c r="O7" s="113" t="str">
        <x:v>✓ inicial · SÍ corta: nuevo Parte para otro cliente/contexto contractual.</x:v>
      </x:c>
      <x:c r="P7" s="113" t="str">
        <x:v>✓/H · Reemplazo NO corta: EventoOperativo + revalidación documental. Recurso adicional independiente puede abrir otro Parte.</x:v>
      </x:c>
      <x:c r="Q7" s="113" t="str">
        <x:v>✓ inicial fuerte · SÍ corta: nuevo turno/jornada =&gt; nuevo TP-03.</x:v>
      </x:c>
      <x:c r="R7" s="113" t="str">
        <x:v>✓/v1.1 · Incidente genera EventoHabilita paralelo; TP-03 no se corta automáticamente. Puede suspender una UE/jornada según severidad/regla.</x:v>
      </x:c>
      <x:c r="S7" s="113" t="str">
        <x:v>Traslado | Ejecución | Stand-by | Cierre | Pausa/Refrigerio (subcategoría a validar). Reparación se modela como evento/causa de tiempo.</x:v>
      </x:c>
      <x:c r="T7" s="113" t="str">
        <x:v>Parte base | Cuadrilla | AsignaciónPersona | AsignaciónRecurso | UnidadEjecución | Ubicación | EventoTiempo | EventoOperativo | PermisoTrabajo | Evidencia | Imputación/Medición</x:v>
      </x:c>
      <x:c r="U7" s="113" t="str">
        <x:v>Los campos T5/T7 se absorben en componentes canónicos. Solo quedan ramas para mediciones/datos verdaderamente específicos de Servicio/Contrato.</x:v>
      </x:c>
      <x:c r="V7" s="113" t="str">
        <x:v>Sí · pre-check en Planificación + revalidación al inicio + revalidación ante reemplazos/cambios de recursos.</x:v>
      </x:c>
      <x:c r="W7" s="113" t="str">
        <x:v>Condicional por UnidadEjecución/tarea. Si aplica, debe estar habilitado antes de iniciar y cerrado antes del cierre final.</x:v>
      </x:c>
      <x:c r="X7" s="113" t="str">
        <x:v>ImputacionEjecucion por UnidadEjecución → ItemContrato → ReglaMedicion. Distintas imputaciones pueden convivir en un TP-03.</x:v>
      </x:c>
      <x:c r="Y7" s="113" t="str">
        <x:v>Evidencia puede ser de Parte o de UnidadEjecución. Aprobación cliente, foto, medición y firmas según regla. Cierre exige permisos aplicables cerrados.</x:v>
      </x:c>
      <x:c r="Z7" s="114" t="str">
        <x:v>En definición avanzada · primer TipoParte en cierre lógico</x:v>
      </x:c>
      <x:c r="AA7" s="115" t="str">
        <x:v>Validar: catálogo/horarios de turno; criterio exacto para recurso adicional; servicios que salen de TP-03; alcance de firmas T5/T7; tratamiento de reparación/pausas.</x:v>
      </x:c>
    </x:row>
    <x:row r="8" ht="120" customHeight="1">
      <x:c r="A8" s="126" t="str">
        <x:v>HABILITA-01</x:v>
      </x:c>
      <x:c r="B8" s="127" t="str">
        <x:v>Evento Habilita / Incidente Ambiental — DOMINIO TRANSVERSAL</x:v>
      </x:c>
      <x:c r="C8" s="127" t="str">
        <x:v>Respuesta operación Q1 + benchmark HSE</x:v>
      </x:c>
      <x:c r="D8" s="117" t="str">
        <x:v>Registrar una ocurrencia Habilita con identidad propia y permitir respuesta, triage, investigación, aprendizaje y acciones sin convertirla en un Parte operativo.</x:v>
      </x:c>
      <x:c r="E8" s="117" t="str">
        <x:v>Cada ocurrencia = EventoHabilita. Dos incidentes distintos generan dos eventos aunque involucren mismo equipo/Parte.</x:v>
      </x:c>
      <x:c r="F8" s="117" t="str">
        <x:v>Puede nacer desde cualquier TP, PTW, ubicación o standalone; NO lo resuelve el Motor de TipoParte.</x:v>
      </x:c>
      <x:c r="G8" s="117" t="str">
        <x:v>Evento registrado inmediatamente; CasoHabilita puede continuar abierto hasta investigación/acciones/cierre. No depende del cierre del Parte.</x:v>
      </x:c>
      <x:c r="H8" s="117" t="str">
        <x:v>Reportante operativo captura mínimo; Habilita/supervisión triagea, clasifica e investiga según regla.</x:v>
      </x:c>
      <x:c r="I8" s="117" t="str">
        <x:v>Sí, cada EventoHabilita congela ubicación principal propia; puede derivarse del contexto y confirmarse.</x:v>
      </x:c>
      <x:c r="J8" s="117" t="str">
        <x:v>N/A como regla de Parte; tipo_evento_habilita clasifica el evento.</x:v>
      </x:c>
      <x:c r="K8" s="117" t="str">
        <x:v>N/A como driver de split; puede vincularse a operaciones con distintas imputaciones.</x:v>
      </x:c>
      <x:c r="L8" s="117" t="str">
        <x:v>0..N recursos vinculados por rol; mismo recurso puede aparecer en varios eventos.</x:v>
      </x:c>
      <x:c r="M8" s="117" t="str">
        <x:v>NO corta Parte por ubicación. Dos ocurrencias en lugares distintos = dos EventoHabilita.</x:v>
      </x:c>
      <x:c r="N8" s="117" t="str">
        <x:v>N/A</x:v>
      </x:c>
      <x:c r="O8" s="117" t="str">
        <x:v>Puede vincular contexto cliente/contrato, pero cambio de cliente no redefine el hecho ocurrido.</x:v>
      </x:c>
      <x:c r="P8" s="117" t="str">
        <x:v>N/A</x:v>
      </x:c>
      <x:c r="Q8" s="117" t="str">
        <x:v>N/A; cambio de turno puede afectar responsables/investigación pero no identidad del evento.</x:v>
      </x:c>
      <x:c r="R8" s="117" t="str">
        <x:v>Cada ocurrencia independiente. Un evento puede ser near miss, ambiental, proceso, vehicular, etc.</x:v>
      </x:c>
      <x:c r="S8" s="117" t="str">
        <x:v>Tiempo Habilita propio: ocurrido_at · detectado_at · reportado_at; respuesta/investigación poseen timestamps.</x:v>
      </x:c>
      <x:c r="T8" s="117" t="str">
        <x:v>EventoHabilita | Ubicación | vínculos a UE/Personas/Recursos/PTW | Evidencia | severidad real/potencial | CasoHabilita | Acciones | Notificaciones</x:v>
      </x:c>
      <x:c r="U8" s="117" t="str">
        <x:v>Componentes específicos por TipoEventoHabilita; ej. MedicionEventoHabilita para spill, sin crear TiposParte.</x:v>
      </x:c>
      <x:c r="V8" s="117" t="str">
        <x:v>No es Control Documental; puede detectar fallas/requisitos que alimenten acciones correctivas.</x:v>
      </x:c>
      <x:c r="W8" s="117" t="str">
        <x:v>No funciona como PTW. Puede suspender/revisar PTW mediante Habilita/Control Plane.</x:v>
      </x:c>
      <x:c r="X8" s="117" t="str">
        <x:v>No genera UnidadComercial por sí mismo. Efectos comerciales viajan por tiempos/ejecución/reglas contractuales.</x:v>
      </x:c>
      <x:c r="Y8" s="117" t="str">
        <x:v>Reporte inicial mínimo + evidencia; investigación/root cause/acciones se completan en CasoHabilita.</x:v>
      </x:c>
      <x:c r="Z8" s="118" t="str">
        <x:v>DECIDIDO v1.1 · NO TipoParte</x:v>
      </x:c>
      <x:c r="AA8" s="119" t="str">
        <x:v>Validar V76–V85 con Habilita. Mantener esta fila como dominio transversal en matriz hasta separar físicamente matrices.</x:v>
      </x:c>
    </x:row>
    <x:row r="9" ht="90" customHeight="1">
      <x:c r="A9" s="128" t="str">
        <x:v>ABS-05</x:v>
      </x:c>
      <x:c r="B9" s="129" t="str">
        <x:v>Obra / intervención con certificación puntual — ABSORBIDO EN TP-01</x:v>
      </x:c>
      <x:c r="C9" s="129" t="str">
        <x:v>Respuesta operativa Q2/Q8</x:v>
      </x:c>
      <x:c r="D9" s="121" t="str">
        <x:v>Necesidad histórica que motivó aislar trabajos con identidad/certificación puntual. En v0.9 se considera cubierta por TP-01 + UnidadEjecución [1..N] + UnidadComercial.</x:v>
      </x:c>
      <x:c r="E9" s="121" t="str">
        <x:v>No posee identidad propia como TipoParte; hereda identidad del work package TP-01.</x:v>
      </x:c>
      <x:c r="F9" s="121" t="str">
        <x:v>Se resuelve por ruteo a TP-01 cuando la tarea requiere identidad independiente.</x:v>
      </x:c>
      <x:c r="G9" s="121" t="str">
        <x:v>Hereda cierre TP-01; la certificación puntual se resuelve downstream.</x:v>
      </x:c>
      <x:c r="H9" s="121" t="str">
        <x:v>Hereda perfiles/ruta TP-01.</x:v>
      </x:c>
      <x:c r="I9" s="121" t="str">
        <x:v>Ver TP-01</x:v>
      </x:c>
      <x:c r="J9" s="121" t="str">
        <x:v>Ver TP-01</x:v>
      </x:c>
      <x:c r="K9" s="121" t="str">
        <x:v>Ver TP-01</x:v>
      </x:c>
      <x:c r="L9" s="121" t="str">
        <x:v>Ver TP-01</x:v>
      </x:c>
      <x:c r="M9" s="121" t="str">
        <x:v>Ver TP-01</x:v>
      </x:c>
      <x:c r="N9" s="121" t="str">
        <x:v>Ver TP-01</x:v>
      </x:c>
      <x:c r="O9" s="121" t="str">
        <x:v>Ver TP-01</x:v>
      </x:c>
      <x:c r="P9" s="121" t="str">
        <x:v>Ver TP-01</x:v>
      </x:c>
      <x:c r="Q9" s="121" t="str">
        <x:v>Ver TP-01</x:v>
      </x:c>
      <x:c r="R9" s="121" t="str">
        <x:v>N/A como TipoParte</x:v>
      </x:c>
      <x:c r="S9" s="121" t="str">
        <x:v>Ver TP-01</x:v>
      </x:c>
      <x:c r="T9" s="121" t="str">
        <x:v>No agrega componentes propios.</x:v>
      </x:c>
      <x:c r="U9" s="121" t="str">
        <x:v>No agrega ramas propias.</x:v>
      </x:c>
      <x:c r="V9" s="121" t="str">
        <x:v>Hereda TP-01.</x:v>
      </x:c>
      <x:c r="W9" s="121" t="str">
        <x:v>Hereda TP-01.</x:v>
      </x:c>
      <x:c r="X9" s="121" t="str">
        <x:v>UnidadComercial resuelve certificación puntual sin crear TipoParte adicional.</x:v>
      </x:c>
      <x:c r="Y9" s="121" t="str">
        <x:v>Hereda evidencia TP-01 + reglas comerciales.</x:v>
      </x:c>
      <x:c r="Z9" s="122" t="str">
        <x:v>ABSORBIDO / DEPRECADO COMO CANDIDATO</x:v>
      </x:c>
      <x:c r="AA9" s="123" t="str">
        <x:v>Conservar solo como trazabilidad histórica de la decisión; no implementar como TipoParte.</x:v>
      </x:c>
    </x:row>
    <x:row r="11">
      <x:c r="A11" s="74" t="str">
        <x:v>LECTURA DE LA MATRIZ · QUÉ ESTAMOS BUSCANDO</x:v>
      </x:c>
      <x:c r="B11" s="74"/>
      <x:c r="C11" s="74"/>
      <x:c r="D11" s="74"/>
      <x:c r="E11" s="74"/>
      <x:c r="F11" s="74"/>
      <x:c r="G11" s="74"/>
      <x:c r="H11" s="74"/>
      <x:c r="I11" s="74"/>
      <x:c r="J11" s="74"/>
      <x:c r="K11" s="74"/>
      <x:c r="L11" s="74"/>
      <x:c r="M11" s="74"/>
      <x:c r="N11" s="74"/>
      <x:c r="O11" s="74"/>
      <x:c r="P11" s="74"/>
      <x:c r="Q11" s="74"/>
      <x:c r="R11" s="74"/>
      <x:c r="S11" s="74"/>
      <x:c r="T11" s="74"/>
      <x:c r="U11" s="74"/>
      <x:c r="V11" s="74"/>
      <x:c r="W11" s="74"/>
      <x:c r="X11" s="74"/>
      <x:c r="Y11" s="74"/>
      <x:c r="Z11" s="74"/>
      <x:c r="AA11" s="74"/>
    </x:row>
    <x:row r="12" ht="34" customHeight="1">
      <x:c r="A12" s="130" t="str">
        <x:v>1</x:v>
      </x:c>
      <x:c r="B12" s="131" t="str">
        <x:v>Si dos filas tienen la misma identidad, ciclo, cortes y componentes, probablemente son variantes del mismo TipoParte y no Tipos distintos.</x:v>
      </x:c>
      <x:c r="C12" s="131"/>
      <x:c r="D12" s="131"/>
      <x:c r="E12" s="131"/>
      <x:c r="F12" s="131"/>
      <x:c r="G12" s="131"/>
      <x:c r="H12" s="131"/>
      <x:c r="I12" s="131"/>
      <x:c r="J12" s="131"/>
      <x:c r="K12" s="131"/>
      <x:c r="L12" s="131"/>
      <x:c r="M12" s="131"/>
      <x:c r="N12" s="131"/>
      <x:c r="O12" s="131"/>
      <x:c r="P12" s="131"/>
      <x:c r="Q12" s="131"/>
      <x:c r="R12" s="131"/>
      <x:c r="S12" s="131"/>
      <x:c r="T12" s="131"/>
      <x:c r="U12" s="131"/>
      <x:c r="V12" s="131"/>
      <x:c r="W12" s="131"/>
      <x:c r="X12" s="131"/>
      <x:c r="Y12" s="131"/>
      <x:c r="Z12" s="131"/>
      <x:c r="AA12" s="131"/>
    </x:row>
    <x:row r="13" ht="34" customHeight="1">
      <x:c r="A13" s="130" t="str">
        <x:v>2</x:v>
      </x:c>
      <x:c r="B13" s="131" t="str">
        <x:v>Si una diferencia solo cambia mediciones o campos técnicos, debería vivir en Servicio/Contrato o en una rama específica, no crear otro TipoParte.</x:v>
      </x:c>
      <x:c r="C13" s="131"/>
      <x:c r="D13" s="131"/>
      <x:c r="E13" s="131"/>
      <x:c r="F13" s="131"/>
      <x:c r="G13" s="131"/>
      <x:c r="H13" s="131"/>
      <x:c r="I13" s="131"/>
      <x:c r="J13" s="131"/>
      <x:c r="K13" s="131"/>
      <x:c r="L13" s="131"/>
      <x:c r="M13" s="131"/>
      <x:c r="N13" s="131"/>
      <x:c r="O13" s="131"/>
      <x:c r="P13" s="131"/>
      <x:c r="Q13" s="131"/>
      <x:c r="R13" s="131"/>
      <x:c r="S13" s="131"/>
      <x:c r="T13" s="131"/>
      <x:c r="U13" s="131"/>
      <x:c r="V13" s="131"/>
      <x:c r="W13" s="131"/>
      <x:c r="X13" s="131"/>
      <x:c r="Y13" s="131"/>
      <x:c r="Z13" s="131"/>
      <x:c r="AA13" s="131"/>
    </x:row>
    <x:row r="14" ht="34" customHeight="1">
      <x:c r="A14" s="130" t="str">
        <x:v>3</x:v>
      </x:c>
      <x:c r="B14" s="131" t="str">
        <x:v>Si una diferencia cambia qué hecho representa, cuándo nace/cierra o qué evento obliga a abrir otro registro, sí puede justificar un TipoParte distinto.</x:v>
      </x:c>
      <x:c r="C14" s="131"/>
      <x:c r="D14" s="131"/>
      <x:c r="E14" s="131"/>
      <x:c r="F14" s="131"/>
      <x:c r="G14" s="131"/>
      <x:c r="H14" s="131"/>
      <x:c r="I14" s="131"/>
      <x:c r="J14" s="131"/>
      <x:c r="K14" s="131"/>
      <x:c r="L14" s="131"/>
      <x:c r="M14" s="131"/>
      <x:c r="N14" s="131"/>
      <x:c r="O14" s="131"/>
      <x:c r="P14" s="131"/>
      <x:c r="Q14" s="131"/>
      <x:c r="R14" s="131"/>
      <x:c r="S14" s="131"/>
      <x:c r="T14" s="131"/>
      <x:c r="U14" s="131"/>
      <x:c r="V14" s="131"/>
      <x:c r="W14" s="131"/>
      <x:c r="X14" s="131"/>
      <x:c r="Y14" s="131"/>
      <x:c r="Z14" s="131"/>
      <x:c r="AA14" s="131"/>
    </x:row>
    <x:row r="15" ht="34" customHeight="1">
      <x:c r="A15" s="130" t="str">
        <x:v>4</x:v>
      </x:c>
      <x:c r="B15" s="131" t="str">
        <x:v>Las reglas de corte son configurables por TipoParte; no existe un split universal por ubicación, servicio, recurso o posición de contrato.</x:v>
      </x:c>
      <x:c r="C15" s="131"/>
      <x:c r="D15" s="131"/>
      <x:c r="E15" s="131"/>
      <x:c r="F15" s="131"/>
      <x:c r="G15" s="131"/>
      <x:c r="H15" s="131"/>
      <x:c r="I15" s="131"/>
      <x:c r="J15" s="131"/>
      <x:c r="K15" s="131"/>
      <x:c r="L15" s="131"/>
      <x:c r="M15" s="131"/>
      <x:c r="N15" s="131"/>
      <x:c r="O15" s="131"/>
      <x:c r="P15" s="131"/>
      <x:c r="Q15" s="131"/>
      <x:c r="R15" s="131"/>
      <x:c r="S15" s="131"/>
      <x:c r="T15" s="131"/>
      <x:c r="U15" s="131"/>
      <x:c r="V15" s="131"/>
      <x:c r="W15" s="131"/>
      <x:c r="X15" s="131"/>
      <x:c r="Y15" s="131"/>
      <x:c r="Z15" s="131"/>
      <x:c r="AA15" s="131"/>
    </x:row>
  </x:sheetData>
  <x:mergeCells>
    <x:mergeCell ref="A1:AA1"/>
    <x:mergeCell ref="A2:AA2"/>
    <x:mergeCell ref="A3:C3"/>
    <x:mergeCell ref="D3:H3"/>
    <x:mergeCell ref="I3:L3"/>
    <x:mergeCell ref="M3:R3"/>
    <x:mergeCell ref="S3:Y3"/>
    <x:mergeCell ref="Z3:AA3"/>
    <x:mergeCell ref="A11:AA11"/>
    <x:mergeCell ref="B12:AA12"/>
    <x:mergeCell ref="B13:AA13"/>
    <x:mergeCell ref="B14:AA14"/>
    <x:mergeCell ref="B15:AA15"/>
  </x:mergeCell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132" t="str">
        <x:v>ARQUITECTURA REV C.1 · CONSERVA LA LÓGICA DE COMPUTADORA DEL MODELO ORIGINAL</x:v>
      </x:c>
      <x:c r="B1" s="132"/>
      <x:c r="C1" s="132"/>
      <x:c r="D1" s="132"/>
      <x:c r="E1" s="132"/>
      <x:c r="F1" s="132"/>
      <x:c r="G1" s="132"/>
      <x:c r="H1" s="132"/>
      <x:c r="I1" s="132"/>
      <x:c r="J1" s="132"/>
      <x:c r="K1" s="132"/>
      <x:c r="L1" s="132"/>
      <x:c r="M1" s="132"/>
      <x:c r="N1" s="132"/>
    </x:row>
    <x:row r="2" ht="34" customHeight="1">
      <x:c r="A2" s="80" t="str">
        <x:v>La representación base se mantiene: flujo secuencial + contenedores + derivaciones automáticas + compuertas + máquinas de estado, con anticipación y trazabilidad como capas transversales. Cambian las reglas internas, no el lenguaje.</x:v>
      </x:c>
      <x:c r="B2" s="80"/>
      <x:c r="C2" s="80"/>
      <x:c r="D2" s="80"/>
      <x:c r="E2" s="80"/>
      <x:c r="F2" s="80"/>
      <x:c r="G2" s="80"/>
      <x:c r="H2" s="80"/>
      <x:c r="I2" s="80"/>
      <x:c r="J2" s="80"/>
      <x:c r="K2" s="80"/>
      <x:c r="L2" s="80"/>
      <x:c r="M2" s="80"/>
      <x:c r="N2" s="80"/>
    </x:row>
    <x:row r="4">
      <x:c r="A4" s="82" t="str">
        <x:v>01 — FLUJO GENERAL / ENRUTAMIENTO</x:v>
      </x:c>
      <x:c r="B4" s="82"/>
      <x:c r="C4" s="82"/>
      <x:c r="D4" s="82"/>
      <x:c r="E4" s="82"/>
      <x:c r="F4" s="82"/>
      <x:c r="G4" s="82"/>
      <x:c r="H4" s="82"/>
      <x:c r="I4" s="82"/>
      <x:c r="J4" s="82"/>
      <x:c r="K4" s="82"/>
      <x:c r="L4" s="82"/>
      <x:c r="M4" s="82"/>
      <x:c r="N4" s="82"/>
    </x:row>
    <x:row r="5">
      <x:c r="A5" s="153" t="str">
        <x:v>USUARIO
+ PERFIL</x:v>
      </x:c>
      <x:c r="B5" s="154"/>
      <x:c r="C5" s="161" t="str">
        <x:v>→</x:v>
      </x:c>
      <x:c r="D5" s="153" t="str">
        <x:v>ASIGNACIÓN / PLANIFICACIÓN
+tarea · ubicación · recursos</x:v>
      </x:c>
      <x:c r="E5" s="171"/>
      <x:c r="F5" s="154"/>
      <x:c r="G5" s="161" t="str">
        <x:v>→</x:v>
      </x:c>
      <x:c r="H5" s="153" t="str">
        <x:v>MOTOR DE ENRUTAMIENTO
perfil + servicio + contexto</x:v>
      </x:c>
      <x:c r="I5" s="171"/>
      <x:c r="J5" s="154"/>
      <x:c r="K5" s="161" t="str">
        <x:v>→</x:v>
      </x:c>
      <x:c r="L5" s="203" t="str">
        <x:v>TIPO PARTE
+ versión / reglas</x:v>
      </x:c>
      <x:c r="M5" s="204"/>
      <x:c r="N5" s="205"/>
    </x:row>
    <x:row r="6">
      <x:c r="A6" s="155"/>
      <x:c r="B6" s="156"/>
      <x:c r="C6" s="161"/>
      <x:c r="D6" s="155"/>
      <x:c r="E6" s="172"/>
      <x:c r="F6" s="156"/>
      <x:c r="G6" s="161"/>
      <x:c r="H6" s="155"/>
      <x:c r="I6" s="172"/>
      <x:c r="J6" s="156"/>
      <x:c r="K6" s="161"/>
      <x:c r="L6" s="206"/>
      <x:c r="M6" s="207"/>
      <x:c r="N6" s="208"/>
    </x:row>
    <x:row r="7">
      <x:c r="A7" s="157"/>
      <x:c r="B7" s="158"/>
      <x:c r="C7" s="161"/>
      <x:c r="D7" s="157"/>
      <x:c r="E7" s="173"/>
      <x:c r="F7" s="158"/>
      <x:c r="G7" s="161"/>
      <x:c r="H7" s="157"/>
      <x:c r="I7" s="173"/>
      <x:c r="J7" s="158"/>
      <x:c r="K7" s="161"/>
      <x:c r="L7" s="209"/>
      <x:c r="M7" s="210"/>
      <x:c r="N7" s="211"/>
    </x:row>
    <x:row r="9">
      <x:c r="A9" s="82" t="str">
        <x:v>02 — CONTENEDOR PARTE CONFIGURABLE</x:v>
      </x:c>
      <x:c r="B9" s="82"/>
      <x:c r="C9" s="82"/>
      <x:c r="D9" s="82"/>
      <x:c r="E9" s="82"/>
      <x:c r="F9" s="82"/>
      <x:c r="G9" s="82"/>
      <x:c r="H9" s="82"/>
      <x:c r="I9" s="82"/>
      <x:c r="J9" s="82"/>
      <x:c r="K9" s="82"/>
      <x:c r="L9" s="82"/>
      <x:c r="M9" s="82"/>
      <x:c r="N9" s="82"/>
    </x:row>
    <x:row r="10">
      <x:c r="A10" s="153" t="str">
        <x:v>PARTE BASE
identidad · estado · auditoría</x:v>
      </x:c>
      <x:c r="B10" s="171"/>
      <x:c r="C10" s="154"/>
      <x:c r="D10" s="161" t="str">
        <x:v>→</x:v>
      </x:c>
      <x:c r="E10" s="153" t="str">
        <x:v>COMPONENTES SEGÚN TIPO
personal · recursos · tiempo · evidencia</x:v>
      </x:c>
      <x:c r="F10" s="171"/>
      <x:c r="G10" s="171"/>
      <x:c r="H10" s="154"/>
      <x:c r="I10" s="161" t="str">
        <x:v>→</x:v>
      </x:c>
      <x:c r="J10" s="153" t="str">
        <x:v>UNIDAD(ES) DE EJECUCIÓN [N]
servicio · ubicación · imputación · medición</x:v>
      </x:c>
      <x:c r="K10" s="171"/>
      <x:c r="L10" s="171"/>
      <x:c r="M10" s="171"/>
      <x:c r="N10" s="154"/>
    </x:row>
    <x:row r="11">
      <x:c r="A11" s="155"/>
      <x:c r="B11" s="172"/>
      <x:c r="C11" s="156"/>
      <x:c r="D11" s="161"/>
      <x:c r="E11" s="155"/>
      <x:c r="F11" s="172"/>
      <x:c r="G11" s="172"/>
      <x:c r="H11" s="156"/>
      <x:c r="I11" s="161"/>
      <x:c r="J11" s="155"/>
      <x:c r="K11" s="172"/>
      <x:c r="L11" s="172"/>
      <x:c r="M11" s="172"/>
      <x:c r="N11" s="156"/>
    </x:row>
    <x:row r="12">
      <x:c r="A12" s="157"/>
      <x:c r="B12" s="173"/>
      <x:c r="C12" s="158"/>
      <x:c r="D12" s="161"/>
      <x:c r="E12" s="157"/>
      <x:c r="F12" s="173"/>
      <x:c r="G12" s="173"/>
      <x:c r="H12" s="158"/>
      <x:c r="I12" s="161"/>
      <x:c r="J12" s="157"/>
      <x:c r="K12" s="173"/>
      <x:c r="L12" s="173"/>
      <x:c r="M12" s="173"/>
      <x:c r="N12" s="158"/>
    </x:row>
    <x:row r="14">
      <x:c r="A14" s="82" t="str">
        <x:v>03 — DERIVACIÓN AUTOMÁTICA · ƒ</x:v>
      </x:c>
      <x:c r="B14" s="82"/>
      <x:c r="C14" s="82"/>
      <x:c r="D14" s="82"/>
      <x:c r="E14" s="82"/>
      <x:c r="F14" s="82"/>
      <x:c r="G14" s="82"/>
      <x:c r="H14" s="82"/>
      <x:c r="I14" s="82"/>
      <x:c r="J14" s="82"/>
      <x:c r="K14" s="82"/>
      <x:c r="L14" s="82"/>
      <x:c r="M14" s="82"/>
      <x:c r="N14" s="82"/>
    </x:row>
    <x:row r="15">
      <x:c r="A15" s="240" t="str">
        <x:v>ubicación técnica
ƒ área / operadora / contexto</x:v>
      </x:c>
      <x:c r="B15" s="241"/>
      <x:c r="C15" s="241"/>
      <x:c r="D15" s="242"/>
      <x:c r="E15" s="240" t="str">
        <x:v>servicio + contrato
ƒ ítem / unidad medida / requisitos</x:v>
      </x:c>
      <x:c r="F15" s="241"/>
      <x:c r="G15" s="241"/>
      <x:c r="H15" s="242"/>
      <x:c r="I15" s="240" t="str">
        <x:v>perfil
ƒ capacidades / ruta / permisos</x:v>
      </x:c>
      <x:c r="J15" s="241"/>
      <x:c r="K15" s="242"/>
      <x:c r="L15" s="240" t="str">
        <x:v>fecha + sujeto
ƒ requisitos documentales</x:v>
      </x:c>
      <x:c r="M15" s="241"/>
      <x:c r="N15" s="242"/>
    </x:row>
    <x:row r="16">
      <x:c r="A16" s="243"/>
      <x:c r="B16" s="244"/>
      <x:c r="C16" s="244"/>
      <x:c r="D16" s="245"/>
      <x:c r="E16" s="243"/>
      <x:c r="F16" s="244"/>
      <x:c r="G16" s="244"/>
      <x:c r="H16" s="245"/>
      <x:c r="I16" s="243"/>
      <x:c r="J16" s="244"/>
      <x:c r="K16" s="245"/>
      <x:c r="L16" s="243"/>
      <x:c r="M16" s="244"/>
      <x:c r="N16" s="245"/>
    </x:row>
    <x:row r="17">
      <x:c r="A17" s="246"/>
      <x:c r="B17" s="247"/>
      <x:c r="C17" s="247"/>
      <x:c r="D17" s="248"/>
      <x:c r="E17" s="246"/>
      <x:c r="F17" s="247"/>
      <x:c r="G17" s="247"/>
      <x:c r="H17" s="248"/>
      <x:c r="I17" s="246"/>
      <x:c r="J17" s="247"/>
      <x:c r="K17" s="248"/>
      <x:c r="L17" s="246"/>
      <x:c r="M17" s="247"/>
      <x:c r="N17" s="248"/>
    </x:row>
    <x:row r="19">
      <x:c r="A19" s="82" t="str">
        <x:v>04 — COMPUERTAS / GATES</x:v>
      </x:c>
      <x:c r="B19" s="82"/>
      <x:c r="C19" s="82"/>
      <x:c r="D19" s="82"/>
      <x:c r="E19" s="82"/>
      <x:c r="F19" s="82"/>
      <x:c r="G19" s="82"/>
      <x:c r="H19" s="82"/>
      <x:c r="I19" s="82"/>
      <x:c r="J19" s="82"/>
      <x:c r="K19" s="82"/>
      <x:c r="L19" s="82"/>
      <x:c r="M19" s="82"/>
      <x:c r="N19" s="82"/>
    </x:row>
    <x:row r="20">
      <x:c r="A20" s="203" t="str">
        <x:v>GATE A
RUTEO RESUELTO?
? → excepción controlada</x:v>
      </x:c>
      <x:c r="B20" s="204"/>
      <x:c r="C20" s="205"/>
      <x:c r="D20" s="203" t="str">
        <x:v>GATE B
CONTROL DOCUMENTAL
✓ / ⚠ / ✕</x:v>
      </x:c>
      <x:c r="E20" s="204"/>
      <x:c r="F20" s="205"/>
      <x:c r="G20" s="203" t="str">
        <x:v>GATE C
PERMISO TRABAJO
validado antes de ejecutar</x:v>
      </x:c>
      <x:c r="H20" s="204"/>
      <x:c r="I20" s="205"/>
      <x:c r="J20" s="203" t="str">
        <x:v>GATE D
REGLA DE CORTE DEL TIPO
nuevo Parte vs misma ejecución</x:v>
      </x:c>
      <x:c r="K20" s="204"/>
      <x:c r="L20" s="204"/>
      <x:c r="M20" s="204"/>
      <x:c r="N20" s="205"/>
    </x:row>
    <x:row r="21">
      <x:c r="A21" s="206"/>
      <x:c r="B21" s="207"/>
      <x:c r="C21" s="208"/>
      <x:c r="D21" s="206"/>
      <x:c r="E21" s="207"/>
      <x:c r="F21" s="208"/>
      <x:c r="G21" s="206"/>
      <x:c r="H21" s="207"/>
      <x:c r="I21" s="208"/>
      <x:c r="J21" s="206"/>
      <x:c r="K21" s="207"/>
      <x:c r="L21" s="207"/>
      <x:c r="M21" s="207"/>
      <x:c r="N21" s="208"/>
    </x:row>
    <x:row r="22">
      <x:c r="A22" s="209"/>
      <x:c r="B22" s="210"/>
      <x:c r="C22" s="211"/>
      <x:c r="D22" s="209"/>
      <x:c r="E22" s="210"/>
      <x:c r="F22" s="211"/>
      <x:c r="G22" s="209"/>
      <x:c r="H22" s="210"/>
      <x:c r="I22" s="211"/>
      <x:c r="J22" s="209"/>
      <x:c r="K22" s="210"/>
      <x:c r="L22" s="210"/>
      <x:c r="M22" s="210"/>
      <x:c r="N22" s="211"/>
    </x:row>
    <x:row r="24">
      <x:c r="A24" s="82" t="str">
        <x:v>05 — MÁQUINAS DE ESTADO</x:v>
      </x:c>
      <x:c r="B24" s="82"/>
      <x:c r="C24" s="82"/>
      <x:c r="D24" s="82"/>
      <x:c r="E24" s="82"/>
      <x:c r="F24" s="82"/>
      <x:c r="G24" s="82"/>
      <x:c r="H24" s="82"/>
      <x:c r="I24" s="82"/>
      <x:c r="J24" s="82"/>
      <x:c r="K24" s="82"/>
      <x:c r="L24" s="82"/>
      <x:c r="M24" s="82"/>
      <x:c r="N24" s="82"/>
    </x:row>
    <x:row r="25">
      <x:c r="A25" s="273" t="str">
        <x:v>PARTE
ruta resuelta → habilitado → en curso → cierre</x:v>
      </x:c>
      <x:c r="B25" s="274"/>
      <x:c r="C25" s="274"/>
      <x:c r="D25" s="275"/>
      <x:c r="E25" s="273" t="str">
        <x:v>UNIDAD EJECUCIÓN
pendiente → en curso → realizada/no realizada → evidenciada</x:v>
      </x:c>
      <x:c r="F25" s="274"/>
      <x:c r="G25" s="274"/>
      <x:c r="H25" s="274"/>
      <x:c r="I25" s="275"/>
      <x:c r="J25" s="273" t="str">
        <x:v>PERMISO / EVIDENCIA
ciclos relacionados pero independientes</x:v>
      </x:c>
      <x:c r="K25" s="274"/>
      <x:c r="L25" s="274"/>
      <x:c r="M25" s="274"/>
      <x:c r="N25" s="275"/>
    </x:row>
    <x:row r="26">
      <x:c r="A26" s="276"/>
      <x:c r="B26" s="172"/>
      <x:c r="C26" s="172"/>
      <x:c r="D26" s="277"/>
      <x:c r="E26" s="276"/>
      <x:c r="F26" s="172"/>
      <x:c r="G26" s="172"/>
      <x:c r="H26" s="172"/>
      <x:c r="I26" s="277"/>
      <x:c r="J26" s="276"/>
      <x:c r="K26" s="172"/>
      <x:c r="L26" s="172"/>
      <x:c r="M26" s="172"/>
      <x:c r="N26" s="277"/>
    </x:row>
    <x:row r="27">
      <x:c r="A27" s="278"/>
      <x:c r="B27" s="279"/>
      <x:c r="C27" s="279"/>
      <x:c r="D27" s="280"/>
      <x:c r="E27" s="278"/>
      <x:c r="F27" s="279"/>
      <x:c r="G27" s="279"/>
      <x:c r="H27" s="279"/>
      <x:c r="I27" s="280"/>
      <x:c r="J27" s="278"/>
      <x:c r="K27" s="279"/>
      <x:c r="L27" s="279"/>
      <x:c r="M27" s="279"/>
      <x:c r="N27" s="280"/>
    </x:row>
    <x:row r="29">
      <x:c r="A29" s="292" t="str">
        <x:v>06 — CAPA DE ANTICIPACIÓN
Monitorea planificación y ejecución:
• habilitaciones / vencimientos
• recursos previstos
• contratos e ítems
• evidencia/firma pendiente
No es un paso: observa y alerta.</x:v>
      </x:c>
      <x:c r="B29" s="293"/>
      <x:c r="C29" s="293"/>
      <x:c r="D29" s="293"/>
      <x:c r="E29" s="293"/>
      <x:c r="F29" s="293"/>
      <x:c r="G29" s="294"/>
      <x:c r="H29" s="312" t="str">
        <x:v>07 — TRAZABILIDAD
Append-only:
• ruteo y overrides
• cambios de persona/recurso
• desvíos de planificación
• apertura/cierre de permisos
• cambios de imputación
• firmas/evidencias
La historia no se sobreescribe.</x:v>
      </x:c>
      <x:c r="I29" s="313"/>
      <x:c r="J29" s="313"/>
      <x:c r="K29" s="313"/>
      <x:c r="L29" s="313"/>
      <x:c r="M29" s="313"/>
      <x:c r="N29" s="314"/>
    </x:row>
    <x:row r="30">
      <x:c r="A30" s="295"/>
      <x:c r="B30" s="296"/>
      <x:c r="C30" s="296"/>
      <x:c r="D30" s="296"/>
      <x:c r="E30" s="296"/>
      <x:c r="F30" s="296"/>
      <x:c r="G30" s="297"/>
      <x:c r="H30" s="315"/>
      <x:c r="I30" s="316"/>
      <x:c r="J30" s="316"/>
      <x:c r="K30" s="316"/>
      <x:c r="L30" s="316"/>
      <x:c r="M30" s="316"/>
      <x:c r="N30" s="317"/>
    </x:row>
    <x:row r="31">
      <x:c r="A31" s="295"/>
      <x:c r="B31" s="296"/>
      <x:c r="C31" s="296"/>
      <x:c r="D31" s="296"/>
      <x:c r="E31" s="296"/>
      <x:c r="F31" s="296"/>
      <x:c r="G31" s="297"/>
      <x:c r="H31" s="315"/>
      <x:c r="I31" s="316"/>
      <x:c r="J31" s="316"/>
      <x:c r="K31" s="316"/>
      <x:c r="L31" s="316"/>
      <x:c r="M31" s="316"/>
      <x:c r="N31" s="317"/>
    </x:row>
    <x:row r="32">
      <x:c r="A32" s="298"/>
      <x:c r="B32" s="299"/>
      <x:c r="C32" s="299"/>
      <x:c r="D32" s="299"/>
      <x:c r="E32" s="299"/>
      <x:c r="F32" s="299"/>
      <x:c r="G32" s="300"/>
      <x:c r="H32" s="318"/>
      <x:c r="I32" s="319"/>
      <x:c r="J32" s="319"/>
      <x:c r="K32" s="319"/>
      <x:c r="L32" s="319"/>
      <x:c r="M32" s="319"/>
      <x:c r="N32" s="320"/>
    </x:row>
    <x:row r="34">
      <x:c r="A34" s="74" t="str">
        <x:v>TRADUCCIÓN DEL DIAGRAMA ORIGINAL → REV C.1</x:v>
      </x:c>
      <x:c r="B34" s="74"/>
      <x:c r="C34" s="74"/>
      <x:c r="D34" s="74"/>
      <x:c r="E34" s="74"/>
      <x:c r="F34" s="74"/>
      <x:c r="G34" s="74"/>
      <x:c r="H34" s="74"/>
      <x:c r="I34" s="74"/>
      <x:c r="J34" s="74"/>
      <x:c r="K34" s="74"/>
      <x:c r="L34" s="74"/>
      <x:c r="M34" s="74"/>
      <x:c r="N34" s="74"/>
    </x:row>
    <x:row r="35">
      <x:c r="A35" s="321" t="str">
        <x:v>Capa original</x:v>
      </x:c>
      <x:c r="B35" s="322" t="str">
        <x:v>Qué se conserva</x:v>
      </x:c>
      <x:c r="C35" s="322" t="str">
        <x:v>Qué cambia en REV C.1</x:v>
      </x:c>
      <x:c r="D35" s="323" t="str">
        <x:v>Decisión actual</x:v>
      </x:c>
    </x:row>
    <x:row r="36">
      <x:c r="A36" s="324" t="str">
        <x:v>01 Flujo general</x:v>
      </x:c>
      <x:c r="B36" s="325" t="str">
        <x:v>Secuencia y separación de responsabilidades</x:v>
      </x:c>
      <x:c r="C36" s="325" t="str">
        <x:v>Se agrega pre-ruteo Perfil + Asignación + Contexto</x:v>
      </x:c>
      <x:c r="D36" s="326" t="str">
        <x:v>El usuario no elige TipoParte.</x:v>
      </x:c>
    </x:row>
    <x:row r="37">
      <x:c r="A37" s="324" t="str">
        <x:v>02 Contenedor Parte</x:v>
      </x:c>
      <x:c r="B37" s="325" t="str">
        <x:v>Parte con unidades internas y atributos comunes</x:v>
      </x:c>
      <x:c r="C37" s="325" t="str">
        <x:v>El contenedor pasa a ser configurable por TipoParte</x:v>
      </x:c>
      <x:c r="D37" s="326" t="str">
        <x:v>No existe un formulario universal.</x:v>
      </x:c>
    </x:row>
    <x:row r="38">
      <x:c r="A38" s="324" t="str">
        <x:v>03 Derivación automática</x:v>
      </x:c>
      <x:c r="B38" s="325" t="str">
        <x:v>ƒ = dato derivado, no editable</x:v>
      </x:c>
      <x:c r="C38" s="325" t="str">
        <x:v>Se suman perfil, contrato, requisitos documentales y mediciones</x:v>
      </x:c>
      <x:c r="D38" s="326" t="str">
        <x:v>Captura mínima sigue siendo principio rector.</x:v>
      </x:c>
    </x:row>
    <x:row r="39">
      <x:c r="A39" s="324" t="str">
        <x:v>04 Compuertas</x:v>
      </x:c>
      <x:c r="B39" s="325" t="str">
        <x:v>Gates explícitos en vez de reglas recordadas por personas</x:v>
      </x:c>
      <x:c r="C39" s="325" t="str">
        <x:v>La compuerta global por posición contrato se reemplaza por gates específicos y reglas de corte por tipo</x:v>
      </x:c>
      <x:c r="D39" s="326" t="str">
        <x:v>Control documental + permiso + corte de TipoParte.</x:v>
      </x:c>
    </x:row>
    <x:row r="40">
      <x:c r="A40" s="324" t="str">
        <x:v>05 Máquinas de estado</x:v>
      </x:c>
      <x:c r="B40" s="325" t="str">
        <x:v>Estados separados para objetos distintos</x:v>
      </x:c>
      <x:c r="C40" s="325" t="str">
        <x:v>Los estados exactos se revisan por TipoParte/UnidadEjecución</x:v>
      </x:c>
      <x:c r="D40" s="326" t="str">
        <x:v>No mezclar estado de ejecución con certificación.</x:v>
      </x:c>
    </x:row>
    <x:row r="41">
      <x:c r="A41" s="324" t="str">
        <x:v>06 Anticipación</x:v>
      </x:c>
      <x:c r="B41" s="325" t="str">
        <x:v>Capa transversal, no paso del flujo</x:v>
      </x:c>
      <x:c r="C41" s="325" t="str">
        <x:v>Control documental gana peso en Planificación e inicio</x:v>
      </x:c>
      <x:c r="D41" s="326" t="str">
        <x:v>Alertar antes de que el problema llegue al campo.</x:v>
      </x:c>
    </x:row>
    <x:row r="42">
      <x:c r="A42" s="327" t="str">
        <x:v>07 Trazabilidad</x:v>
      </x:c>
      <x:c r="B42" s="328" t="str">
        <x:v>Historial append-only</x:v>
      </x:c>
      <x:c r="C42" s="328" t="str">
        <x:v>Incluye ruteo, overrides, desvíos, cambios de recursos, permisos e imputaciones</x:v>
      </x:c>
      <x:c r="D42" s="329" t="str">
        <x:v>Nunca sobrescribir la realidad previa.</x:v>
      </x:c>
    </x:row>
  </x:sheetData>
  <x:mergeCells>
    <x:mergeCell ref="A1:N1"/>
    <x:mergeCell ref="A2:N2"/>
    <x:mergeCell ref="A4:N4"/>
    <x:mergeCell ref="A5:B7"/>
    <x:mergeCell ref="C5:C7"/>
    <x:mergeCell ref="D5:F7"/>
    <x:mergeCell ref="G5:G7"/>
    <x:mergeCell ref="H5:J7"/>
    <x:mergeCell ref="K5:K7"/>
    <x:mergeCell ref="L5:N7"/>
    <x:mergeCell ref="A9:N9"/>
    <x:mergeCell ref="A10:C12"/>
    <x:mergeCell ref="D10:D12"/>
    <x:mergeCell ref="E10:H12"/>
    <x:mergeCell ref="I10:I12"/>
    <x:mergeCell ref="J10:N12"/>
    <x:mergeCell ref="A14:N14"/>
    <x:mergeCell ref="A15:D17"/>
    <x:mergeCell ref="E15:H17"/>
    <x:mergeCell ref="I15:K17"/>
    <x:mergeCell ref="L15:N17"/>
    <x:mergeCell ref="A19:N19"/>
    <x:mergeCell ref="A20:C22"/>
    <x:mergeCell ref="D20:F22"/>
    <x:mergeCell ref="G20:I22"/>
    <x:mergeCell ref="J20:N22"/>
    <x:mergeCell ref="A24:N24"/>
    <x:mergeCell ref="A25:D27"/>
    <x:mergeCell ref="E25:I27"/>
    <x:mergeCell ref="J25:N27"/>
    <x:mergeCell ref="A29:G32"/>
    <x:mergeCell ref="H29:N32"/>
    <x:mergeCell ref="A34:N34"/>
  </x:mergeCells>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21" hidden="0" customWidth="1"/>
    <x:col min="3" max="3" width="21" hidden="0" customWidth="1"/>
    <x:col min="4" max="4" width="21" hidden="0" customWidth="1"/>
    <x:col min="5" max="5" width="21" hidden="0" customWidth="1"/>
    <x:col min="6" max="6" width="4" hidden="0" customWidth="1"/>
    <x:col min="7" max="7" width="18" hidden="0" customWidth="1"/>
    <x:col min="8" max="8" width="21" hidden="0" customWidth="1"/>
    <x:col min="9" max="9" width="21" hidden="0" customWidth="1"/>
    <x:col min="10" max="10" width="21" hidden="0" customWidth="1"/>
    <x:col min="11" max="11" width="21" hidden="0" customWidth="1"/>
    <x:col min="12" max="12" width="21" hidden="0" customWidth="1"/>
  </x:cols>
  <x:sheetData>
    <x:row r="1" ht="28" customHeight="1">
      <x:c r="A1" s="676" t="str">
        <x:v>TP-03 · REPORTE DIARIO DE CUADRILLA — CIERRE LÓGICO v0.1</x:v>
      </x:c>
      <x:c r="B1" s="676"/>
      <x:c r="C1" s="676"/>
      <x:c r="D1" s="676"/>
      <x:c r="E1" s="676"/>
      <x:c r="F1" s="676"/>
      <x:c r="G1" s="676"/>
      <x:c r="H1" s="676"/>
      <x:c r="I1" s="676"/>
      <x:c r="J1" s="676"/>
      <x:c r="K1" s="676"/>
      <x:c r="L1" s="676"/>
    </x:row>
    <x:row r="2" ht="34" customHeight="1">
      <x:c r="A2" s="339" t="str">
        <x:v>Primer TipoParte sometido a revisión profunda. Base: T5 + T7 + respuestas operativas + Arquitectura REV C.1. ✓ = evidencia inicial fuerte · H = hipótesis · ? = validación pendiente.</x:v>
      </x:c>
      <x:c r="B2" s="339"/>
      <x:c r="C2" s="339"/>
      <x:c r="D2" s="339"/>
      <x:c r="E2" s="339"/>
      <x:c r="F2" s="339"/>
      <x:c r="G2" s="339"/>
      <x:c r="H2" s="339"/>
      <x:c r="I2" s="339"/>
      <x:c r="J2" s="339"/>
      <x:c r="K2" s="339"/>
      <x:c r="L2" s="339"/>
    </x:row>
    <x:row r="3">
      <x:c r="A3" s="20"/>
      <x:c r="B3" s="20"/>
      <x:c r="C3" s="20"/>
      <x:c r="D3" s="20"/>
      <x:c r="E3" s="20"/>
      <x:c r="F3" s="20"/>
      <x:c r="G3" s="20"/>
      <x:c r="H3" s="20"/>
      <x:c r="I3" s="20"/>
      <x:c r="J3" s="20"/>
      <x:c r="K3" s="20"/>
      <x:c r="L3" s="20"/>
    </x:row>
    <x:row r="4" ht="22" customHeight="1">
      <x:c r="A4" s="677" t="str">
        <x:v>01 — IDENTIDAD + ENRUTAMIENTO</x:v>
      </x:c>
      <x:c r="B4" s="677"/>
      <x:c r="C4" s="677"/>
      <x:c r="D4" s="677"/>
      <x:c r="E4" s="677"/>
      <x:c r="F4" s="677"/>
      <x:c r="G4" s="677"/>
      <x:c r="H4" s="677"/>
      <x:c r="I4" s="677"/>
      <x:c r="J4" s="677"/>
      <x:c r="K4" s="677"/>
      <x:c r="L4" s="677"/>
    </x:row>
    <x:row r="5">
      <x:c r="A5" s="362" t="str">
        <x:v>PERFIL
OPERATIVO
Encargado / supervisor
asignado</x:v>
      </x:c>
      <x:c r="B5" s="363"/>
      <x:c r="C5" s="20"/>
      <x:c r="D5" s="362" t="str">
        <x:v>ASIGNACIÓN
+ CONTEXTO
Cuadrilla · tarea · servicio
ubicación · recursos · cliente</x:v>
      </x:c>
      <x:c r="E5" s="363"/>
      <x:c r="F5" s="20"/>
      <x:c r="G5" s="388" t="str">
        <x:v>MOTOR DE
ENRUTAMIENTO
Perfil + asignación + contexto</x:v>
      </x:c>
      <x:c r="H5" s="389"/>
      <x:c r="I5" s="20"/>
      <x:c r="J5" s="362" t="str">
        <x:v>TP-03
RESUELTO
Sin selector manual de Parte</x:v>
      </x:c>
      <x:c r="K5" s="403"/>
      <x:c r="L5" s="363"/>
    </x:row>
    <x:row r="6">
      <x:c r="A6" s="364"/>
      <x:c r="B6" s="365"/>
      <x:c r="C6" s="678" t="str">
        <x:v>→</x:v>
      </x:c>
      <x:c r="D6" s="364"/>
      <x:c r="E6" s="365"/>
      <x:c r="F6" s="678" t="str">
        <x:v>→</x:v>
      </x:c>
      <x:c r="G6" s="390"/>
      <x:c r="H6" s="391"/>
      <x:c r="I6" s="678" t="str">
        <x:v>→</x:v>
      </x:c>
      <x:c r="J6" s="364"/>
      <x:c r="K6" s="404"/>
      <x:c r="L6" s="365"/>
    </x:row>
    <x:row r="7">
      <x:c r="A7" s="366"/>
      <x:c r="B7" s="367"/>
      <x:c r="C7" s="20"/>
      <x:c r="D7" s="366"/>
      <x:c r="E7" s="367"/>
      <x:c r="F7" s="20"/>
      <x:c r="G7" s="392"/>
      <x:c r="H7" s="393"/>
      <x:c r="I7" s="20"/>
      <x:c r="J7" s="366"/>
      <x:c r="K7" s="405"/>
      <x:c r="L7" s="367"/>
    </x:row>
    <x:row r="8">
      <x:c r="A8" s="20"/>
      <x:c r="B8" s="20"/>
      <x:c r="C8" s="20"/>
      <x:c r="D8" s="20"/>
      <x:c r="E8" s="20"/>
      <x:c r="F8" s="20"/>
      <x:c r="G8" s="20"/>
      <x:c r="H8" s="20"/>
      <x:c r="I8" s="20"/>
      <x:c r="J8" s="20"/>
      <x:c r="K8" s="20"/>
      <x:c r="L8" s="20"/>
    </x:row>
    <x:row r="9">
      <x:c r="A9" s="435" t="str">
        <x:v>IDENTIDAD OPERATIVA (regla de agrupación)
Cuadrilla + fecha_operativa + turno + cliente
No reemplaza parte_id. Define qué ejecuciones pueden convivir en una instancia TP-03.</x:v>
      </x:c>
      <x:c r="B9" s="436"/>
      <x:c r="C9" s="436"/>
      <x:c r="D9" s="436"/>
      <x:c r="E9" s="436"/>
      <x:c r="F9" s="437"/>
      <x:c r="G9" s="468" t="str">
        <x:v>INICIO / CIERRE
Inicio: ruta resuelta + control documental aprobado + comienzo de jornada/primera UnidadEjecución.
Cierre: fin de turno/jornada + todas las UnidadesEjecución resueltas + permisos requeridos cerrados + evidencia obligatoria completa.</x:v>
      </x:c>
      <x:c r="H9" s="469"/>
      <x:c r="I9" s="469"/>
      <x:c r="J9" s="469"/>
      <x:c r="K9" s="469"/>
      <x:c r="L9" s="470"/>
    </x:row>
    <x:row r="10">
      <x:c r="A10" s="438"/>
      <x:c r="B10" s="439"/>
      <x:c r="C10" s="439"/>
      <x:c r="D10" s="439"/>
      <x:c r="E10" s="439"/>
      <x:c r="F10" s="440"/>
      <x:c r="G10" s="471"/>
      <x:c r="H10" s="404"/>
      <x:c r="I10" s="404"/>
      <x:c r="J10" s="404"/>
      <x:c r="K10" s="404"/>
      <x:c r="L10" s="472"/>
    </x:row>
    <x:row r="11">
      <x:c r="A11" s="438"/>
      <x:c r="B11" s="439"/>
      <x:c r="C11" s="439"/>
      <x:c r="D11" s="439"/>
      <x:c r="E11" s="439"/>
      <x:c r="F11" s="440"/>
      <x:c r="G11" s="471"/>
      <x:c r="H11" s="404"/>
      <x:c r="I11" s="404"/>
      <x:c r="J11" s="404"/>
      <x:c r="K11" s="404"/>
      <x:c r="L11" s="472"/>
    </x:row>
    <x:row r="12">
      <x:c r="A12" s="441"/>
      <x:c r="B12" s="442"/>
      <x:c r="C12" s="442"/>
      <x:c r="D12" s="442"/>
      <x:c r="E12" s="442"/>
      <x:c r="F12" s="443"/>
      <x:c r="G12" s="473"/>
      <x:c r="H12" s="474"/>
      <x:c r="I12" s="474"/>
      <x:c r="J12" s="474"/>
      <x:c r="K12" s="474"/>
      <x:c r="L12" s="475"/>
    </x:row>
    <x:row r="13">
      <x:c r="A13" s="20"/>
      <x:c r="B13" s="20"/>
      <x:c r="C13" s="20"/>
      <x:c r="D13" s="20"/>
      <x:c r="E13" s="20"/>
      <x:c r="F13" s="20"/>
      <x:c r="G13" s="20"/>
      <x:c r="H13" s="20"/>
      <x:c r="I13" s="20"/>
      <x:c r="J13" s="20"/>
      <x:c r="K13" s="20"/>
      <x:c r="L13" s="20"/>
    </x:row>
    <x:row r="14" ht="22" customHeight="1">
      <x:c r="A14" s="677" t="str">
        <x:v>02 — CONTENEDOR TP-03 · QUÉ VIVE EN CADA NIVEL</x:v>
      </x:c>
      <x:c r="B14" s="677"/>
      <x:c r="C14" s="677"/>
      <x:c r="D14" s="677"/>
      <x:c r="E14" s="677"/>
      <x:c r="F14" s="677"/>
      <x:c r="G14" s="677"/>
      <x:c r="H14" s="677"/>
      <x:c r="I14" s="677"/>
      <x:c r="J14" s="677"/>
      <x:c r="K14" s="677"/>
      <x:c r="L14" s="677"/>
    </x:row>
    <x:row r="15">
      <x:c r="A15" s="673" t="str">
        <x:v>Nivel</x:v>
      </x:c>
      <x:c r="B15" s="673" t="str">
        <x:v>Entidad / componente</x:v>
      </x:c>
      <x:c r="C15" s="673" t="str">
        <x:v>Qué contiene</x:v>
      </x:c>
      <x:c r="D15" s="673" t="str">
        <x:v>Se hereda / deriva</x:v>
      </x:c>
      <x:c r="E15" s="673" t="str">
        <x:v>Input de campo</x:v>
      </x:c>
      <x:c r="F15" s="673" t="str">
        <x:v>Ejemplo T5/T7</x:v>
      </x:c>
      <x:c r="G15" s="673" t="str">
        <x:v>Nivel</x:v>
      </x:c>
      <x:c r="H15" s="673" t="str">
        <x:v>Entidad / componente</x:v>
      </x:c>
      <x:c r="I15" s="673" t="str">
        <x:v>Qué contiene</x:v>
      </x:c>
      <x:c r="J15" s="673" t="str">
        <x:v>Se hereda / deriva</x:v>
      </x:c>
      <x:c r="K15" s="673" t="str">
        <x:v>Input de campo</x:v>
      </x:c>
      <x:c r="L15" s="673" t="str">
        <x:v>Ejemplo T5/T7</x:v>
      </x:c>
    </x:row>
    <x:row r="16">
      <x:c r="A16" s="674" t="str">
        <x:v>PARTE</x:v>
      </x:c>
      <x:c r="B16" s="674" t="str">
        <x:v>Parte TP-03</x:v>
      </x:c>
      <x:c r="C16" s="674" t="str">
        <x:v>fecha_operativa · turno · cuadrilla · cliente · estado</x:v>
      </x:c>
      <x:c r="D16" s="674" t="str">
        <x:v>Planificación / motor</x:v>
      </x:c>
      <x:c r="E16" s="674" t="str">
        <x:v>Confirmación mínima</x:v>
      </x:c>
      <x:c r="F16" s="674" t="str">
        <x:v>turno / encargado</x:v>
      </x:c>
      <x:c r="G16" s="674" t="str">
        <x:v>UNIDAD</x:v>
      </x:c>
      <x:c r="H16" s="674" t="str">
        <x:v>UnidadEjecución [1..N]</x:v>
      </x:c>
      <x:c r="I16" s="674" t="str">
        <x:v>servicio · ubicación · resultado · imputación</x:v>
      </x:c>
      <x:c r="J16" s="674" t="str">
        <x:v>Planificación + contexto</x:v>
      </x:c>
      <x:c r="K16" s="674" t="str">
        <x:v>Confirmar cambios / realidad</x:v>
      </x:c>
      <x:c r="L16" s="674" t="str">
        <x:v>activo/pozo/batería/planta</x:v>
      </x:c>
    </x:row>
    <x:row r="17">
      <x:c r="A17" s="674" t="str">
        <x:v>PARTE</x:v>
      </x:c>
      <x:c r="B17" s="674" t="str">
        <x:v>AsignaciónPersona</x:v>
      </x:c>
      <x:c r="C17" s="674" t="str">
        <x:v>personas reales + rol</x:v>
      </x:c>
      <x:c r="D17" s="674" t="str">
        <x:v>Planificación</x:v>
      </x:c>
      <x:c r="E17" s="674" t="str">
        <x:v>Solo excepción</x:v>
      </x:c>
      <x:c r="F17" s="674" t="str">
        <x:v>nombre · legajo</x:v>
      </x:c>
      <x:c r="G17" s="674" t="str">
        <x:v>UNIDAD</x:v>
      </x:c>
      <x:c r="H17" s="674" t="str">
        <x:v>EventoTiempo [N]</x:v>
      </x:c>
      <x:c r="I17" s="674" t="str">
        <x:v>traslado · ejecución · stand-by · cierre · pausa</x:v>
      </x:c>
      <x:c r="J17" s="674" t="str">
        <x:v>Sistema + eventos</x:v>
      </x:c>
      <x:c r="K17" s="674" t="str">
        <x:v>Inicio/fin o confirmación</x:v>
      </x:c>
      <x:c r="L17" s="674" t="str">
        <x:v>tiempo_viaje / tiempos_varios</x:v>
      </x:c>
    </x:row>
    <x:row r="18">
      <x:c r="A18" s="674" t="str">
        <x:v>PARTE</x:v>
      </x:c>
      <x:c r="B18" s="674" t="str">
        <x:v>AsignaciónRecurso</x:v>
      </x:c>
      <x:c r="C18" s="674" t="str">
        <x:v>recursos reales utilizados</x:v>
      </x:c>
      <x:c r="D18" s="674" t="str">
        <x:v>Planificación</x:v>
      </x:c>
      <x:c r="E18" s="674" t="str">
        <x:v>Solo cambio/excepción</x:v>
      </x:c>
      <x:c r="F18" s="674" t="str">
        <x:v>interno_equipo</x:v>
      </x:c>
      <x:c r="G18" s="674" t="str">
        <x:v>UNIDAD</x:v>
      </x:c>
      <x:c r="H18" s="674" t="str">
        <x:v>ImputacionEjecucion</x:v>
      </x:c>
      <x:c r="I18" s="674" t="str">
        <x:v>obra/CECO/ítem aplicable</x:v>
      </x:c>
      <x:c r="J18" s="674" t="str">
        <x:v>Motor contractual</x:v>
      </x:c>
      <x:c r="K18" s="674" t="str">
        <x:v>No, salvo excepción</x:v>
      </x:c>
      <x:c r="L18" s="674" t="str">
        <x:v>imputacion_ceco</x:v>
      </x:c>
    </x:row>
    <x:row r="19">
      <x:c r="A19" s="674" t="str">
        <x:v>TRANSV.</x:v>
      </x:c>
      <x:c r="B19" s="674" t="str">
        <x:v>Control documental</x:v>
      </x:c>
      <x:c r="C19" s="674" t="str">
        <x:v>habilitaciones persona/recurso en fecha/contexto</x:v>
      </x:c>
      <x:c r="D19" s="674" t="str">
        <x:v>Maestros documentales</x:v>
      </x:c>
      <x:c r="E19" s="674" t="str">
        <x:v>No</x:v>
      </x:c>
      <x:c r="F19" s="674" t="str">
        <x:v>—</x:v>
      </x:c>
      <x:c r="G19" s="674" t="str">
        <x:v>UNIDAD</x:v>
      </x:c>
      <x:c r="H19" s="674" t="str">
        <x:v>PermisoTrabajo</x:v>
      </x:c>
      <x:c r="I19" s="674" t="str">
        <x:v>gate de seguridad por tarea cuando aplica</x:v>
      </x:c>
      <x:c r="J19" s="674" t="str">
        <x:v>Regla de servicio/tarea</x:v>
      </x:c>
      <x:c r="K19" s="674" t="str">
        <x:v>Validación/cierre</x:v>
      </x:c>
      <x:c r="L19" s="674" t="str">
        <x:v>nuevo concepto transversal</x:v>
      </x:c>
    </x:row>
    <x:row r="20">
      <x:c r="A20" s="674" t="str">
        <x:v>TRANSV.</x:v>
      </x:c>
      <x:c r="B20" s="674" t="str">
        <x:v>EventoOperativo</x:v>
      </x:c>
      <x:c r="C20" s="674" t="str">
        <x:v>reemplazos · contingencias · no realizado · adicionales</x:v>
      </x:c>
      <x:c r="D20" s="674" t="str">
        <x:v>Sistema + selección estructurada</x:v>
      </x:c>
      <x:c r="E20" s="674" t="str">
        <x:v>Condicional</x:v>
      </x:c>
      <x:c r="F20" s="674" t="str">
        <x:v>desvíos</x:v>
      </x:c>
      <x:c r="G20" s="674" t="str">
        <x:v>PARTE/UNIDAD</x:v>
      </x:c>
      <x:c r="H20" s="674" t="str">
        <x:v>Evidencia</x:v>
      </x:c>
      <x:c r="I20" s="674" t="str">
        <x:v>firma · aprobación · foto · medición</x:v>
      </x:c>
      <x:c r="J20" s="674" t="str">
        <x:v>Reglas tipo/servicio/contrato</x:v>
      </x:c>
      <x:c r="K20" s="674" t="str">
        <x:v>Solo cuando corresponde</x:v>
      </x:c>
      <x:c r="L20" s="674" t="str">
        <x:v>rol_firma / autorizantes</x:v>
      </x:c>
    </x:row>
    <x:row r="21">
      <x:c r="A21" s="20"/>
      <x:c r="B21" s="20"/>
      <x:c r="C21" s="20"/>
      <x:c r="D21" s="20"/>
      <x:c r="E21" s="20"/>
      <x:c r="F21" s="20"/>
      <x:c r="G21" s="20"/>
      <x:c r="H21" s="20"/>
      <x:c r="I21" s="20"/>
      <x:c r="J21" s="20"/>
      <x:c r="K21" s="20"/>
      <x:c r="L21" s="20"/>
    </x:row>
    <x:row r="22" ht="22" customHeight="1">
      <x:c r="A22" s="677" t="str">
        <x:v>03 — REGLAS DE CORTE · CUÁNDO SIGUE EL MISMO TP-03 Y CUÁNDO NACE OTRO</x:v>
      </x:c>
      <x:c r="B22" s="677"/>
      <x:c r="C22" s="677"/>
      <x:c r="D22" s="677"/>
      <x:c r="E22" s="677"/>
      <x:c r="F22" s="677"/>
      <x:c r="G22" s="677"/>
      <x:c r="H22" s="677"/>
      <x:c r="I22" s="677"/>
      <x:c r="J22" s="677"/>
      <x:c r="K22" s="677"/>
      <x:c r="L22" s="677"/>
    </x:row>
    <x:row r="23">
      <x:c r="A23" s="673" t="str">
        <x:v>Dimensión / evento</x:v>
      </x:c>
      <x:c r="B23" s="673" t="str">
        <x:v>Regla TP-03 v0.1</x:v>
      </x:c>
      <x:c r="C23" s="673" t="str">
        <x:v>Acción del sistema</x:v>
      </x:c>
      <x:c r="D23" s="673" t="str">
        <x:v>Confianza</x:v>
      </x:c>
      <x:c r="E23" s="673" t="str">
        <x:v>Por qué</x:v>
      </x:c>
      <x:c r="F23" s="20"/>
      <x:c r="G23" s="20"/>
      <x:c r="H23" s="20"/>
      <x:c r="I23" s="20"/>
      <x:c r="J23" s="20"/>
      <x:c r="K23" s="20"/>
      <x:c r="L23" s="20"/>
    </x:row>
    <x:row r="24">
      <x:c r="A24" s="674" t="str">
        <x:v>Cambio de ubicación</x:v>
      </x:c>
      <x:c r="B24" s="674" t="str">
        <x:v>NO corta por sí solo</x:v>
      </x:c>
      <x:c r="C24" s="674" t="str">
        <x:v>Nueva UnidadEjecución / actualizar ubicación</x:v>
      </x:c>
      <x:c r="D24" s="674" t="str">
        <x:v>✓</x:v>
      </x:c>
      <x:c r="E24" s="674" t="str">
        <x:v>La cuadrilla puede recorrer varias ubicaciones en la jornada.</x:v>
      </x:c>
      <x:c r="F24" s="20"/>
      <x:c r="G24" s="20"/>
      <x:c r="H24" s="20"/>
      <x:c r="I24" s="20"/>
      <x:c r="J24" s="20"/>
      <x:c r="K24" s="20"/>
      <x:c r="L24" s="20"/>
    </x:row>
    <x:row r="25">
      <x:c r="A25" s="674" t="str">
        <x:v>Cambio de imputación / CECO</x:v>
      </x:c>
      <x:c r="B25" s="674" t="str">
        <x:v>NO corta</x:v>
      </x:c>
      <x:c r="C25" s="674" t="str">
        <x:v>Nueva/actualizada ImputacionEjecucion en la UnidadEjecución</x:v>
      </x:c>
      <x:c r="D25" s="674" t="str">
        <x:v>✓</x:v>
      </x:c>
      <x:c r="E25" s="674" t="str">
        <x:v>Una jornada puede contener imputaciones distintas.</x:v>
      </x:c>
      <x:c r="F25" s="20"/>
      <x:c r="G25" s="20"/>
      <x:c r="H25" s="20"/>
      <x:c r="I25" s="20"/>
      <x:c r="J25" s="20"/>
      <x:c r="K25" s="20"/>
      <x:c r="L25" s="20"/>
    </x:row>
    <x:row r="26">
      <x:c r="A26" s="674" t="str">
        <x:v>Cambio de servicio</x:v>
      </x:c>
      <x:c r="B26" s="674" t="str">
        <x:v>CORTE CONDICIONAL</x:v>
      </x:c>
      <x:c r="C26" s="674" t="str">
        <x:v>Si sigue compatible con TP-03 → nueva UnidadEjecución. Si exige registro/certificación propia → otro Parte/TipoParte.</x:v>
      </x:c>
      <x:c r="D26" s="674" t="str">
        <x:v>✓/H</x:v>
      </x:c>
      <x:c r="E26" s="674" t="str">
        <x:v>La certificación puntual no se mezcla; no todo cambio de tarea implica split.</x:v>
      </x:c>
      <x:c r="F26" s="20"/>
      <x:c r="G26" s="20"/>
      <x:c r="H26" s="20"/>
      <x:c r="I26" s="20"/>
      <x:c r="J26" s="20"/>
      <x:c r="K26" s="20"/>
      <x:c r="L26" s="20"/>
    </x:row>
    <x:row r="27">
      <x:c r="A27" s="674" t="str">
        <x:v>Cambio de cliente</x:v>
      </x:c>
      <x:c r="B27" s="674" t="str">
        <x:v>SÍ corta</x:v>
      </x:c>
      <x:c r="C27" s="674" t="str">
        <x:v>Nuevo Parte para el otro cliente/contexto contractual</x:v>
      </x:c>
      <x:c r="D27" s="674" t="str">
        <x:v>✓ inicial</x:v>
      </x:c>
      <x:c r="E27" s="674" t="str">
        <x:v>Respuesta operativa explícita.</x:v>
      </x:c>
      <x:c r="F27" s="20"/>
      <x:c r="G27" s="20"/>
      <x:c r="H27" s="20"/>
      <x:c r="I27" s="20"/>
      <x:c r="J27" s="20"/>
      <x:c r="K27" s="20"/>
      <x:c r="L27" s="20"/>
    </x:row>
    <x:row r="28">
      <x:c r="A28" s="674" t="str">
        <x:v>Cambio de turno</x:v>
      </x:c>
      <x:c r="B28" s="674" t="str">
        <x:v>SÍ corta</x:v>
      </x:c>
      <x:c r="C28" s="674" t="str">
        <x:v>Cerrar TP-03 actual y abrir TP-03 nuevo</x:v>
      </x:c>
      <x:c r="D28" s="674" t="str">
        <x:v>✓ inicial fuerte</x:v>
      </x:c>
      <x:c r="E28" s="674" t="str">
        <x:v>Turno/jornada funciona como frontera.</x:v>
      </x:c>
      <x:c r="F28" s="20"/>
      <x:c r="G28" s="20"/>
      <x:c r="H28" s="20"/>
      <x:c r="I28" s="20"/>
      <x:c r="J28" s="20"/>
      <x:c r="K28" s="20"/>
      <x:c r="L28" s="20"/>
    </x:row>
    <x:row r="29">
      <x:c r="A29" s="674" t="str">
        <x:v>Reemplazo de persona</x:v>
      </x:c>
      <x:c r="B29" s="674" t="str">
        <x:v>NO corta</x:v>
      </x:c>
      <x:c r="C29" s="674" t="str">
        <x:v>EventoOperativo + actualizar asignación + revalidar documentos</x:v>
      </x:c>
      <x:c r="D29" s="674" t="str">
        <x:v>✓</x:v>
      </x:c>
      <x:c r="E29" s="674" t="str">
        <x:v>Debe trazarse, no crear nueva jornada.</x:v>
      </x:c>
      <x:c r="F29" s="20"/>
      <x:c r="G29" s="20"/>
      <x:c r="H29" s="20"/>
      <x:c r="I29" s="20"/>
      <x:c r="J29" s="20"/>
      <x:c r="K29" s="20"/>
      <x:c r="L29" s="20"/>
    </x:row>
    <x:row r="30">
      <x:c r="A30" s="674" t="str">
        <x:v>Sustitución de recurso</x:v>
      </x:c>
      <x:c r="B30" s="674" t="str">
        <x:v>NO corta</x:v>
      </x:c>
      <x:c r="C30" s="674" t="str">
        <x:v>EventoOperativo + actualizar recurso + revalidar documentos</x:v>
      </x:c>
      <x:c r="D30" s="674" t="str">
        <x:v>✓</x:v>
      </x:c>
      <x:c r="E30" s="674" t="str">
        <x:v>Reemplazo se traza.</x:v>
      </x:c>
      <x:c r="F30" s="20"/>
      <x:c r="G30" s="20"/>
      <x:c r="H30" s="20"/>
      <x:c r="I30" s="20"/>
      <x:c r="J30" s="20"/>
      <x:c r="K30" s="20"/>
      <x:c r="L30" s="20"/>
    </x:row>
    <x:row r="31">
      <x:c r="A31" s="674" t="str">
        <x:v>Recurso/equipo adicional</x:v>
      </x:c>
      <x:c r="B31" s="674" t="str">
        <x:v>CONDICIONAL</x:v>
      </x:c>
      <x:c r="C31" s="674" t="str">
        <x:v>Si inicia ejecución independiente/certificable → otro Parte; si solo apoya la misma unidad → mantener y trazar</x:v>
      </x:c>
      <x:c r="D31" s="674" t="str">
        <x:v>H</x:v>
      </x:c>
      <x:c r="E31" s="674" t="str">
        <x:v>Falta precisar cuándo el equipo adicional obliga al split.</x:v>
      </x:c>
      <x:c r="F31" s="20"/>
      <x:c r="G31" s="20"/>
      <x:c r="H31" s="20"/>
      <x:c r="I31" s="20"/>
      <x:c r="J31" s="20"/>
      <x:c r="K31" s="20"/>
      <x:c r="L31" s="20"/>
    </x:row>
    <x:row r="32">
      <x:c r="A32" s="674" t="str">
        <x:v>Trabajo adicional</x:v>
      </x:c>
      <x:c r="B32" s="674" t="str">
        <x:v>CONDICIONAL</x:v>
      </x:c>
      <x:c r="C32" s="674" t="str">
        <x:v>Pasar por motor; mismo TP-03 si compatible, otro Parte si requiere flujo propio</x:v>
      </x:c>
      <x:c r="D32" s="674" t="str">
        <x:v>✓/H</x:v>
      </x:c>
      <x:c r="E32" s="674" t="str">
        <x:v>El usuario no elige manualmente.</x:v>
      </x:c>
      <x:c r="F32" s="20"/>
      <x:c r="G32" s="20"/>
      <x:c r="H32" s="20"/>
      <x:c r="I32" s="20"/>
      <x:c r="J32" s="20"/>
      <x:c r="K32" s="20"/>
      <x:c r="L32" s="20"/>
    </x:row>
    <x:row r="33">
      <x:c r="A33" s="674" t="str">
        <x:v>Trabajo no realizado</x:v>
      </x:c>
      <x:c r="B33" s="674" t="str">
        <x:v>NO corta</x:v>
      </x:c>
      <x:c r="C33" s="674" t="str">
        <x:v>UnidadEjecución → no_realizada + motivo estructurado</x:v>
      </x:c>
      <x:c r="D33" s="674" t="str">
        <x:v>✓</x:v>
      </x:c>
      <x:c r="E33" s="674" t="str">
        <x:v>Es resultado de una tarea.</x:v>
      </x:c>
      <x:c r="F33" s="20"/>
      <x:c r="G33" s="20"/>
      <x:c r="H33" s="20"/>
      <x:c r="I33" s="20"/>
      <x:c r="J33" s="20"/>
      <x:c r="K33" s="20"/>
      <x:c r="L33" s="20"/>
    </x:row>
    <x:row r="34">
      <x:c r="A34" s="674" t="str">
        <x:v>Espera / stand-by / contingencia</x:v>
      </x:c>
      <x:c r="B34" s="674" t="str">
        <x:v>NO corta</x:v>
      </x:c>
      <x:c r="C34" s="674" t="str">
        <x:v>EventoTiempo/EventOperativo dentro del mismo Parte</x:v>
      </x:c>
      <x:c r="D34" s="674" t="str">
        <x:v>✓</x:v>
      </x:c>
      <x:c r="E34" s="674" t="str">
        <x:v>Son desvíos de la jornada.</x:v>
      </x:c>
      <x:c r="F34" s="20"/>
      <x:c r="G34" s="20"/>
      <x:c r="H34" s="20"/>
      <x:c r="I34" s="20"/>
      <x:c r="J34" s="20"/>
      <x:c r="K34" s="20"/>
      <x:c r="L34" s="20"/>
    </x:row>
    <x:row r="35">
      <x:c r="A35" s="674" t="str">
        <x:v>Incidente ambiental</x:v>
      </x:c>
      <x:c r="B35" s="674" t="str">
        <x:v>NO corta TP-03</x:v>
      </x:c>
      <x:c r="C35" s="674" t="str">
        <x:v>Crear EventoHabilita independiente vinculado a la UnidadEjecución/Parte; aplicar ReglaEscalamientoHabilita. NO crear TP-04.</x:v>
      </x:c>
      <x:c r="D35" s="674" t="str">
        <x:v>✓/H</x:v>
      </x:c>
      <x:c r="E35" s="674" t="str">
        <x:v>Puede suspender la UE/Parte o PTW, pero su identidad y workflow viven en Habilita.</x:v>
      </x:c>
      <x:c r="F35" s="20"/>
      <x:c r="G35" s="20"/>
      <x:c r="H35" s="20"/>
      <x:c r="I35" s="20"/>
      <x:c r="J35" s="20"/>
      <x:c r="K35" s="20"/>
      <x:c r="L35" s="20"/>
    </x:row>
    <x:row r="36">
      <x:c r="A36" s="674" t="str">
        <x:v>Extensión de jornada</x:v>
      </x:c>
      <x:c r="B36" s="674" t="str">
        <x:v>HASTA CAMBIO DE TURNO</x:v>
      </x:c>
      <x:c r="C36" s="674" t="str">
        <x:v>Registrar evento; si cruza a otro turno, nuevo TP-03</x:v>
      </x:c>
      <x:c r="D36" s="674" t="str">
        <x:v>H</x:v>
      </x:c>
      <x:c r="E36" s="674" t="str">
        <x:v>Necesita validación de política de turnos.</x:v>
      </x:c>
      <x:c r="F36" s="20"/>
      <x:c r="G36" s="20"/>
      <x:c r="H36" s="20"/>
      <x:c r="I36" s="20"/>
      <x:c r="J36" s="20"/>
      <x:c r="K36" s="20"/>
      <x:c r="L36" s="20"/>
    </x:row>
    <x:row r="37">
      <x:c r="A37" s="20"/>
      <x:c r="B37" s="20"/>
      <x:c r="C37" s="20"/>
      <x:c r="D37" s="20"/>
      <x:c r="E37" s="20"/>
      <x:c r="F37" s="20"/>
      <x:c r="G37" s="20"/>
      <x:c r="H37" s="20"/>
      <x:c r="I37" s="20"/>
      <x:c r="J37" s="20"/>
      <x:c r="K37" s="20"/>
      <x:c r="L37" s="20"/>
    </x:row>
    <x:row r="38">
      <x:c r="A38" s="20"/>
      <x:c r="B38" s="20"/>
      <x:c r="C38" s="20"/>
      <x:c r="D38" s="20"/>
      <x:c r="E38" s="20"/>
      <x:c r="F38" s="20"/>
      <x:c r="G38" s="20"/>
      <x:c r="H38" s="20"/>
      <x:c r="I38" s="20"/>
      <x:c r="J38" s="20"/>
      <x:c r="K38" s="20"/>
      <x:c r="L38" s="20"/>
    </x:row>
    <x:row r="39" ht="22" customHeight="1">
      <x:c r="A39" s="677" t="str">
        <x:v>04 — MODELO DE TIEMPOS · EVENTOS, NO COLUMNAS FIJAS</x:v>
      </x:c>
      <x:c r="B39" s="677"/>
      <x:c r="C39" s="677"/>
      <x:c r="D39" s="677"/>
      <x:c r="E39" s="677"/>
      <x:c r="F39" s="677"/>
      <x:c r="G39" s="677"/>
      <x:c r="H39" s="677"/>
      <x:c r="I39" s="677"/>
      <x:c r="J39" s="677"/>
      <x:c r="K39" s="677"/>
      <x:c r="L39" s="677"/>
    </x:row>
    <x:row r="40">
      <x:c r="A40" s="673" t="str">
        <x:v>Categoría</x:v>
      </x:c>
      <x:c r="B40" s="673" t="str">
        <x:v>Nivel sugerido</x:v>
      </x:c>
      <x:c r="C40" s="673" t="str">
        <x:v>Qué representa</x:v>
      </x:c>
      <x:c r="D40" s="673" t="str">
        <x:v>Tratamiento v0.1</x:v>
      </x:c>
      <x:c r="E40" s="673" t="str">
        <x:v>Pendiente</x:v>
      </x:c>
      <x:c r="F40" s="20"/>
      <x:c r="G40" s="20"/>
      <x:c r="H40" s="20"/>
      <x:c r="I40" s="20"/>
      <x:c r="J40" s="20"/>
      <x:c r="K40" s="20"/>
      <x:c r="L40" s="20"/>
    </x:row>
    <x:row r="41">
      <x:c r="A41" s="674" t="str">
        <x:v>Traslado</x:v>
      </x:c>
      <x:c r="B41" s="674" t="str">
        <x:v>Parte / entre Unidades</x:v>
      </x:c>
      <x:c r="C41" s="674" t="str">
        <x:v>Movimiento entre puntos de trabajo</x:v>
      </x:c>
      <x:c r="D41" s="674" t="str">
        <x:v>EventoTiempo con inicio/fin y origen/destino cuando aporte valor</x:v>
      </x:c>
      <x:c r="E41" s="674" t="str">
        <x:v>Definir si todo traslado requiere origen/destino explícito.</x:v>
      </x:c>
      <x:c r="F41" s="20"/>
      <x:c r="G41" s="20"/>
      <x:c r="H41" s="20"/>
      <x:c r="I41" s="20"/>
      <x:c r="J41" s="20"/>
      <x:c r="K41" s="20"/>
      <x:c r="L41" s="20"/>
    </x:row>
    <x:row r="42">
      <x:c r="A42" s="674" t="str">
        <x:v>Ejecución</x:v>
      </x:c>
      <x:c r="B42" s="674" t="str">
        <x:v>UnidadEjecución</x:v>
      </x:c>
      <x:c r="C42" s="674" t="str">
        <x:v>Tiempo productivo de una tarea</x:v>
      </x:c>
      <x:c r="D42" s="674" t="str">
        <x:v>EventoTiempo ligado a la unidad</x:v>
      </x:c>
      <x:c r="E42" s="674" t="str">
        <x:v>—</x:v>
      </x:c>
      <x:c r="F42" s="20"/>
      <x:c r="G42" s="20"/>
      <x:c r="H42" s="20"/>
      <x:c r="I42" s="20"/>
      <x:c r="J42" s="20"/>
      <x:c r="K42" s="20"/>
      <x:c r="L42" s="20"/>
    </x:row>
    <x:row r="43">
      <x:c r="A43" s="674" t="str">
        <x:v>Stand-by</x:v>
      </x:c>
      <x:c r="B43" s="674" t="str">
        <x:v>Parte o Unidad</x:v>
      </x:c>
      <x:c r="C43" s="674" t="str">
        <x:v>Espera/disponibilidad sin ejecución</x:v>
      </x:c>
      <x:c r="D43" s="674" t="str">
        <x:v>EventoTiempo + motivo</x:v>
      </x:c>
      <x:c r="E43" s="674" t="str">
        <x:v>Cerrar catálogo de motivos.</x:v>
      </x:c>
      <x:c r="F43" s="20"/>
      <x:c r="G43" s="20"/>
      <x:c r="H43" s="20"/>
      <x:c r="I43" s="20"/>
      <x:c r="J43" s="20"/>
      <x:c r="K43" s="20"/>
      <x:c r="L43" s="20"/>
    </x:row>
    <x:row r="44">
      <x:c r="A44" s="674" t="str">
        <x:v>Cierre</x:v>
      </x:c>
      <x:c r="B44" s="674" t="str">
        <x:v>Parte</x:v>
      </x:c>
      <x:c r="C44" s="674" t="str">
        <x:v>Actividades de cierre de jornada/parte</x:v>
      </x:c>
      <x:c r="D44" s="674" t="str">
        <x:v>EventoTiempo / evento de estado</x:v>
      </x:c>
      <x:c r="E44" s="674" t="str">
        <x:v>Definir si se mide duración o solo timestamp.</x:v>
      </x:c>
      <x:c r="F44" s="20"/>
      <x:c r="G44" s="20"/>
      <x:c r="H44" s="20"/>
      <x:c r="I44" s="20"/>
      <x:c r="J44" s="20"/>
      <x:c r="K44" s="20"/>
      <x:c r="L44" s="20"/>
    </x:row>
    <x:row r="45">
      <x:c r="A45" s="674" t="str">
        <x:v>Pausa / refrigerio</x:v>
      </x:c>
      <x:c r="B45" s="674" t="str">
        <x:v>Parte</x:v>
      </x:c>
      <x:c r="C45" s="674" t="str">
        <x:v>Interrupción programada</x:v>
      </x:c>
      <x:c r="D45" s="674" t="str">
        <x:v>Subcategoría de tiempo; no una columna</x:v>
      </x:c>
      <x:c r="E45" s="674" t="str">
        <x:v>Validar si se separa almuerzo/refrigerio.</x:v>
      </x:c>
      <x:c r="F45" s="20"/>
      <x:c r="G45" s="20"/>
      <x:c r="H45" s="20"/>
      <x:c r="I45" s="20"/>
      <x:c r="J45" s="20"/>
      <x:c r="K45" s="20"/>
      <x:c r="L45" s="20"/>
    </x:row>
    <x:row r="46">
      <x:c r="A46" s="674" t="str">
        <x:v>Reparación</x:v>
      </x:c>
      <x:c r="B46" s="674" t="str">
        <x:v>Unidad/Recurso</x:v>
      </x:c>
      <x:c r="C46" s="674" t="str">
        <x:v>Interrupción por falla/reparación</x:v>
      </x:c>
      <x:c r="D46" s="674" t="str">
        <x:v>Motivo de stand-by o EventoOperativo vinculado al recurso; NO columna fija</x:v>
      </x:c>
      <x:c r="E46" s="674" t="str">
        <x:v>Validar si necesita KPI temporal separado.</x:v>
      </x:c>
      <x:c r="F46" s="20"/>
      <x:c r="G46" s="20"/>
      <x:c r="H46" s="20"/>
      <x:c r="I46" s="20"/>
      <x:c r="J46" s="20"/>
      <x:c r="K46" s="20"/>
      <x:c r="L46" s="20"/>
    </x:row>
    <x:row r="47">
      <x:c r="A47" s="20"/>
      <x:c r="B47" s="20"/>
      <x:c r="C47" s="20"/>
      <x:c r="D47" s="20"/>
      <x:c r="E47" s="20"/>
      <x:c r="F47" s="20"/>
      <x:c r="G47" s="20"/>
      <x:c r="H47" s="20"/>
      <x:c r="I47" s="20"/>
      <x:c r="J47" s="20"/>
      <x:c r="K47" s="20"/>
      <x:c r="L47" s="20"/>
    </x:row>
    <x:row r="48" ht="22" customHeight="1">
      <x:c r="A48" s="677" t="str">
        <x:v>05 — COMPUERTAS + MÁQUINAS DE ESTADO · LENGUAJE ARQUITECTURA DE COMPUTADORA</x:v>
      </x:c>
      <x:c r="B48" s="677"/>
      <x:c r="C48" s="677"/>
      <x:c r="D48" s="677"/>
      <x:c r="E48" s="677"/>
      <x:c r="F48" s="677"/>
      <x:c r="G48" s="677"/>
      <x:c r="H48" s="677"/>
      <x:c r="I48" s="677"/>
      <x:c r="J48" s="677"/>
      <x:c r="K48" s="677"/>
      <x:c r="L48" s="677"/>
    </x:row>
    <x:row r="49">
      <x:c r="A49" s="501" t="str">
        <x:v>GATE A
RUTEO
Perfil + asignación + contexto
→ TP-03 resuelto</x:v>
      </x:c>
      <x:c r="B49" s="502"/>
      <x:c r="C49" s="20"/>
      <x:c r="D49" s="501" t="str">
        <x:v>GATE B
DOCUMENTAL
Personas + recursos + fecha
→ habilita / advierte / bloquea</x:v>
      </x:c>
      <x:c r="E49" s="502"/>
      <x:c r="F49" s="20"/>
      <x:c r="G49" s="501" t="str">
        <x:v>GATE C
PERMISO
Por UnidadEjecución
si la tarea lo requiere</x:v>
      </x:c>
      <x:c r="H49" s="502"/>
      <x:c r="I49" s="20"/>
      <x:c r="J49" s="501" t="str">
        <x:v>GATE D
CIERRE
Unidades resueltas + permisos cerrados
+ evidencia requerida</x:v>
      </x:c>
      <x:c r="K49" s="516"/>
      <x:c r="L49" s="502"/>
    </x:row>
    <x:row r="50">
      <x:c r="A50" s="503"/>
      <x:c r="B50" s="504"/>
      <x:c r="C50" s="678" t="str">
        <x:v>→</x:v>
      </x:c>
      <x:c r="D50" s="503"/>
      <x:c r="E50" s="504"/>
      <x:c r="F50" s="678" t="str">
        <x:v>→</x:v>
      </x:c>
      <x:c r="G50" s="503"/>
      <x:c r="H50" s="504"/>
      <x:c r="I50" s="678" t="str">
        <x:v>→</x:v>
      </x:c>
      <x:c r="J50" s="503"/>
      <x:c r="K50" s="517"/>
      <x:c r="L50" s="504"/>
    </x:row>
    <x:row r="51">
      <x:c r="A51" s="503"/>
      <x:c r="B51" s="504"/>
      <x:c r="C51" s="20"/>
      <x:c r="D51" s="503"/>
      <x:c r="E51" s="504"/>
      <x:c r="F51" s="20"/>
      <x:c r="G51" s="503"/>
      <x:c r="H51" s="504"/>
      <x:c r="I51" s="20"/>
      <x:c r="J51" s="503"/>
      <x:c r="K51" s="517"/>
      <x:c r="L51" s="504"/>
    </x:row>
    <x:row r="52">
      <x:c r="A52" s="505"/>
      <x:c r="B52" s="506"/>
      <x:c r="C52" s="20"/>
      <x:c r="D52" s="505"/>
      <x:c r="E52" s="506"/>
      <x:c r="F52" s="20"/>
      <x:c r="G52" s="505"/>
      <x:c r="H52" s="506"/>
      <x:c r="I52" s="20"/>
      <x:c r="J52" s="505"/>
      <x:c r="K52" s="518"/>
      <x:c r="L52" s="506"/>
    </x:row>
    <x:row r="53">
      <x:c r="A53" s="20"/>
      <x:c r="B53" s="20"/>
      <x:c r="C53" s="20"/>
      <x:c r="D53" s="20"/>
      <x:c r="E53" s="20"/>
      <x:c r="F53" s="20"/>
      <x:c r="G53" s="20"/>
      <x:c r="H53" s="20"/>
      <x:c r="I53" s="20"/>
      <x:c r="J53" s="20"/>
      <x:c r="K53" s="20"/>
      <x:c r="L53" s="20"/>
    </x:row>
    <x:row r="54">
      <x:c r="A54" s="547" t="str">
        <x:v>PARTE TP-03 · estados persistidos propuestos
planificado/asignado → en_curso → cierre_pendiente → cerrado_operativamente
«certificable» NO pertenece al estado del Parte; será decisión del dominio Certificación.</x:v>
      </x:c>
      <x:c r="B54" s="548"/>
      <x:c r="C54" s="548"/>
      <x:c r="D54" s="548"/>
      <x:c r="E54" s="548"/>
      <x:c r="F54" s="549"/>
      <x:c r="G54" s="584" t="str">
        <x:v>UNIDAD EJECUCIÓN · estados propuestos
pendiente → en_curso → completada
↘ no_realizada
PermisoTrabajo mantiene su propia máquina de estados.</x:v>
      </x:c>
      <x:c r="H54" s="585"/>
      <x:c r="I54" s="585"/>
      <x:c r="J54" s="585"/>
      <x:c r="K54" s="585"/>
      <x:c r="L54" s="586"/>
    </x:row>
    <x:row r="55">
      <x:c r="A55" s="550"/>
      <x:c r="B55" s="551"/>
      <x:c r="C55" s="551"/>
      <x:c r="D55" s="551"/>
      <x:c r="E55" s="551"/>
      <x:c r="F55" s="552"/>
      <x:c r="G55" s="587"/>
      <x:c r="H55" s="588"/>
      <x:c r="I55" s="588"/>
      <x:c r="J55" s="588"/>
      <x:c r="K55" s="588"/>
      <x:c r="L55" s="589"/>
    </x:row>
    <x:row r="56">
      <x:c r="A56" s="550"/>
      <x:c r="B56" s="551"/>
      <x:c r="C56" s="551"/>
      <x:c r="D56" s="551"/>
      <x:c r="E56" s="551"/>
      <x:c r="F56" s="552"/>
      <x:c r="G56" s="587"/>
      <x:c r="H56" s="588"/>
      <x:c r="I56" s="588"/>
      <x:c r="J56" s="588"/>
      <x:c r="K56" s="588"/>
      <x:c r="L56" s="589"/>
    </x:row>
    <x:row r="57">
      <x:c r="A57" s="553"/>
      <x:c r="B57" s="554"/>
      <x:c r="C57" s="554"/>
      <x:c r="D57" s="554"/>
      <x:c r="E57" s="554"/>
      <x:c r="F57" s="555"/>
      <x:c r="G57" s="590"/>
      <x:c r="H57" s="591"/>
      <x:c r="I57" s="591"/>
      <x:c r="J57" s="591"/>
      <x:c r="K57" s="591"/>
      <x:c r="L57" s="592"/>
    </x:row>
    <x:row r="58">
      <x:c r="A58" s="20"/>
      <x:c r="B58" s="20"/>
      <x:c r="C58" s="20"/>
      <x:c r="D58" s="20"/>
      <x:c r="E58" s="20"/>
      <x:c r="F58" s="20"/>
      <x:c r="G58" s="20"/>
      <x:c r="H58" s="20"/>
      <x:c r="I58" s="20"/>
      <x:c r="J58" s="20"/>
      <x:c r="K58" s="20"/>
      <x:c r="L58" s="20"/>
    </x:row>
    <x:row r="59" ht="22" customHeight="1">
      <x:c r="A59" s="677" t="str">
        <x:v>06 — CONTRATO / IMPUTACIÓN · QUÉ SE CAPTURA SIN CONVERTIR TP-03 EN FACTURACIÓN</x:v>
      </x:c>
      <x:c r="B59" s="677"/>
      <x:c r="C59" s="677"/>
      <x:c r="D59" s="677"/>
      <x:c r="E59" s="677"/>
      <x:c r="F59" s="677"/>
      <x:c r="G59" s="677"/>
      <x:c r="H59" s="677"/>
      <x:c r="I59" s="677"/>
      <x:c r="J59" s="677"/>
      <x:c r="K59" s="677"/>
      <x:c r="L59" s="677"/>
    </x:row>
    <x:row r="60">
      <x:c r="A60" s="596" t="str">
        <x:v>UnidadEjecución</x:v>
      </x:c>
      <x:c r="B60" s="596" t="str">
        <x:v>→</x:v>
      </x:c>
      <x:c r="C60" s="596" t="str">
        <x:v>ImputacionEjecucion</x:v>
      </x:c>
      <x:c r="D60" s="596" t="str">
        <x:v>→</x:v>
      </x:c>
      <x:c r="E60" s="596" t="str">
        <x:v>ItemContrato</x:v>
      </x:c>
      <x:c r="F60" s="596" t="str">
        <x:v>→</x:v>
      </x:c>
      <x:c r="G60" s="596" t="str">
        <x:v>TipoContrato</x:v>
      </x:c>
      <x:c r="H60" s="596" t="str">
        <x:v>→</x:v>
      </x:c>
      <x:c r="I60" s="596" t="str">
        <x:v>ReglaMedicion</x:v>
      </x:c>
      <x:c r="J60" s="596" t="str">
        <x:v>→</x:v>
      </x:c>
      <x:c r="K60" s="596" t="str">
        <x:v>Medición/Evidencia</x:v>
      </x:c>
      <x:c r="L60" s="20"/>
    </x:row>
    <x:row r="61">
      <x:c r="A61" s="20"/>
      <x:c r="B61" s="20"/>
      <x:c r="C61" s="20"/>
      <x:c r="D61" s="20"/>
      <x:c r="E61" s="20"/>
      <x:c r="F61" s="20"/>
      <x:c r="G61" s="20"/>
      <x:c r="H61" s="20"/>
      <x:c r="I61" s="20"/>
      <x:c r="J61" s="20"/>
      <x:c r="K61" s="20"/>
      <x:c r="L61" s="20"/>
    </x:row>
    <x:row r="62">
      <x:c r="A62" s="626" t="str">
        <x:v>REGLA
• Una diferencia de imputación NO divide el TP-03.
• Cada UnidadEjecución persiste su imputación/ítem resuelto.
• Si el CECO es global, varias unidades resuelven al mismo valor.
• El tipo de contrato define qué medición/evidencia capturar.</x:v>
      </x:c>
      <x:c r="B62" s="627"/>
      <x:c r="C62" s="627"/>
      <x:c r="D62" s="627"/>
      <x:c r="E62" s="627"/>
      <x:c r="F62" s="628"/>
      <x:c r="G62" s="664" t="str">
        <x:v>INTERPRETACIÓN INICIAL
Indemnizado → cantidad + unidad de medida por ítem.
Mensualizado → registro/evidencia de prestación.
On Call → intervención/tarea puntual.
Pendiente de cierre contractual detallado.</x:v>
      </x:c>
      <x:c r="H62" s="665"/>
      <x:c r="I62" s="665"/>
      <x:c r="J62" s="665"/>
      <x:c r="K62" s="665"/>
      <x:c r="L62" s="666"/>
    </x:row>
    <x:row r="63">
      <x:c r="A63" s="629"/>
      <x:c r="B63" s="630"/>
      <x:c r="C63" s="630"/>
      <x:c r="D63" s="630"/>
      <x:c r="E63" s="630"/>
      <x:c r="F63" s="631"/>
      <x:c r="G63" s="667"/>
      <x:c r="H63" s="668"/>
      <x:c r="I63" s="668"/>
      <x:c r="J63" s="668"/>
      <x:c r="K63" s="668"/>
      <x:c r="L63" s="669"/>
    </x:row>
    <x:row r="64">
      <x:c r="A64" s="629"/>
      <x:c r="B64" s="630"/>
      <x:c r="C64" s="630"/>
      <x:c r="D64" s="630"/>
      <x:c r="E64" s="630"/>
      <x:c r="F64" s="631"/>
      <x:c r="G64" s="667"/>
      <x:c r="H64" s="668"/>
      <x:c r="I64" s="668"/>
      <x:c r="J64" s="668"/>
      <x:c r="K64" s="668"/>
      <x:c r="L64" s="669"/>
    </x:row>
    <x:row r="65">
      <x:c r="A65" s="629"/>
      <x:c r="B65" s="630"/>
      <x:c r="C65" s="630"/>
      <x:c r="D65" s="630"/>
      <x:c r="E65" s="630"/>
      <x:c r="F65" s="631"/>
      <x:c r="G65" s="667"/>
      <x:c r="H65" s="668"/>
      <x:c r="I65" s="668"/>
      <x:c r="J65" s="668"/>
      <x:c r="K65" s="668"/>
      <x:c r="L65" s="669"/>
    </x:row>
    <x:row r="66">
      <x:c r="A66" s="632"/>
      <x:c r="B66" s="633"/>
      <x:c r="C66" s="633"/>
      <x:c r="D66" s="633"/>
      <x:c r="E66" s="633"/>
      <x:c r="F66" s="634"/>
      <x:c r="G66" s="670"/>
      <x:c r="H66" s="671"/>
      <x:c r="I66" s="671"/>
      <x:c r="J66" s="671"/>
      <x:c r="K66" s="671"/>
      <x:c r="L66" s="672"/>
    </x:row>
    <x:row r="67">
      <x:c r="A67" s="20"/>
      <x:c r="B67" s="20"/>
      <x:c r="C67" s="20"/>
      <x:c r="D67" s="20"/>
      <x:c r="E67" s="20"/>
      <x:c r="F67" s="20"/>
      <x:c r="G67" s="20"/>
      <x:c r="H67" s="20"/>
      <x:c r="I67" s="20"/>
      <x:c r="J67" s="20"/>
      <x:c r="K67" s="20"/>
      <x:c r="L67" s="20"/>
    </x:row>
    <x:row r="68" ht="22" customHeight="1">
      <x:c r="A68" s="677" t="str">
        <x:v>07 — EVIDENCIA + PERMISO · DOS COSAS DISTINTAS</x:v>
      </x:c>
      <x:c r="B68" s="677"/>
      <x:c r="C68" s="677"/>
      <x:c r="D68" s="677"/>
      <x:c r="E68" s="677"/>
      <x:c r="F68" s="677"/>
      <x:c r="G68" s="677"/>
      <x:c r="H68" s="677"/>
      <x:c r="I68" s="677"/>
      <x:c r="J68" s="677"/>
      <x:c r="K68" s="677"/>
      <x:c r="L68" s="677"/>
    </x:row>
    <x:row r="69">
      <x:c r="A69" s="501" t="str">
        <x:v>PERMISO DE TRABAJO
Gate PREVIO a una tarea cuando aplica.
Responde: «¿este trabajo puede ejecutarse ahora en condiciones seguras?»
Debe estar habilitado antes de iniciar la UnidadEjecución y cerrado al finalizar.</x:v>
      </x:c>
      <x:c r="B69" s="516"/>
      <x:c r="C69" s="516"/>
      <x:c r="D69" s="516"/>
      <x:c r="E69" s="516"/>
      <x:c r="F69" s="502"/>
      <x:c r="G69" s="584" t="str">
        <x:v>EVIDENCIA
Demuestra qué ocurrió o quién lo validó.
Puede vivir a nivel Parte (aprobación global) o UnidadEjecución (foto, medición, firma específica).
Su obligatoriedad depende de TipoParte + Servicio + Contrato.</x:v>
      </x:c>
      <x:c r="H69" s="585"/>
      <x:c r="I69" s="585"/>
      <x:c r="J69" s="585"/>
      <x:c r="K69" s="585"/>
      <x:c r="L69" s="586"/>
    </x:row>
    <x:row r="70">
      <x:c r="A70" s="503"/>
      <x:c r="B70" s="517"/>
      <x:c r="C70" s="517"/>
      <x:c r="D70" s="517"/>
      <x:c r="E70" s="517"/>
      <x:c r="F70" s="504"/>
      <x:c r="G70" s="587"/>
      <x:c r="H70" s="588"/>
      <x:c r="I70" s="588"/>
      <x:c r="J70" s="588"/>
      <x:c r="K70" s="588"/>
      <x:c r="L70" s="589"/>
    </x:row>
    <x:row r="71">
      <x:c r="A71" s="503"/>
      <x:c r="B71" s="517"/>
      <x:c r="C71" s="517"/>
      <x:c r="D71" s="517"/>
      <x:c r="E71" s="517"/>
      <x:c r="F71" s="504"/>
      <x:c r="G71" s="587"/>
      <x:c r="H71" s="588"/>
      <x:c r="I71" s="588"/>
      <x:c r="J71" s="588"/>
      <x:c r="K71" s="588"/>
      <x:c r="L71" s="589"/>
    </x:row>
    <x:row r="72">
      <x:c r="A72" s="503"/>
      <x:c r="B72" s="517"/>
      <x:c r="C72" s="517"/>
      <x:c r="D72" s="517"/>
      <x:c r="E72" s="517"/>
      <x:c r="F72" s="504"/>
      <x:c r="G72" s="587"/>
      <x:c r="H72" s="588"/>
      <x:c r="I72" s="588"/>
      <x:c r="J72" s="588"/>
      <x:c r="K72" s="588"/>
      <x:c r="L72" s="589"/>
    </x:row>
    <x:row r="73">
      <x:c r="A73" s="505"/>
      <x:c r="B73" s="518"/>
      <x:c r="C73" s="518"/>
      <x:c r="D73" s="518"/>
      <x:c r="E73" s="518"/>
      <x:c r="F73" s="506"/>
      <x:c r="G73" s="590"/>
      <x:c r="H73" s="591"/>
      <x:c r="I73" s="591"/>
      <x:c r="J73" s="591"/>
      <x:c r="K73" s="591"/>
      <x:c r="L73" s="592"/>
    </x:row>
    <x:row r="74">
      <x:c r="A74" s="20"/>
      <x:c r="B74" s="20"/>
      <x:c r="C74" s="20"/>
      <x:c r="D74" s="20"/>
      <x:c r="E74" s="20"/>
      <x:c r="F74" s="20"/>
      <x:c r="G74" s="20"/>
      <x:c r="H74" s="20"/>
      <x:c r="I74" s="20"/>
      <x:c r="J74" s="20"/>
      <x:c r="K74" s="20"/>
      <x:c r="L74" s="20"/>
    </x:row>
    <x:row r="75" ht="22" customHeight="1">
      <x:c r="A75" s="677" t="str">
        <x:v>08 — T5 / T7 → MODELO CANÓNICO · QUÉ SOBREVIVE Y DÓNDE VIVE</x:v>
      </x:c>
      <x:c r="B75" s="677"/>
      <x:c r="C75" s="677"/>
      <x:c r="D75" s="677"/>
      <x:c r="E75" s="677"/>
      <x:c r="F75" s="677"/>
      <x:c r="G75" s="677"/>
      <x:c r="H75" s="677"/>
      <x:c r="I75" s="677"/>
      <x:c r="J75" s="677"/>
      <x:c r="K75" s="677"/>
      <x:c r="L75" s="677"/>
    </x:row>
    <x:row r="76">
      <x:c r="A76" s="673" t="str">
        <x:v>Campo / grupo histórico</x:v>
      </x:c>
      <x:c r="B76" s="673" t="str">
        <x:v>Origen</x:v>
      </x:c>
      <x:c r="C76" s="673" t="str">
        <x:v>Destino canónico</x:v>
      </x:c>
      <x:c r="D76" s="673" t="str">
        <x:v>Decisión</x:v>
      </x:c>
      <x:c r="E76" s="20"/>
      <x:c r="F76" s="20"/>
      <x:c r="G76" s="20"/>
      <x:c r="H76" s="20"/>
      <x:c r="I76" s="20"/>
      <x:c r="J76" s="20"/>
      <x:c r="K76" s="20"/>
      <x:c r="L76" s="20"/>
    </x:row>
    <x:row r="77">
      <x:c r="A77" s="674" t="str">
        <x:v>nombre / legajo_interno</x:v>
      </x:c>
      <x:c r="B77" s="674" t="str">
        <x:v>T5</x:v>
      </x:c>
      <x:c r="C77" s="674" t="str">
        <x:v>Persona + AsignacionPersona</x:v>
      </x:c>
      <x:c r="D77" s="674" t="str">
        <x:v>No repetir identidad; heredar de maestro/planificación.</x:v>
      </x:c>
      <x:c r="E77" s="20"/>
      <x:c r="F77" s="20"/>
      <x:c r="G77" s="20"/>
      <x:c r="H77" s="20"/>
      <x:c r="I77" s="20"/>
      <x:c r="J77" s="20"/>
      <x:c r="K77" s="20"/>
      <x:c r="L77" s="20"/>
    </x:row>
    <x:row r="78">
      <x:c r="A78" s="674" t="str">
        <x:v>turno</x:v>
      </x:c>
      <x:c r="B78" s="674" t="str">
        <x:v>T5</x:v>
      </x:c>
      <x:c r="C78" s="674" t="str">
        <x:v>turno_operativo_id</x:v>
      </x:c>
      <x:c r="D78" s="674" t="str">
        <x:v>Nuevo concepto canónico; frontera del TP-03.</x:v>
      </x:c>
      <x:c r="E78" s="20"/>
      <x:c r="F78" s="20"/>
      <x:c r="G78" s="20"/>
      <x:c r="H78" s="20"/>
      <x:c r="I78" s="20"/>
      <x:c r="J78" s="20"/>
      <x:c r="K78" s="20"/>
      <x:c r="L78" s="20"/>
    </x:row>
    <x:row r="79">
      <x:c r="A79" s="674" t="str">
        <x:v>contenedores</x:v>
      </x:c>
      <x:c r="B79" s="674" t="str">
        <x:v>T5</x:v>
      </x:c>
      <x:c r="C79" s="674" t="str">
        <x:v>Medicion / dato específico Servicio-Contrato</x:v>
      </x:c>
      <x:c r="D79" s="674" t="str">
        <x:v>No pertenece a Persona/Flota solo por estar en esa tabla histórica.</x:v>
      </x:c>
      <x:c r="E79" s="20"/>
      <x:c r="F79" s="20"/>
      <x:c r="G79" s="20"/>
      <x:c r="H79" s="20"/>
      <x:c r="I79" s="20"/>
      <x:c r="J79" s="20"/>
      <x:c r="K79" s="20"/>
      <x:c r="L79" s="20"/>
    </x:row>
    <x:row r="80">
      <x:c r="A80" s="674" t="str">
        <x:v>cantera / zona</x:v>
      </x:c>
      <x:c r="B80" s="674" t="str">
        <x:v>T5</x:v>
      </x:c>
      <x:c r="C80" s="674" t="str">
        <x:v>UbicacionTecnica + rol de ubicación/contexto</x:v>
      </x:c>
      <x:c r="D80" s="674" t="str">
        <x:v>No crear columnas fijas por cada nombre geográfico.</x:v>
      </x:c>
      <x:c r="E80" s="20"/>
      <x:c r="F80" s="20"/>
      <x:c r="G80" s="20"/>
      <x:c r="H80" s="20"/>
      <x:c r="I80" s="20"/>
      <x:c r="J80" s="20"/>
      <x:c r="K80" s="20"/>
      <x:c r="L80" s="20"/>
    </x:row>
    <x:row r="81">
      <x:c r="A81" s="674" t="str">
        <x:v>rol_firma / nombre_aclaracion / cargo</x:v>
      </x:c>
      <x:c r="B81" s="674" t="str">
        <x:v>T5</x:v>
      </x:c>
      <x:c r="C81" s="674" t="str">
        <x:v>Evidencia + Actor + Rol</x:v>
      </x:c>
      <x:c r="D81" s="674" t="str">
        <x:v>Firma pasa a entidad/evento.</x:v>
      </x:c>
      <x:c r="E81" s="20"/>
      <x:c r="F81" s="20"/>
      <x:c r="G81" s="20"/>
      <x:c r="H81" s="20"/>
      <x:c r="I81" s="20"/>
      <x:c r="J81" s="20"/>
      <x:c r="K81" s="20"/>
      <x:c r="L81" s="20"/>
    </x:row>
    <x:row r="82">
      <x:c r="A82" s="674" t="str">
        <x:v>autorizante_contratista / secundario / fecha_firma</x:v>
      </x:c>
      <x:c r="B82" s="674" t="str">
        <x:v>T7</x:v>
      </x:c>
      <x:c r="C82" s="674" t="str">
        <x:v>Evidencia/validación + Actor</x:v>
      </x:c>
      <x:c r="D82" s="674" t="str">
        <x:v>No asumir que es PermisoTrabajo hasta validar semántica.</x:v>
      </x:c>
      <x:c r="E82" s="20"/>
      <x:c r="F82" s="20"/>
      <x:c r="G82" s="20"/>
      <x:c r="H82" s="20"/>
      <x:c r="I82" s="20"/>
      <x:c r="J82" s="20"/>
      <x:c r="K82" s="20"/>
      <x:c r="L82" s="20"/>
    </x:row>
    <x:row r="83">
      <x:c r="A83" s="674" t="str">
        <x:v>activo</x:v>
      </x:c>
      <x:c r="B83" s="674" t="str">
        <x:v>T7</x:v>
      </x:c>
      <x:c r="C83" s="674" t="str">
        <x:v>ActivoCliente</x:v>
      </x:c>
      <x:c r="D83" s="674" t="str">
        <x:v>Separado de recurso VDS.</x:v>
      </x:c>
      <x:c r="E83" s="20"/>
      <x:c r="F83" s="20"/>
      <x:c r="G83" s="20"/>
      <x:c r="H83" s="20"/>
      <x:c r="I83" s="20"/>
      <x:c r="J83" s="20"/>
      <x:c r="K83" s="20"/>
      <x:c r="L83" s="20"/>
    </x:row>
    <x:row r="84">
      <x:c r="A84" s="674" t="str">
        <x:v>pozo / batería / planta / satélite</x:v>
      </x:c>
      <x:c r="B84" s="674" t="str">
        <x:v>T7</x:v>
      </x:c>
      <x:c r="C84" s="674" t="str">
        <x:v>UbicacionTecnica</x:v>
      </x:c>
      <x:c r="D84" s="674" t="str">
        <x:v>Un solo árbol/tipo de ubicación, no cuatro columnas.</x:v>
      </x:c>
      <x:c r="E84" s="20"/>
      <x:c r="F84" s="20"/>
      <x:c r="G84" s="20"/>
      <x:c r="H84" s="20"/>
      <x:c r="I84" s="20"/>
      <x:c r="J84" s="20"/>
      <x:c r="K84" s="20"/>
      <x:c r="L84" s="20"/>
    </x:row>
    <x:row r="85">
      <x:c r="A85" s="674" t="str">
        <x:v>interno_equipo</x:v>
      </x:c>
      <x:c r="B85" s="674" t="str">
        <x:v>T7</x:v>
      </x:c>
      <x:c r="C85" s="674" t="str">
        <x:v>Recurso.codigo_interno + AsignacionRecurso</x:v>
      </x:c>
      <x:c r="D85" s="674" t="str">
        <x:v>Recurso maestro; cambio se traza.</x:v>
      </x:c>
      <x:c r="E85" s="20"/>
      <x:c r="F85" s="20"/>
      <x:c r="G85" s="20"/>
      <x:c r="H85" s="20"/>
      <x:c r="I85" s="20"/>
      <x:c r="J85" s="20"/>
      <x:c r="K85" s="20"/>
      <x:c r="L85" s="20"/>
    </x:row>
    <x:row r="86">
      <x:c r="A86" s="674" t="str">
        <x:v>encargado_cuadrilla</x:v>
      </x:c>
      <x:c r="B86" s="674" t="str">
        <x:v>T7</x:v>
      </x:c>
      <x:c r="C86" s="674" t="str">
        <x:v>Persona rol encargado + Cuadrilla</x:v>
      </x:c>
      <x:c r="D86" s="674" t="str">
        <x:v>Relación, no texto libre.</x:v>
      </x:c>
      <x:c r="E86" s="20"/>
      <x:c r="F86" s="20"/>
      <x:c r="G86" s="20"/>
      <x:c r="H86" s="20"/>
      <x:c r="I86" s="20"/>
      <x:c r="J86" s="20"/>
      <x:c r="K86" s="20"/>
      <x:c r="L86" s="20"/>
    </x:row>
    <x:row r="87">
      <x:c r="A87" s="674" t="str">
        <x:v>imputacion_ceco</x:v>
      </x:c>
      <x:c r="B87" s="674" t="str">
        <x:v>T7</x:v>
      </x:c>
      <x:c r="C87" s="674" t="str">
        <x:v>ImputacionEjecucion</x:v>
      </x:c>
      <x:c r="D87" s="674" t="str">
        <x:v>Granularidad UnidadEjecución.</x:v>
      </x:c>
      <x:c r="E87" s="20"/>
      <x:c r="F87" s="20"/>
      <x:c r="G87" s="20"/>
      <x:c r="H87" s="20"/>
      <x:c r="I87" s="20"/>
      <x:c r="J87" s="20"/>
      <x:c r="K87" s="20"/>
      <x:c r="L87" s="20"/>
    </x:row>
    <x:row r="88">
      <x:c r="A88" s="674" t="str">
        <x:v>tiempo_viaje</x:v>
      </x:c>
      <x:c r="B88" s="674" t="str">
        <x:v>T7</x:v>
      </x:c>
      <x:c r="C88" s="674" t="str">
        <x:v>EventoTiempo = Traslado</x:v>
      </x:c>
      <x:c r="D88" s="674" t="str">
        <x:v>No columna fija.</x:v>
      </x:c>
      <x:c r="E88" s="20"/>
      <x:c r="F88" s="20"/>
      <x:c r="G88" s="20"/>
      <x:c r="H88" s="20"/>
      <x:c r="I88" s="20"/>
      <x:c r="J88" s="20"/>
      <x:c r="K88" s="20"/>
      <x:c r="L88" s="20"/>
    </x:row>
    <x:row r="89">
      <x:c r="A89" s="674" t="str">
        <x:v>tiempo_reparacion</x:v>
      </x:c>
      <x:c r="B89" s="674" t="str">
        <x:v>T7</x:v>
      </x:c>
      <x:c r="C89" s="674" t="str">
        <x:v>EventoTiempo / EventoOperativo asociado a recurso</x:v>
      </x:c>
      <x:c r="D89" s="674" t="str">
        <x:v>Definir si subcategoría Stand-by.</x:v>
      </x:c>
      <x:c r="E89" s="20"/>
      <x:c r="F89" s="20"/>
      <x:c r="G89" s="20"/>
      <x:c r="H89" s="20"/>
      <x:c r="I89" s="20"/>
      <x:c r="J89" s="20"/>
      <x:c r="K89" s="20"/>
      <x:c r="L89" s="20"/>
    </x:row>
    <x:row r="90">
      <x:c r="A90" s="674" t="str">
        <x:v>tiempos_varios</x:v>
      </x:c>
      <x:c r="B90" s="674" t="str">
        <x:v>T7</x:v>
      </x:c>
      <x:c r="C90" s="674" t="str">
        <x:v>EventoTiempo categorizado</x:v>
      </x:c>
      <x:c r="D90" s="674" t="str">
        <x:v>Desarmar texto/decimal ambiguo en tipos controlados.</x:v>
      </x:c>
      <x:c r="E90" s="20"/>
      <x:c r="F90" s="20"/>
      <x:c r="G90" s="20"/>
      <x:c r="H90" s="20"/>
      <x:c r="I90" s="20"/>
      <x:c r="J90" s="20"/>
      <x:c r="K90" s="20"/>
      <x:c r="L90" s="20"/>
    </x:row>
    <x:row r="91">
      <x:c r="A91" s="20"/>
      <x:c r="B91" s="20"/>
      <x:c r="C91" s="20"/>
      <x:c r="D91" s="20"/>
      <x:c r="E91" s="20"/>
      <x:c r="F91" s="20"/>
      <x:c r="G91" s="20"/>
      <x:c r="H91" s="20"/>
      <x:c r="I91" s="20"/>
      <x:c r="J91" s="20"/>
      <x:c r="K91" s="20"/>
      <x:c r="L91" s="20"/>
    </x:row>
    <x:row r="92">
      <x:c r="A92" s="20"/>
      <x:c r="B92" s="20"/>
      <x:c r="C92" s="20"/>
      <x:c r="D92" s="20"/>
      <x:c r="E92" s="20"/>
      <x:c r="F92" s="20"/>
      <x:c r="G92" s="20"/>
      <x:c r="H92" s="20"/>
      <x:c r="I92" s="20"/>
      <x:c r="J92" s="20"/>
      <x:c r="K92" s="20"/>
      <x:c r="L92" s="20"/>
    </x:row>
    <x:row r="93" ht="22" customHeight="1">
      <x:c r="A93" s="677" t="str">
        <x:v>09 — VALIDACIONES ABIERTAS · SOLO LAS QUE PUEDEN CAMBIAR EL MODELO</x:v>
      </x:c>
      <x:c r="B93" s="677"/>
      <x:c r="C93" s="677"/>
      <x:c r="D93" s="677"/>
      <x:c r="E93" s="677"/>
      <x:c r="F93" s="677"/>
      <x:c r="G93" s="677"/>
      <x:c r="H93" s="677"/>
      <x:c r="I93" s="677"/>
      <x:c r="J93" s="677"/>
      <x:c r="K93" s="677"/>
      <x:c r="L93" s="677"/>
    </x:row>
    <x:row r="94">
      <x:c r="A94" s="673" t="str">
        <x:v>ID</x:v>
      </x:c>
      <x:c r="B94" s="673" t="str">
        <x:v>Tema</x:v>
      </x:c>
      <x:c r="C94" s="673" t="str">
        <x:v>Pregunta</x:v>
      </x:c>
      <x:c r="D94" s="673" t="str">
        <x:v>Prioridad</x:v>
      </x:c>
      <x:c r="E94" s="673" t="str">
        <x:v>Impacto</x:v>
      </x:c>
      <x:c r="F94" s="20"/>
      <x:c r="G94" s="20"/>
      <x:c r="H94" s="20"/>
      <x:c r="I94" s="20"/>
      <x:c r="J94" s="20"/>
      <x:c r="K94" s="20"/>
      <x:c r="L94" s="20"/>
    </x:row>
    <x:row r="95">
      <x:c r="A95" s="674" t="str">
        <x:v>V-TP03-01</x:v>
      </x:c>
      <x:c r="B95" s="674" t="str">
        <x:v>Turnos</x:v>
      </x:c>
      <x:c r="C95" s="674" t="str">
        <x:v>¿Cuáles son los turnos reales, sus horarios y cómo se trata una extensión/solapamiento?</x:v>
      </x:c>
      <x:c r="D95" s="674" t="str">
        <x:v>Alta</x:v>
      </x:c>
      <x:c r="E95" s="674" t="str">
        <x:v>Cierra la regla de identidad y corte.</x:v>
      </x:c>
      <x:c r="F95" s="20"/>
      <x:c r="G95" s="20"/>
      <x:c r="H95" s="20"/>
      <x:c r="I95" s="20"/>
      <x:c r="J95" s="20"/>
      <x:c r="K95" s="20"/>
      <x:c r="L95" s="20"/>
    </x:row>
    <x:row r="96">
      <x:c r="A96" s="674" t="str">
        <x:v>V-TP03-02</x:v>
      </x:c>
      <x:c r="B96" s="674" t="str">
        <x:v>Servicio</x:v>
      </x:c>
      <x:c r="C96" s="674" t="str">
        <x:v>¿Qué servicios pueden convivir dentro de TP-03 y cuáles exigen siempre un Parte específico/certificación puntual?</x:v>
      </x:c>
      <x:c r="D96" s="674" t="str">
        <x:v>Alta</x:v>
      </x:c>
      <x:c r="E96" s="674" t="str">
        <x:v>Define el motor de enrutamiento.</x:v>
      </x:c>
      <x:c r="F96" s="20"/>
      <x:c r="G96" s="20"/>
      <x:c r="H96" s="20"/>
      <x:c r="I96" s="20"/>
      <x:c r="J96" s="20"/>
      <x:c r="K96" s="20"/>
      <x:c r="L96" s="20"/>
    </x:row>
    <x:row r="97">
      <x:c r="A97" s="674" t="str">
        <x:v>V-TP03-03</x:v>
      </x:c>
      <x:c r="B97" s="674" t="str">
        <x:v>Recurso adicional</x:v>
      </x:c>
      <x:c r="C97" s="674" t="str">
        <x:v>¿Qué significa exactamente «incorporar equipo adicional genera otro Parte»? ¿Siempre o solo si tiene ejecución/medición propia?</x:v>
      </x:c>
      <x:c r="D97" s="674" t="str">
        <x:v>Alta</x:v>
      </x:c>
      <x:c r="E97" s="674" t="str">
        <x:v>Evita sobre-dividir Partes.</x:v>
      </x:c>
      <x:c r="F97" s="20"/>
      <x:c r="G97" s="20"/>
      <x:c r="H97" s="20"/>
      <x:c r="I97" s="20"/>
      <x:c r="J97" s="20"/>
      <x:c r="K97" s="20"/>
      <x:c r="L97" s="20"/>
    </x:row>
    <x:row r="98">
      <x:c r="A98" s="674" t="str">
        <x:v>V-TP03-04</x:v>
      </x:c>
      <x:c r="B98" s="674" t="str">
        <x:v>Firmas T5/T7</x:v>
      </x:c>
      <x:c r="C98" s="674" t="str">
        <x:v>¿Qué firmas/autorizantes validan el Parte completo y cuáles una UnidadEjecución?</x:v>
      </x:c>
      <x:c r="D98" s="674" t="str">
        <x:v>Alta</x:v>
      </x:c>
      <x:c r="E98" s="674" t="str">
        <x:v>Define alcance de Evidencia.</x:v>
      </x:c>
      <x:c r="F98" s="20"/>
      <x:c r="G98" s="20"/>
      <x:c r="H98" s="20"/>
      <x:c r="I98" s="20"/>
      <x:c r="J98" s="20"/>
      <x:c r="K98" s="20"/>
      <x:c r="L98" s="20"/>
    </x:row>
    <x:row r="99">
      <x:c r="A99" s="674" t="str">
        <x:v>V-TP03-05</x:v>
      </x:c>
      <x:c r="B99" s="674" t="str">
        <x:v>Reparación</x:v>
      </x:c>
      <x:c r="C99" s="674" t="str">
        <x:v>¿Tiempo de reparación es categoría propia o motivo de stand-by?</x:v>
      </x:c>
      <x:c r="D99" s="674" t="str">
        <x:v>Media</x:v>
      </x:c>
      <x:c r="E99" s="674" t="str">
        <x:v>Define catálogo de tiempos.</x:v>
      </x:c>
      <x:c r="F99" s="20"/>
      <x:c r="G99" s="20"/>
      <x:c r="H99" s="20"/>
      <x:c r="I99" s="20"/>
      <x:c r="J99" s="20"/>
      <x:c r="K99" s="20"/>
      <x:c r="L99" s="20"/>
    </x:row>
    <x:row r="100">
      <x:c r="A100" s="674" t="str">
        <x:v>V-TP03-06</x:v>
      </x:c>
      <x:c r="B100" s="674" t="str">
        <x:v>Pausas</x:v>
      </x:c>
      <x:c r="C100" s="674" t="str">
        <x:v>¿Almuerzo/refrigerio necesita medición diferenciada o basta subcategoría de pausa?</x:v>
      </x:c>
      <x:c r="D100" s="674" t="str">
        <x:v>Baja</x:v>
      </x:c>
      <x:c r="E100" s="674" t="str">
        <x:v>No bloquea el modelo.</x:v>
      </x:c>
      <x:c r="F100" s="20"/>
      <x:c r="G100" s="20"/>
      <x:c r="H100" s="20"/>
      <x:c r="I100" s="20"/>
      <x:c r="J100" s="20"/>
      <x:c r="K100" s="20"/>
      <x:c r="L100" s="20"/>
    </x:row>
    <x:row r="101">
      <x:c r="A101" s="674" t="str">
        <x:v>V-TP03-07</x:v>
      </x:c>
      <x:c r="B101" s="674" t="str">
        <x:v>Cuadrilla</x:v>
      </x:c>
      <x:c r="C101" s="674" t="str">
        <x:v>¿La cuadrilla es entidad estable o composición temporal generada por Planificación?</x:v>
      </x:c>
      <x:c r="D101" s="674" t="str">
        <x:v>Media</x:v>
      </x:c>
      <x:c r="E101" s="674" t="str">
        <x:v>Afecta catálogo/relación.</x:v>
      </x:c>
      <x:c r="F101" s="20"/>
      <x:c r="G101" s="20"/>
      <x:c r="H101" s="20"/>
      <x:c r="I101" s="20"/>
      <x:c r="J101" s="20"/>
      <x:c r="K101" s="20"/>
      <x:c r="L101" s="20"/>
    </x:row>
  </x:sheetData>
  <x:mergeCells>
    <x:mergeCell ref="A1:L1"/>
    <x:mergeCell ref="A2:L2"/>
    <x:mergeCell ref="A4:L4"/>
    <x:mergeCell ref="A5:B7"/>
    <x:mergeCell ref="D5:E7"/>
    <x:mergeCell ref="G5:H7"/>
    <x:mergeCell ref="J5:L7"/>
    <x:mergeCell ref="A9:F12"/>
    <x:mergeCell ref="G9:L12"/>
    <x:mergeCell ref="A14:L14"/>
    <x:mergeCell ref="A22:L22"/>
    <x:mergeCell ref="A39:L39"/>
    <x:mergeCell ref="A48:L48"/>
    <x:mergeCell ref="A49:B52"/>
    <x:mergeCell ref="D49:E52"/>
    <x:mergeCell ref="G49:H52"/>
    <x:mergeCell ref="J49:L52"/>
    <x:mergeCell ref="A54:F57"/>
    <x:mergeCell ref="G54:L57"/>
    <x:mergeCell ref="A59:L59"/>
    <x:mergeCell ref="A62:F66"/>
    <x:mergeCell ref="G62:L66"/>
    <x:mergeCell ref="A68:L68"/>
    <x:mergeCell ref="A69:F73"/>
    <x:mergeCell ref="G69:L73"/>
    <x:mergeCell ref="A75:L75"/>
    <x:mergeCell ref="A93:L93"/>
  </x:mergeCells>
  <x:pageMargins left="0.7" right="0.7" top="0.75" bottom="0.75" header="0.3" footer="0.3"/>
</x:worksheet>
</file>

<file path=xl/worksheets/sheet15.xml><?xml version="1.0" encoding="utf-8"?>
<x:worksheet xmlns:x="http://schemas.openxmlformats.org/spreadsheetml/2006/main">
  <x:sheetFormatPr defaultRowHeight="15"/>
  <x:cols>
    <x:col min="1" max="1" width="14" hidden="0" customWidth="1"/>
    <x:col min="2" max="2" width="24" hidden="0" customWidth="1"/>
    <x:col min="3" max="3" width="28" hidden="0" customWidth="1"/>
    <x:col min="4" max="4" width="24" hidden="0" customWidth="1"/>
    <x:col min="5" max="5" width="26" hidden="0" customWidth="1"/>
    <x:col min="6" max="6" width="24" hidden="0" customWidth="1"/>
    <x:col min="7" max="7" width="4" hidden="0" customWidth="1"/>
    <x:col min="8" max="8" width="16" hidden="0" customWidth="1"/>
    <x:col min="9" max="9" width="24" hidden="0" customWidth="1"/>
    <x:col min="10" max="10" width="28" hidden="0" customWidth="1"/>
    <x:col min="11" max="11" width="25" hidden="0" customWidth="1"/>
    <x:col min="12" max="12" width="28" hidden="0" customWidth="1"/>
  </x:cols>
  <x:sheetData>
    <x:row r="1" ht="28" customHeight="1">
      <x:c r="A1" s="786" t="str">
        <x:v>TP-02 · TRANSPORTE DE CARGAS — CIERRE LÓGICO v0.1</x:v>
      </x:c>
      <x:c r="B1" s="786"/>
      <x:c r="C1" s="786"/>
      <x:c r="D1" s="786"/>
      <x:c r="E1" s="786"/>
      <x:c r="F1" s="786"/>
      <x:c r="G1" s="786"/>
      <x:c r="H1" s="786"/>
      <x:c r="I1" s="786"/>
      <x:c r="J1" s="786"/>
      <x:c r="K1" s="786"/>
      <x:c r="L1" s="786"/>
    </x:row>
    <x:row r="2" ht="32" customHeight="1">
      <x:c r="A2" s="775" t="str">
        <x:v>Base: T3 Cargas Sólidas + T4 Cargas Líquidas + formularios reales PECOM + homologación + respuestas operativas. ✓ evidencia inicial fuerte · H hipótesis · ? validación pendiente. No se asume que 1 viaje = 1 Parte.</x:v>
      </x:c>
      <x:c r="B2" s="775"/>
      <x:c r="C2" s="775"/>
      <x:c r="D2" s="775"/>
      <x:c r="E2" s="775"/>
      <x:c r="F2" s="775"/>
      <x:c r="G2" s="775"/>
      <x:c r="H2" s="775"/>
      <x:c r="I2" s="775"/>
      <x:c r="J2" s="775"/>
      <x:c r="K2" s="775"/>
      <x:c r="L2" s="775"/>
    </x:row>
    <x:row r="3">
      <x:c r="A3" s="776"/>
      <x:c r="B3" s="776"/>
      <x:c r="C3" s="776"/>
      <x:c r="D3" s="776"/>
      <x:c r="E3" s="776"/>
      <x:c r="F3" s="776"/>
      <x:c r="G3" s="776"/>
      <x:c r="H3" s="776"/>
      <x:c r="I3" s="776"/>
      <x:c r="J3" s="776"/>
      <x:c r="K3" s="776"/>
      <x:c r="L3" s="776"/>
    </x:row>
    <x:row r="4" ht="22" customHeight="1">
      <x:c r="A4" s="788" t="str">
        <x:v>01 — IDENTIDAD + ENRUTAMIENTO · EL TRABAJADOR NO ELIGE TP-02</x:v>
      </x:c>
      <x:c r="B4" s="788"/>
      <x:c r="C4" s="788"/>
      <x:c r="D4" s="788"/>
      <x:c r="E4" s="788"/>
      <x:c r="F4" s="788"/>
      <x:c r="G4" s="788"/>
      <x:c r="H4" s="788"/>
      <x:c r="I4" s="788"/>
      <x:c r="J4" s="788"/>
      <x:c r="K4" s="788"/>
      <x:c r="L4" s="788"/>
    </x:row>
    <x:row r="5">
      <x:c r="A5" s="777" t="str">
        <x:v>PERFIL
CHOFER / OPERADOR
Perfil habilitado
para transporte</x:v>
      </x:c>
      <x:c r="B5" s="777"/>
      <x:c r="C5" s="776"/>
      <x:c r="D5" s="777" t="str">
        <x:v>ASIGNACIÓN
+ CONTEXTO
cliente · servicio · tarea
recursos planificados</x:v>
      </x:c>
      <x:c r="E5" s="777"/>
      <x:c r="F5" s="776"/>
      <x:c r="G5" s="778" t="str">
        <x:v>ƒ MOTOR DE
ENRUTAMIENTO
perfil + asignación + contexto
+ configuración transporte</x:v>
      </x:c>
      <x:c r="H5" s="778"/>
      <x:c r="I5" s="776"/>
      <x:c r="J5" s="777" t="str">
        <x:v>TP-02
RESUELTO
rama sólida / líquida
sin selector manual</x:v>
      </x:c>
      <x:c r="K5" s="777"/>
      <x:c r="L5" s="777"/>
    </x:row>
    <x:row r="6">
      <x:c r="A6" s="777"/>
      <x:c r="B6" s="777"/>
      <x:c r="C6" s="779" t="str">
        <x:v>→</x:v>
      </x:c>
      <x:c r="D6" s="777"/>
      <x:c r="E6" s="777"/>
      <x:c r="F6" s="779" t="str">
        <x:v>→</x:v>
      </x:c>
      <x:c r="G6" s="778"/>
      <x:c r="H6" s="778"/>
      <x:c r="I6" s="779" t="str">
        <x:v>→</x:v>
      </x:c>
      <x:c r="J6" s="777"/>
      <x:c r="K6" s="777"/>
      <x:c r="L6" s="777"/>
    </x:row>
    <x:row r="7">
      <x:c r="A7" s="777"/>
      <x:c r="B7" s="777"/>
      <x:c r="C7" s="776"/>
      <x:c r="D7" s="777"/>
      <x:c r="E7" s="777"/>
      <x:c r="F7" s="776"/>
      <x:c r="G7" s="778"/>
      <x:c r="H7" s="778"/>
      <x:c r="I7" s="776"/>
      <x:c r="J7" s="777"/>
      <x:c r="K7" s="777"/>
      <x:c r="L7" s="777"/>
    </x:row>
    <x:row r="8">
      <x:c r="A8" s="777"/>
      <x:c r="B8" s="777"/>
      <x:c r="C8" s="776"/>
      <x:c r="D8" s="777"/>
      <x:c r="E8" s="777"/>
      <x:c r="F8" s="776"/>
      <x:c r="G8" s="778"/>
      <x:c r="H8" s="778"/>
      <x:c r="I8" s="776"/>
      <x:c r="J8" s="777"/>
      <x:c r="K8" s="777"/>
      <x:c r="L8" s="777"/>
    </x:row>
    <x:row r="9">
      <x:c r="A9" s="776"/>
      <x:c r="B9" s="776"/>
      <x:c r="C9" s="776"/>
      <x:c r="D9" s="776"/>
      <x:c r="E9" s="776"/>
      <x:c r="F9" s="776"/>
      <x:c r="G9" s="776"/>
      <x:c r="H9" s="776"/>
      <x:c r="I9" s="776"/>
      <x:c r="J9" s="776"/>
      <x:c r="K9" s="776"/>
      <x:c r="L9" s="776"/>
    </x:row>
    <x:row r="10">
      <x:c r="A10" s="780" t="str">
        <x:v>IDENTIDAD OPERATIVA (hipótesis fuerte)
TP-02 = bitácora de una asignación/configuración de transporte homogénea para un cliente/contexto. Contiene N movimientos; el viaje individual NO crea Parte por defecto.</x:v>
      </x:c>
      <x:c r="B10" s="780"/>
      <x:c r="C10" s="780"/>
      <x:c r="D10" s="780"/>
      <x:c r="E10" s="780"/>
      <x:c r="F10" s="780"/>
      <x:c r="G10" s="776"/>
      <x:c r="H10" s="780" t="str">
        <x:v>INICIO / CIERRE
Inicio: ruta resuelta + configuración de transporte asignada + Gate documental aprobado.
Cierre: todos los movimientos resueltos + mediciones/evidencia obligatoria + permisos aplicables cerrados.</x:v>
      </x:c>
      <x:c r="I10" s="780"/>
      <x:c r="J10" s="780"/>
      <x:c r="K10" s="780"/>
      <x:c r="L10" s="780"/>
    </x:row>
    <x:row r="11">
      <x:c r="A11" s="780"/>
      <x:c r="B11" s="780"/>
      <x:c r="C11" s="780"/>
      <x:c r="D11" s="780"/>
      <x:c r="E11" s="780"/>
      <x:c r="F11" s="780"/>
      <x:c r="G11" s="776"/>
      <x:c r="H11" s="780"/>
      <x:c r="I11" s="780"/>
      <x:c r="J11" s="780"/>
      <x:c r="K11" s="780"/>
      <x:c r="L11" s="780"/>
    </x:row>
    <x:row r="12">
      <x:c r="A12" s="780"/>
      <x:c r="B12" s="780"/>
      <x:c r="C12" s="780"/>
      <x:c r="D12" s="780"/>
      <x:c r="E12" s="780"/>
      <x:c r="F12" s="780"/>
      <x:c r="G12" s="776"/>
      <x:c r="H12" s="780"/>
      <x:c r="I12" s="780"/>
      <x:c r="J12" s="780"/>
      <x:c r="K12" s="780"/>
      <x:c r="L12" s="780"/>
    </x:row>
    <x:row r="13">
      <x:c r="A13" s="776"/>
      <x:c r="B13" s="776"/>
      <x:c r="C13" s="776"/>
      <x:c r="D13" s="776"/>
      <x:c r="E13" s="776"/>
      <x:c r="F13" s="776"/>
      <x:c r="G13" s="776"/>
      <x:c r="H13" s="776"/>
      <x:c r="I13" s="776"/>
      <x:c r="J13" s="776"/>
      <x:c r="K13" s="776"/>
      <x:c r="L13" s="776"/>
    </x:row>
    <x:row r="14" ht="22" customHeight="1">
      <x:c r="A14" s="788" t="str">
        <x:v>02 — CONTENEDOR TP-02 · PARTE + N MOVIMIENTOS</x:v>
      </x:c>
      <x:c r="B14" s="788"/>
      <x:c r="C14" s="788"/>
      <x:c r="D14" s="788"/>
      <x:c r="E14" s="788"/>
      <x:c r="F14" s="788"/>
      <x:c r="G14" s="788"/>
      <x:c r="H14" s="788"/>
      <x:c r="I14" s="788"/>
      <x:c r="J14" s="788"/>
      <x:c r="K14" s="788"/>
      <x:c r="L14" s="788"/>
    </x:row>
    <x:row r="15" ht="42" customHeight="1">
      <x:c r="A15" s="791" t="str">
        <x:v>Nivel</x:v>
      </x:c>
      <x:c r="B15" s="791" t="str">
        <x:v>Entidad / componente</x:v>
      </x:c>
      <x:c r="C15" s="791" t="str">
        <x:v>Qué contiene</x:v>
      </x:c>
      <x:c r="D15" s="791" t="str">
        <x:v>Se hereda / deriva</x:v>
      </x:c>
      <x:c r="E15" s="791" t="str">
        <x:v>Input campo</x:v>
      </x:c>
      <x:c r="F15" s="791" t="str">
        <x:v>Evidencia origen</x:v>
      </x:c>
      <x:c r="G15" s="782"/>
      <x:c r="H15" s="791" t="str">
        <x:v>Nivel</x:v>
      </x:c>
      <x:c r="I15" s="791" t="str">
        <x:v>Entidad / componente</x:v>
      </x:c>
      <x:c r="J15" s="791" t="str">
        <x:v>Qué contiene</x:v>
      </x:c>
      <x:c r="K15" s="791" t="str">
        <x:v>Se hereda / deriva</x:v>
      </x:c>
      <x:c r="L15" s="791" t="str">
        <x:v>Input campo</x:v>
      </x:c>
    </x:row>
    <x:row r="16" ht="42" customHeight="1">
      <x:c r="A16" s="790" t="str">
        <x:v>PARTE</x:v>
      </x:c>
      <x:c r="B16" s="790" t="str">
        <x:v>Parte TP-02</x:v>
      </x:c>
      <x:c r="C16" s="790" t="str">
        <x:v>estado · cliente/contexto · rama/configuración</x:v>
      </x:c>
      <x:c r="D16" s="790" t="str">
        <x:v>Motor + asignación</x:v>
      </x:c>
      <x:c r="E16" s="790" t="str">
        <x:v>Confirmación mínima</x:v>
      </x:c>
      <x:c r="F16" s="790" t="str">
        <x:v>T3/T4</x:v>
      </x:c>
      <x:c r="G16" s="782"/>
      <x:c r="H16" s="790" t="str">
        <x:v>UNIDAD</x:v>
      </x:c>
      <x:c r="I16" s="790" t="str">
        <x:v>UnidadEjecución = Movimiento</x:v>
      </x:c>
      <x:c r="J16" s="790" t="str">
        <x:v>tarea/movimiento · resultado · detalle</x:v>
      </x:c>
      <x:c r="K16" s="790" t="str">
        <x:v>Asignación + contexto</x:v>
      </x:c>
      <x:c r="L16" s="790" t="str">
        <x:v>Confirmación cambios</x:v>
      </x:c>
    </x:row>
    <x:row r="17" ht="42" customHeight="1">
      <x:c r="A17" s="790" t="str">
        <x:v>PARTE</x:v>
      </x:c>
      <x:c r="B17" s="790" t="str">
        <x:v>AsignaciónPersona</x:v>
      </x:c>
      <x:c r="C17" s="790" t="str">
        <x:v>chofer / roles participantes</x:v>
      </x:c>
      <x:c r="D17" s="790" t="str">
        <x:v>Planificación / perfil</x:v>
      </x:c>
      <x:c r="E17" s="790" t="str">
        <x:v>Solo excepción</x:v>
      </x:c>
      <x:c r="F17" s="790" t="str">
        <x:v>T4 chofer; T3 personal</x:v>
      </x:c>
      <x:c r="G17" s="782"/>
      <x:c r="H17" s="790" t="str">
        <x:v>UNIDAD</x:v>
      </x:c>
      <x:c r="I17" s="790" t="str">
        <x:v>EjecucionUbicacion [N]</x:v>
      </x:c>
      <x:c r="J17" s="790" t="str">
        <x:v>origen · destino · carga · descarga · principal</x:v>
      </x:c>
      <x:c r="K17" s="790" t="str">
        <x:v>Planificación / movimiento</x:v>
      </x:c>
      <x:c r="L17" s="790" t="str">
        <x:v>Solo excepción</x:v>
      </x:c>
    </x:row>
    <x:row r="18" ht="42" customHeight="1">
      <x:c r="A18" s="790" t="str">
        <x:v>PARTE</x:v>
      </x:c>
      <x:c r="B18" s="790" t="str">
        <x:v>AsignaciónRecurso + rol</x:v>
      </x:c>
      <x:c r="C18" s="790" t="str">
        <x:v>camión/tractor · semi/acoplado · apoyo</x:v>
      </x:c>
      <x:c r="D18" s="790" t="str">
        <x:v>Planificación / maestro</x:v>
      </x:c>
      <x:c r="E18" s="790" t="str">
        <x:v>Confirmación/cambio</x:v>
      </x:c>
      <x:c r="F18" s="790" t="str">
        <x:v>T4 encabezado</x:v>
      </x:c>
      <x:c r="G18" s="782"/>
      <x:c r="H18" s="790" t="str">
        <x:v>UNIDAD</x:v>
      </x:c>
      <x:c r="I18" s="790" t="str">
        <x:v>EventoTiempo [N]</x:v>
      </x:c>
      <x:c r="J18" s="790" t="str">
        <x:v>traslado · carga · descarga · stand-by · cierre</x:v>
      </x:c>
      <x:c r="K18" s="790" t="str">
        <x:v>Sistema + eventos</x:v>
      </x:c>
      <x:c r="L18" s="790" t="str">
        <x:v>Inicio/fin o confirmación</x:v>
      </x:c>
    </x:row>
    <x:row r="19" ht="42" customHeight="1">
      <x:c r="A19" s="790" t="str">
        <x:v>TRANSV.</x:v>
      </x:c>
      <x:c r="B19" s="790" t="str">
        <x:v>Control documental</x:v>
      </x:c>
      <x:c r="C19" s="790" t="str">
        <x:v>habilitaciones persona + recursos + contexto</x:v>
      </x:c>
      <x:c r="D19" s="790" t="str">
        <x:v>Maestros documentales</x:v>
      </x:c>
      <x:c r="E19" s="790" t="str">
        <x:v>No</x:v>
      </x:c>
      <x:c r="F19" s="790" t="str">
        <x:v>requisito sistema</x:v>
      </x:c>
      <x:c r="G19" s="782"/>
      <x:c r="H19" s="790" t="str">
        <x:v>UNIDAD</x:v>
      </x:c>
      <x:c r="I19" s="790" t="str">
        <x:v>ImputacionEjecucion</x:v>
      </x:c>
      <x:c r="J19" s="790" t="str">
        <x:v>obra/CECO/ítem aplicable</x:v>
      </x:c>
      <x:c r="K19" s="790" t="str">
        <x:v>Motor contractual</x:v>
      </x:c>
      <x:c r="L19" s="790" t="str">
        <x:v>No salvo excepción</x:v>
      </x:c>
    </x:row>
    <x:row r="20" ht="42" customHeight="1">
      <x:c r="A20" s="790" t="str">
        <x:v>TRANSV.</x:v>
      </x:c>
      <x:c r="B20" s="790" t="str">
        <x:v>EventoOperativo</x:v>
      </x:c>
      <x:c r="C20" s="790" t="str">
        <x:v>reemplazos · contingencias · desvíos</x:v>
      </x:c>
      <x:c r="D20" s="790" t="str">
        <x:v>Sistema + selección estructurada</x:v>
      </x:c>
      <x:c r="E20" s="790" t="str">
        <x:v>Condicional</x:v>
      </x:c>
      <x:c r="F20" s="790" t="str">
        <x:v>respuestas operación</x:v>
      </x:c>
      <x:c r="G20" s="782"/>
      <x:c r="H20" s="790" t="str">
        <x:v>UNIDAD</x:v>
      </x:c>
      <x:c r="I20" s="790" t="str">
        <x:v>EjecucionMedicion [N]</x:v>
      </x:c>
      <x:c r="J20" s="790" t="str">
        <x:v>m³ · viaje · hora · registro u otra métrica</x:v>
      </x:c>
      <x:c r="K20" s="790" t="str">
        <x:v>ReglaMedicionItem</x:v>
      </x:c>
      <x:c r="L20" s="790" t="str">
        <x:v>Valor cuando aplique</x:v>
      </x:c>
    </x:row>
    <x:row r="21" ht="42" customHeight="1">
      <x:c r="A21" s="790" t="str">
        <x:v>PARTE/UNIDAD</x:v>
      </x:c>
      <x:c r="B21" s="790" t="str">
        <x:v>Evidencia</x:v>
      </x:c>
      <x:c r="C21" s="790" t="str">
        <x:v>firma/aprobación/foto/medición según regla</x:v>
      </x:c>
      <x:c r="D21" s="790" t="str">
        <x:v>TipoParte + Servicio + Contrato</x:v>
      </x:c>
      <x:c r="E21" s="790" t="str">
        <x:v>Solo cuando corresponde</x:v>
      </x:c>
      <x:c r="F21" s="790" t="str">
        <x:v>T3/T4</x:v>
      </x:c>
      <x:c r="G21" s="782"/>
      <x:c r="H21" s="790" t="str">
        <x:v>UNIDAD</x:v>
      </x:c>
      <x:c r="I21" s="790" t="str">
        <x:v>PermisoTrabajo</x:v>
      </x:c>
      <x:c r="J21" s="790" t="str">
        <x:v>gate previo si la tarea/sitio lo exige</x:v>
      </x:c>
      <x:c r="K21" s="790" t="str">
        <x:v>Regla Habilita/servicio</x:v>
      </x:c>
      <x:c r="L21" s="790" t="str">
        <x:v>Validación/cierre</x:v>
      </x:c>
    </x:row>
    <x:row r="22">
      <x:c r="A22" s="776"/>
      <x:c r="B22" s="776"/>
      <x:c r="C22" s="776"/>
      <x:c r="D22" s="776"/>
      <x:c r="E22" s="776"/>
      <x:c r="F22" s="776"/>
      <x:c r="G22" s="776"/>
      <x:c r="H22" s="776"/>
      <x:c r="I22" s="776"/>
      <x:c r="J22" s="776"/>
      <x:c r="K22" s="776"/>
      <x:c r="L22" s="776"/>
    </x:row>
    <x:row r="23" ht="22" customHeight="1">
      <x:c r="A23" s="788" t="str">
        <x:v>03 — REGLAS DE CORTE · CUÁNDO SIGUE EL MISMO TP-02 Y CUÁNDO NACE OTRO</x:v>
      </x:c>
      <x:c r="B23" s="788"/>
      <x:c r="C23" s="788"/>
      <x:c r="D23" s="788"/>
      <x:c r="E23" s="788"/>
      <x:c r="F23" s="788"/>
      <x:c r="G23" s="788"/>
      <x:c r="H23" s="788"/>
      <x:c r="I23" s="788"/>
      <x:c r="J23" s="788"/>
      <x:c r="K23" s="788"/>
      <x:c r="L23" s="788"/>
    </x:row>
    <x:row r="24" ht="44" customHeight="1">
      <x:c r="A24" s="791" t="str">
        <x:v>Dimensión / evento</x:v>
      </x:c>
      <x:c r="B24" s="791" t="str">
        <x:v>Regla v0.1</x:v>
      </x:c>
      <x:c r="C24" s="791" t="str">
        <x:v>Acción del sistema</x:v>
      </x:c>
      <x:c r="D24" s="791" t="str">
        <x:v>Confianza</x:v>
      </x:c>
      <x:c r="E24" s="791" t="str">
        <x:v>Por qué / evidencia</x:v>
      </x:c>
      <x:c r="F24" s="776"/>
      <x:c r="G24" s="776"/>
      <x:c r="H24" s="776"/>
      <x:c r="I24" s="776"/>
      <x:c r="J24" s="776"/>
      <x:c r="K24" s="776"/>
      <x:c r="L24" s="776"/>
    </x:row>
    <x:row r="25" ht="44" customHeight="1">
      <x:c r="A25" s="790" t="str">
        <x:v>Nuevo viaje / movimiento</x:v>
      </x:c>
      <x:c r="B25" s="790" t="str">
        <x:v>NO corta</x:v>
      </x:c>
      <x:c r="C25" s="790" t="str">
        <x:v>Nueva UnidadEjecución/Movimiento dentro del Parte</x:v>
      </x:c>
      <x:c r="D25" s="790" t="str">
        <x:v>✓/H</x:v>
      </x:c>
      <x:c r="E25" s="790" t="str">
        <x:v>Los formularios tienen múltiples líneas por Parte.</x:v>
      </x:c>
      <x:c r="F25" s="776"/>
      <x:c r="G25" s="776"/>
      <x:c r="H25" s="776"/>
      <x:c r="I25" s="776"/>
      <x:c r="J25" s="776"/>
      <x:c r="K25" s="776"/>
      <x:c r="L25" s="776"/>
    </x:row>
    <x:row r="26" ht="44" customHeight="1">
      <x:c r="A26" s="790" t="str">
        <x:v>Cambio origen/destino</x:v>
      </x:c>
      <x:c r="B26" s="790" t="str">
        <x:v>NO corta</x:v>
      </x:c>
      <x:c r="C26" s="790" t="str">
        <x:v>Actualizar roles de ubicación del movimiento</x:v>
      </x:c>
      <x:c r="D26" s="790" t="str">
        <x:v>✓</x:v>
      </x:c>
      <x:c r="E26" s="790" t="str">
        <x:v>Es inherente al transporte.</x:v>
      </x:c>
      <x:c r="F26" s="776"/>
      <x:c r="G26" s="776"/>
      <x:c r="H26" s="776"/>
      <x:c r="I26" s="776"/>
      <x:c r="J26" s="776"/>
      <x:c r="K26" s="776"/>
      <x:c r="L26" s="776"/>
    </x:row>
    <x:row r="27" ht="44" customHeight="1">
      <x:c r="A27" s="790" t="str">
        <x:v>Cambio imputación / ítem</x:v>
      </x:c>
      <x:c r="B27" s="790" t="str">
        <x:v>NO corta por sí solo</x:v>
      </x:c>
      <x:c r="C27" s="790" t="str">
        <x:v>Nueva ImputacionEjecucion por movimiento</x:v>
      </x:c>
      <x:c r="D27" s="790" t="str">
        <x:v>✓</x:v>
      </x:c>
      <x:c r="E27" s="790" t="str">
        <x:v>T3 registra imputación por línea.</x:v>
      </x:c>
      <x:c r="F27" s="776"/>
      <x:c r="G27" s="776"/>
      <x:c r="H27" s="776"/>
      <x:c r="I27" s="776"/>
      <x:c r="J27" s="776"/>
      <x:c r="K27" s="776"/>
      <x:c r="L27" s="776"/>
    </x:row>
    <x:row r="28" ht="44" customHeight="1">
      <x:c r="A28" s="790" t="str">
        <x:v>Cambio cliente</x:v>
      </x:c>
      <x:c r="B28" s="790" t="str">
        <x:v>SÍ corta</x:v>
      </x:c>
      <x:c r="C28" s="790" t="str">
        <x:v>Nuevo TP-02</x:v>
      </x:c>
      <x:c r="D28" s="790" t="str">
        <x:v>✓ inicial fuerte</x:v>
      </x:c>
      <x:c r="E28" s="790" t="str">
        <x:v>Respuesta operativa + contexto contractual.</x:v>
      </x:c>
      <x:c r="F28" s="776"/>
      <x:c r="G28" s="776"/>
      <x:c r="H28" s="776"/>
      <x:c r="I28" s="776"/>
      <x:c r="J28" s="776"/>
      <x:c r="K28" s="776"/>
      <x:c r="L28" s="776"/>
    </x:row>
    <x:row r="29" ht="44" customHeight="1">
      <x:c r="A29" s="790" t="str">
        <x:v>Cambio Sólida ↔ Líquida</x:v>
      </x:c>
      <x:c r="B29" s="790" t="str">
        <x:v>CORTA instancia / rama</x:v>
      </x:c>
      <x:c r="C29" s="790" t="str">
        <x:v>Nuevo TP-02 de la otra rama</x:v>
      </x:c>
      <x:c r="D29" s="790" t="str">
        <x:v>H fuerte</x:v>
      </x:c>
      <x:c r="E29" s="790" t="str">
        <x:v>Estructura, recursos, mediciones y evidencia difieren.</x:v>
      </x:c>
      <x:c r="F29" s="776"/>
      <x:c r="G29" s="776"/>
      <x:c r="H29" s="776"/>
      <x:c r="I29" s="776"/>
      <x:c r="J29" s="776"/>
      <x:c r="K29" s="776"/>
      <x:c r="L29" s="776"/>
    </x:row>
    <x:row r="30" ht="44" customHeight="1">
      <x:c r="A30" s="790" t="str">
        <x:v>Cambio recurso principal (camión/tractor)</x:v>
      </x:c>
      <x:c r="B30" s="790" t="str">
        <x:v>CORTE probable</x:v>
      </x:c>
      <x:c r="C30" s="790" t="str">
        <x:v>Nuevo Parte o sustitución trazada según regla final</x:v>
      </x:c>
      <x:c r="D30" s="790" t="str">
        <x:v>H</x:v>
      </x:c>
      <x:c r="E30" s="790" t="str">
        <x:v>T4 fija Camión N° a nivel encabezado; validar contingencias.</x:v>
      </x:c>
      <x:c r="F30" s="776"/>
      <x:c r="G30" s="776"/>
      <x:c r="H30" s="776"/>
      <x:c r="I30" s="776"/>
      <x:c r="J30" s="776"/>
      <x:c r="K30" s="776"/>
      <x:c r="L30" s="776"/>
    </x:row>
    <x:row r="31" ht="44" customHeight="1">
      <x:c r="A31" s="790" t="str">
        <x:v>Cambio acoplado / semi</x:v>
      </x:c>
      <x:c r="B31" s="790" t="str">
        <x:v>CONDICIONAL</x:v>
      </x:c>
      <x:c r="C31" s="790" t="str">
        <x:v>Actualizar configuración o abrir nuevo Parte</x:v>
      </x:c>
      <x:c r="D31" s="790" t="str">
        <x:v>?</x:v>
      </x:c>
      <x:c r="E31" s="790" t="str">
        <x:v>T4 lo fija en encabezado; falta regla operativa.</x:v>
      </x:c>
      <x:c r="F31" s="776"/>
      <x:c r="G31" s="776"/>
      <x:c r="H31" s="776"/>
      <x:c r="I31" s="776"/>
      <x:c r="J31" s="776"/>
      <x:c r="K31" s="776"/>
      <x:c r="L31" s="776"/>
    </x:row>
    <x:row r="32" ht="44" customHeight="1">
      <x:c r="A32" s="790" t="str">
        <x:v>Reemplazo de chofer</x:v>
      </x:c>
      <x:c r="B32" s="790" t="str">
        <x:v>NO corta por defecto</x:v>
      </x:c>
      <x:c r="C32" s="790" t="str">
        <x:v>EventoOperativo + revalidación documental</x:v>
      </x:c>
      <x:c r="D32" s="790" t="str">
        <x:v>H</x:v>
      </x:c>
      <x:c r="E32" s="790" t="str">
        <x:v>Respuesta operativa: reemplazo de persona se traza.</x:v>
      </x:c>
      <x:c r="F32" s="776"/>
      <x:c r="G32" s="776"/>
      <x:c r="H32" s="776"/>
      <x:c r="I32" s="776"/>
      <x:c r="J32" s="776"/>
      <x:c r="K32" s="776"/>
      <x:c r="L32" s="776"/>
    </x:row>
    <x:row r="33" ht="44" customHeight="1">
      <x:c r="A33" s="790" t="str">
        <x:v>Unidad principal adicional independiente</x:v>
      </x:c>
      <x:c r="B33" s="790" t="str">
        <x:v>SÍ corta</x:v>
      </x:c>
      <x:c r="C33" s="790" t="str">
        <x:v>Otro TP-02 para esa unidad/asignación</x:v>
      </x:c>
      <x:c r="D33" s="790" t="str">
        <x:v>✓ inicial</x:v>
      </x:c>
      <x:c r="E33" s="790" t="str">
        <x:v>Respuesta operativa: equipo adicional puede generar otro Parte.</x:v>
      </x:c>
      <x:c r="F33" s="776"/>
      <x:c r="G33" s="776"/>
      <x:c r="H33" s="776"/>
      <x:c r="I33" s="776"/>
      <x:c r="J33" s="776"/>
      <x:c r="K33" s="776"/>
      <x:c r="L33" s="776"/>
    </x:row>
    <x:row r="34" ht="44" customHeight="1">
      <x:c r="A34" s="790" t="str">
        <x:v>Cambio turno / ventana operativa</x:v>
      </x:c>
      <x:c r="B34" s="790" t="str">
        <x:v>SÍ corta provisional</x:v>
      </x:c>
      <x:c r="C34" s="790" t="str">
        <x:v>Nuevo TP-02</x:v>
      </x:c>
      <x:c r="D34" s="790" t="str">
        <x:v>✓/H</x:v>
      </x:c>
      <x:c r="E34" s="790" t="str">
        <x:v>Cambio de turno reportado como causa de Parte distinto.</x:v>
      </x:c>
      <x:c r="F34" s="776"/>
      <x:c r="G34" s="776"/>
      <x:c r="H34" s="776"/>
      <x:c r="I34" s="776"/>
      <x:c r="J34" s="776"/>
      <x:c r="K34" s="776"/>
      <x:c r="L34" s="776"/>
    </x:row>
    <x:row r="35" ht="44" customHeight="1">
      <x:c r="A35" s="790" t="str">
        <x:v>Incidente ambiental</x:v>
      </x:c>
      <x:c r="B35" s="790" t="str">
        <x:v>NO corta automáticamente</x:v>
      </x:c>
      <x:c r="C35" s="790" t="str">
        <x:v>Crear EventoHabilita independiente vinculado al movimiento/Parte/recurso; aplicar ReglaEscalamientoHabilita. NO crear TP-04.</x:v>
      </x:c>
      <x:c r="D35" s="790" t="str">
        <x:v>✓/H</x:v>
      </x:c>
      <x:c r="E35" s="790" t="str">
        <x:v>No corta TP-02 automáticamente; la respuesta Habilita puede suspender/cancelar mediante Control Plane.</x:v>
      </x:c>
      <x:c r="F35" s="776"/>
      <x:c r="G35" s="776"/>
      <x:c r="H35" s="776"/>
      <x:c r="I35" s="776"/>
      <x:c r="J35" s="776"/>
      <x:c r="K35" s="776"/>
      <x:c r="L35" s="776"/>
    </x:row>
    <x:row r="36" ht="44" customHeight="1">
      <x:c r="A36" s="790" t="str">
        <x:v>Cambio ItemContrato / CECO</x:v>
      </x:c>
      <x:c r="B36" s="790" t="str">
        <x:v>NO corta por sí solo</x:v>
      </x:c>
      <x:c r="C36" s="790" t="str">
        <x:v>Ajustar imputación/medición del movimiento</x:v>
      </x:c>
      <x:c r="D36" s="790" t="str">
        <x:v>✓</x:v>
      </x:c>
      <x:c r="E36" s="790" t="str">
        <x:v>La ejecución puede contener imputaciones distintas.</x:v>
      </x:c>
      <x:c r="F36" s="776"/>
      <x:c r="G36" s="776"/>
      <x:c r="H36" s="776"/>
      <x:c r="I36" s="776"/>
      <x:c r="J36" s="776"/>
      <x:c r="K36" s="776"/>
      <x:c r="L36" s="776"/>
    </x:row>
    <x:row r="37">
      <x:c r="A37" s="776"/>
      <x:c r="B37" s="776"/>
      <x:c r="C37" s="776"/>
      <x:c r="D37" s="776"/>
      <x:c r="E37" s="776"/>
      <x:c r="F37" s="776"/>
      <x:c r="G37" s="776"/>
      <x:c r="H37" s="776"/>
      <x:c r="I37" s="776"/>
      <x:c r="J37" s="776"/>
      <x:c r="K37" s="776"/>
      <x:c r="L37" s="776"/>
    </x:row>
    <x:row r="38" ht="22" customHeight="1">
      <x:c r="A38" s="788" t="str">
        <x:v>04 — RAMAS T3 / T4 · MISMO TIPO DE PARTE, COMPONENTES DIFERENTES</x:v>
      </x:c>
      <x:c r="B38" s="788"/>
      <x:c r="C38" s="788"/>
      <x:c r="D38" s="788"/>
      <x:c r="E38" s="788"/>
      <x:c r="F38" s="788"/>
      <x:c r="G38" s="788"/>
      <x:c r="H38" s="788"/>
      <x:c r="I38" s="788"/>
      <x:c r="J38" s="788"/>
      <x:c r="K38" s="788"/>
      <x:c r="L38" s="788"/>
    </x:row>
    <x:row r="39" ht="52" customHeight="1">
      <x:c r="A39" s="791" t="str">
        <x:v>Tema</x:v>
      </x:c>
      <x:c r="B39" s="791" t="str">
        <x:v>T3 · Cargas Sólidas</x:v>
      </x:c>
      <x:c r="C39" s="791" t="str">
        <x:v>Destino canónico</x:v>
      </x:c>
      <x:c r="D39" s="791" t="str">
        <x:v>T4 · Cargas Líquidas</x:v>
      </x:c>
      <x:c r="E39" s="791" t="str">
        <x:v>Destino canónico</x:v>
      </x:c>
      <x:c r="F39" s="791" t="str">
        <x:v>Decisión de diseño</x:v>
      </x:c>
      <x:c r="G39" s="776"/>
      <x:c r="H39" s="776"/>
      <x:c r="I39" s="776"/>
      <x:c r="J39" s="776"/>
      <x:c r="K39" s="776"/>
      <x:c r="L39" s="776"/>
    </x:row>
    <x:row r="40" ht="52" customHeight="1">
      <x:c r="A40" s="790" t="str">
        <x:v>Fecha</x:v>
      </x:c>
      <x:c r="B40" s="790" t="str">
        <x:v>Fecha en encabezado del Parte</x:v>
      </x:c>
      <x:c r="C40" s="790" t="str">
        <x:v>fecha_operativa / ventana Parte</x:v>
      </x:c>
      <x:c r="D40" s="790" t="str">
        <x:v>Fecha por línea/movimiento</x:v>
      </x:c>
      <x:c r="E40" s="790" t="str">
        <x:v>timestamps UnidadEjecución</x:v>
      </x:c>
      <x:c r="F40" s="790" t="str">
        <x:v>No usar una única fecha universal como identidad de TP-02.</x:v>
      </x:c>
      <x:c r="G40" s="776"/>
      <x:c r="H40" s="776"/>
      <x:c r="I40" s="776"/>
      <x:c r="J40" s="776"/>
      <x:c r="K40" s="776"/>
      <x:c r="L40" s="776"/>
    </x:row>
    <x:row r="41" ht="52" customHeight="1">
      <x:c r="A41" s="790" t="str">
        <x:v>Tarea / movimiento</x:v>
      </x:c>
      <x:c r="B41" s="790" t="str">
        <x:v>Inicio · fin · descripción por línea</x:v>
      </x:c>
      <x:c r="C41" s="790" t="str">
        <x:v>UnidadEjecución</x:v>
      </x:c>
      <x:c r="D41" s="790" t="str">
        <x:v>Inicio · fin · descripción por línea</x:v>
      </x:c>
      <x:c r="E41" s="790" t="str">
        <x:v>UnidadEjecución</x:v>
      </x:c>
      <x:c r="F41" s="790" t="str">
        <x:v>La línea es la unidad interna más fuerte observada.</x:v>
      </x:c>
      <x:c r="G41" s="776"/>
      <x:c r="H41" s="776"/>
      <x:c r="I41" s="776"/>
      <x:c r="J41" s="776"/>
      <x:c r="K41" s="776"/>
      <x:c r="L41" s="776"/>
    </x:row>
    <x:row r="42" ht="52" customHeight="1">
      <x:c r="A42" s="790" t="str">
        <x:v>Configuración transporte</x:v>
      </x:c>
      <x:c r="B42" s="790" t="str">
        <x:v>No explícita en el encabezado observado</x:v>
      </x:c>
      <x:c r="C42" s="790" t="str">
        <x:v>AsignaciónRecurso / pendiente</x:v>
      </x:c>
      <x:c r="D42" s="790" t="str">
        <x:v>Camión N° + Acoplado/Semi N°</x:v>
      </x:c>
      <x:c r="E42" s="790" t="str">
        <x:v>AsignaciónRecurso + rol</x:v>
      </x:c>
      <x:c r="F42" s="790" t="str">
        <x:v>No forzar mismos campos históricos; el sistema puede heredarlos de Planificación.</x:v>
      </x:c>
      <x:c r="G42" s="776"/>
      <x:c r="H42" s="776"/>
      <x:c r="I42" s="776"/>
      <x:c r="J42" s="776"/>
      <x:c r="K42" s="776"/>
      <x:c r="L42" s="776"/>
    </x:row>
    <x:row r="43" ht="52" customHeight="1">
      <x:c r="A43" s="790" t="str">
        <x:v>Equipo / locación</x:v>
      </x:c>
      <x:c r="B43" s="790" t="str">
        <x:v>Equipo + Pozo por línea</x:v>
      </x:c>
      <x:c r="C43" s="790" t="str">
        <x:v>ActivoCliente / Ubicación / Recurso ?</x:v>
      </x:c>
      <x:c r="D43" s="790" t="str">
        <x:v>Equipo/Locación en encabezado</x:v>
      </x:c>
      <x:c r="E43" s="790" t="str">
        <x:v>Ubicación/Activo contexto</x:v>
      </x:c>
      <x:c r="F43" s="790" t="str">
        <x:v>'Equipo' T3 sigue ambiguo y requiere validación.</x:v>
      </x:c>
      <x:c r="G43" s="776"/>
      <x:c r="H43" s="776"/>
      <x:c r="I43" s="776"/>
      <x:c r="J43" s="776"/>
      <x:c r="K43" s="776"/>
      <x:c r="L43" s="776"/>
    </x:row>
    <x:row r="44" ht="52" customHeight="1">
      <x:c r="A44" s="790" t="str">
        <x:v>Referencia cliente</x:v>
      </x:c>
      <x:c r="B44" s="790" t="str">
        <x:v>Reserva por línea</x:v>
      </x:c>
      <x:c r="C44" s="790" t="str">
        <x:v>reserva_externa</x:v>
      </x:c>
      <x:c r="D44" s="790" t="str">
        <x:v>No observada</x:v>
      </x:c>
      <x:c r="E44" s="790" t="str">
        <x:v>—</x:v>
      </x:c>
      <x:c r="F44" s="790" t="str">
        <x:v>Componente condicional de rama/cliente.</x:v>
      </x:c>
      <x:c r="G44" s="776"/>
      <x:c r="H44" s="776"/>
      <x:c r="I44" s="776"/>
      <x:c r="J44" s="776"/>
      <x:c r="K44" s="776"/>
      <x:c r="L44" s="776"/>
    </x:row>
    <x:row r="45" ht="52" customHeight="1">
      <x:c r="A45" s="790" t="str">
        <x:v>Imputación</x:v>
      </x:c>
      <x:c r="B45" s="790" t="str">
        <x:v>Imputación por línea</x:v>
      </x:c>
      <x:c r="C45" s="790" t="str">
        <x:v>ImputacionEjecucion</x:v>
      </x:c>
      <x:c r="D45" s="790" t="str">
        <x:v>No explícita en muestra T4</x:v>
      </x:c>
      <x:c r="E45" s="790" t="str">
        <x:v>Derivada si contrato lo requiere</x:v>
      </x:c>
      <x:c r="F45" s="790" t="str">
        <x:v>T3 demuestra que varias imputaciones pueden convivir.</x:v>
      </x:c>
      <x:c r="G45" s="776"/>
      <x:c r="H45" s="776"/>
      <x:c r="I45" s="776"/>
      <x:c r="J45" s="776"/>
      <x:c r="K45" s="776"/>
      <x:c r="L45" s="776"/>
    </x:row>
    <x:row r="46" ht="52" customHeight="1">
      <x:c r="A46" s="790" t="str">
        <x:v>Medición</x:v>
      </x:c>
      <x:c r="B46" s="790" t="str">
        <x:v>No hay volumen fijo en el formulario</x:v>
      </x:c>
      <x:c r="C46" s="790" t="str">
        <x:v>ReglaMedicionItem</x:v>
      </x:c>
      <x:c r="D46" s="790" t="str">
        <x:v>Cargadero m³ + descarga</x:v>
      </x:c>
      <x:c r="E46" s="790" t="str">
        <x:v>EjecucionMedicion + Ubicación/Activo</x:v>
      </x:c>
      <x:c r="F46" s="790" t="str">
        <x:v>La métrica la activa Servicio/Contrato, no la familia por sí sola.</x:v>
      </x:c>
      <x:c r="G46" s="776"/>
      <x:c r="H46" s="776"/>
      <x:c r="I46" s="776"/>
      <x:c r="J46" s="776"/>
      <x:c r="K46" s="776"/>
      <x:c r="L46" s="776"/>
    </x:row>
    <x:row r="47" ht="52" customHeight="1">
      <x:c r="A47" s="790" t="str">
        <x:v>Personal</x:v>
      </x:c>
      <x:c r="B47" s="790" t="str">
        <x:v>Tabla de internos/nombres</x:v>
      </x:c>
      <x:c r="C47" s="790" t="str">
        <x:v>AsignaciónPersona</x:v>
      </x:c>
      <x:c r="D47" s="790" t="str">
        <x:v>Chofer identificado en cierre</x:v>
      </x:c>
      <x:c r="E47" s="790" t="str">
        <x:v>Perfil + AsignaciónPersona</x:v>
      </x:c>
      <x:c r="F47" s="790" t="str">
        <x:v>El login/perfil debe reducir captura manual.</x:v>
      </x:c>
      <x:c r="G47" s="776"/>
      <x:c r="H47" s="776"/>
      <x:c r="I47" s="776"/>
      <x:c r="J47" s="776"/>
      <x:c r="K47" s="776"/>
      <x:c r="L47" s="776"/>
    </x:row>
    <x:row r="48" ht="52" customHeight="1">
      <x:c r="A48" s="790" t="str">
        <x:v>Evidencia</x:v>
      </x:c>
      <x:c r="B48" s="790" t="str">
        <x:v>Firma solicitante por línea + Ejecutó</x:v>
      </x:c>
      <x:c r="C48" s="790" t="str">
        <x:v>Evidencia de Unidad + Parte</x:v>
      </x:c>
      <x:c r="D48" s="790" t="str">
        <x:v>Firmas cierre contratista/chofer/tercero</x:v>
      </x:c>
      <x:c r="E48" s="790" t="str">
        <x:v>Evidencia de Parte</x:v>
      </x:c>
      <x:c r="F48" s="790" t="str">
        <x:v>El alcance de evidencia depende de la rama.</x:v>
      </x:c>
      <x:c r="G48" s="776"/>
      <x:c r="H48" s="776"/>
      <x:c r="I48" s="776"/>
      <x:c r="J48" s="776"/>
      <x:c r="K48" s="776"/>
      <x:c r="L48" s="776"/>
    </x:row>
    <x:row r="49" ht="52" customHeight="1">
      <x:c r="A49" s="790" t="str">
        <x:v>Observaciones</x:v>
      </x:c>
      <x:c r="B49" s="790" t="str">
        <x:v>Pie libre</x:v>
      </x:c>
      <x:c r="C49" s="790" t="str">
        <x:v>observacion_excepcion</x:v>
      </x:c>
      <x:c r="D49" s="790" t="str">
        <x:v>Pie libre</x:v>
      </x:c>
      <x:c r="E49" s="790" t="str">
        <x:v>observacion_excepcion</x:v>
      </x:c>
      <x:c r="F49" s="790" t="str">
        <x:v>Solo excepción, no contenedor genérico.</x:v>
      </x:c>
      <x:c r="G49" s="776"/>
      <x:c r="H49" s="776"/>
      <x:c r="I49" s="776"/>
      <x:c r="J49" s="776"/>
      <x:c r="K49" s="776"/>
      <x:c r="L49" s="776"/>
    </x:row>
    <x:row r="50">
      <x:c r="A50" s="776"/>
      <x:c r="B50" s="776"/>
      <x:c r="C50" s="776"/>
      <x:c r="D50" s="776"/>
      <x:c r="E50" s="776"/>
      <x:c r="F50" s="776"/>
      <x:c r="G50" s="776"/>
      <x:c r="H50" s="776"/>
      <x:c r="I50" s="776"/>
      <x:c r="J50" s="776"/>
      <x:c r="K50" s="776"/>
      <x:c r="L50" s="776"/>
    </x:row>
    <x:row r="51" ht="22" customHeight="1">
      <x:c r="A51" s="788" t="str">
        <x:v>05 — MODELO DE TIEMPOS · EVENTOS, NO COLUMNAS FIJAS</x:v>
      </x:c>
      <x:c r="B51" s="788"/>
      <x:c r="C51" s="788"/>
      <x:c r="D51" s="788"/>
      <x:c r="E51" s="788"/>
      <x:c r="F51" s="788"/>
      <x:c r="G51" s="788"/>
      <x:c r="H51" s="788"/>
      <x:c r="I51" s="788"/>
      <x:c r="J51" s="788"/>
      <x:c r="K51" s="788"/>
      <x:c r="L51" s="788"/>
    </x:row>
    <x:row r="52" ht="44" customHeight="1">
      <x:c r="A52" s="791" t="str">
        <x:v>Categoría</x:v>
      </x:c>
      <x:c r="B52" s="791" t="str">
        <x:v>Nivel sugerido</x:v>
      </x:c>
      <x:c r="C52" s="791" t="str">
        <x:v>Qué representa</x:v>
      </x:c>
      <x:c r="D52" s="791" t="str">
        <x:v>Tratamiento v0.1</x:v>
      </x:c>
      <x:c r="E52" s="791" t="str">
        <x:v>Nota</x:v>
      </x:c>
      <x:c r="F52" s="776"/>
      <x:c r="G52" s="776"/>
      <x:c r="H52" s="776"/>
      <x:c r="I52" s="776"/>
      <x:c r="J52" s="776"/>
      <x:c r="K52" s="776"/>
      <x:c r="L52" s="776"/>
    </x:row>
    <x:row r="53" ht="44" customHeight="1">
      <x:c r="A53" s="790" t="str">
        <x:v>Traslado</x:v>
      </x:c>
      <x:c r="B53" s="790" t="str">
        <x:v>Movimiento</x:v>
      </x:c>
      <x:c r="C53" s="790" t="str">
        <x:v>Desplazamiento entre puntos</x:v>
      </x:c>
      <x:c r="D53" s="790" t="str">
        <x:v>EventoTiempo o inferido entre movimientos</x:v>
      </x:c>
      <x:c r="E53" s="790" t="str">
        <x:v>Puede ser certificable según contrato.</x:v>
      </x:c>
      <x:c r="F53" s="776"/>
      <x:c r="G53" s="776"/>
      <x:c r="H53" s="776"/>
      <x:c r="I53" s="776"/>
      <x:c r="J53" s="776"/>
      <x:c r="K53" s="776"/>
      <x:c r="L53" s="776"/>
    </x:row>
    <x:row r="54" ht="44" customHeight="1">
      <x:c r="A54" s="790" t="str">
        <x:v>Carga</x:v>
      </x:c>
      <x:c r="B54" s="790" t="str">
        <x:v>Movimiento</x:v>
      </x:c>
      <x:c r="C54" s="790" t="str">
        <x:v>Operación de carga cuando aplique</x:v>
      </x:c>
      <x:c r="D54" s="790" t="str">
        <x:v>EventoTiempo / actividad</x:v>
      </x:c>
      <x:c r="E54" s="790" t="str">
        <x:v>No obligatoria para toda rama.</x:v>
      </x:c>
      <x:c r="F54" s="776"/>
      <x:c r="G54" s="776"/>
      <x:c r="H54" s="776"/>
      <x:c r="I54" s="776"/>
      <x:c r="J54" s="776"/>
      <x:c r="K54" s="776"/>
      <x:c r="L54" s="776"/>
    </x:row>
    <x:row r="55" ht="44" customHeight="1">
      <x:c r="A55" s="790" t="str">
        <x:v>Descarga</x:v>
      </x:c>
      <x:c r="B55" s="790" t="str">
        <x:v>Movimiento</x:v>
      </x:c>
      <x:c r="C55" s="790" t="str">
        <x:v>Operación de descarga cuando aplique</x:v>
      </x:c>
      <x:c r="D55" s="790" t="str">
        <x:v>EventoTiempo / actividad</x:v>
      </x:c>
      <x:c r="E55" s="790" t="str">
        <x:v>Puede llevar ubicación/activo destino.</x:v>
      </x:c>
      <x:c r="F55" s="776"/>
      <x:c r="G55" s="776"/>
      <x:c r="H55" s="776"/>
      <x:c r="I55" s="776"/>
      <x:c r="J55" s="776"/>
      <x:c r="K55" s="776"/>
      <x:c r="L55" s="776"/>
    </x:row>
    <x:row r="56" ht="44" customHeight="1">
      <x:c r="A56" s="790" t="str">
        <x:v>Stand-by</x:v>
      </x:c>
      <x:c r="B56" s="790" t="str">
        <x:v>Parte o Movimiento</x:v>
      </x:c>
      <x:c r="C56" s="790" t="str">
        <x:v>Espera/disponibilidad sin ejecución productiva</x:v>
      </x:c>
      <x:c r="D56" s="790" t="str">
        <x:v>EventoTiempo + motivo estructurado</x:v>
      </x:c>
      <x:c r="E56" s="790" t="str">
        <x:v>Motivo debe ser catálogo.</x:v>
      </x:c>
      <x:c r="F56" s="776"/>
      <x:c r="G56" s="776"/>
      <x:c r="H56" s="776"/>
      <x:c r="I56" s="776"/>
      <x:c r="J56" s="776"/>
      <x:c r="K56" s="776"/>
      <x:c r="L56" s="776"/>
    </x:row>
    <x:row r="57" ht="44" customHeight="1">
      <x:c r="A57" s="790" t="str">
        <x:v>Cierre</x:v>
      </x:c>
      <x:c r="B57" s="790" t="str">
        <x:v>Parte</x:v>
      </x:c>
      <x:c r="C57" s="790" t="str">
        <x:v>Actividades de finalización/validación</x:v>
      </x:c>
      <x:c r="D57" s="790" t="str">
        <x:v>Evento o transición de estado</x:v>
      </x:c>
      <x:c r="E57" s="790" t="str">
        <x:v>No confundir con certificación.</x:v>
      </x:c>
      <x:c r="F57" s="776"/>
      <x:c r="G57" s="776"/>
      <x:c r="H57" s="776"/>
      <x:c r="I57" s="776"/>
      <x:c r="J57" s="776"/>
      <x:c r="K57" s="776"/>
      <x:c r="L57" s="776"/>
    </x:row>
    <x:row r="58" ht="44" customHeight="1">
      <x:c r="A58" s="790" t="str">
        <x:v>Ejecución</x:v>
      </x:c>
      <x:c r="B58" s="790" t="str">
        <x:v>Movimiento</x:v>
      </x:c>
      <x:c r="C58" s="790" t="str">
        <x:v>Ventana productiva del movimiento</x:v>
      </x:c>
      <x:c r="D58" s="790" t="str">
        <x:v>inicio_ejecucion_at → fin_ejecucion_at</x:v>
      </x:c>
      <x:c r="E58" s="790" t="str">
        <x:v>Categoría paraguas; duración calculada.</x:v>
      </x:c>
      <x:c r="F58" s="776"/>
      <x:c r="G58" s="776"/>
      <x:c r="H58" s="776"/>
      <x:c r="I58" s="776"/>
      <x:c r="J58" s="776"/>
      <x:c r="K58" s="776"/>
      <x:c r="L58" s="776"/>
    </x:row>
    <x:row r="59">
      <x:c r="A59" s="776"/>
      <x:c r="B59" s="776"/>
      <x:c r="C59" s="776"/>
      <x:c r="D59" s="776"/>
      <x:c r="E59" s="776"/>
      <x:c r="F59" s="776"/>
      <x:c r="G59" s="776"/>
      <x:c r="H59" s="776"/>
      <x:c r="I59" s="776"/>
      <x:c r="J59" s="776"/>
      <x:c r="K59" s="776"/>
      <x:c r="L59" s="776"/>
    </x:row>
    <x:row r="60" ht="22" customHeight="1">
      <x:c r="A60" s="788" t="str">
        <x:v>06 — COMPUERTAS + MÁQUINAS DE ESTADO · LENGUAJE ARQUITECTURA DE COMPUTADORA</x:v>
      </x:c>
      <x:c r="B60" s="788"/>
      <x:c r="C60" s="788"/>
      <x:c r="D60" s="788"/>
      <x:c r="E60" s="788"/>
      <x:c r="F60" s="788"/>
      <x:c r="G60" s="788"/>
      <x:c r="H60" s="788"/>
      <x:c r="I60" s="788"/>
      <x:c r="J60" s="788"/>
      <x:c r="K60" s="788"/>
      <x:c r="L60" s="788"/>
    </x:row>
    <x:row r="61">
      <x:c r="A61" s="776"/>
      <x:c r="B61" s="776"/>
      <x:c r="C61" s="776"/>
      <x:c r="D61" s="776"/>
      <x:c r="E61" s="776"/>
      <x:c r="F61" s="776"/>
      <x:c r="G61" s="776"/>
      <x:c r="H61" s="776"/>
      <x:c r="I61" s="776"/>
      <x:c r="J61" s="776"/>
      <x:c r="K61" s="776"/>
      <x:c r="L61" s="776"/>
    </x:row>
    <x:row r="62">
      <x:c r="A62" s="778" t="str">
        <x:v>GATE A
RUTEO
Perfil + asignación + contexto
→ TP-02 + rama</x:v>
      </x:c>
      <x:c r="B62" s="778"/>
      <x:c r="C62" s="776"/>
      <x:c r="D62" s="778" t="str">
        <x:v>GATE B
DOCUMENTAL
chofer + camión + semi/acoplado
+ fecha/contexto</x:v>
      </x:c>
      <x:c r="E62" s="778"/>
      <x:c r="F62" s="776"/>
      <x:c r="G62" s="778" t="str">
        <x:v>GATE C
CONFIGURACIÓN
recursos compatibles
con servicio/rama</x:v>
      </x:c>
      <x:c r="H62" s="778"/>
      <x:c r="I62" s="776"/>
      <x:c r="J62" s="778" t="str">
        <x:v>GATE D
PERMISO
solo si el movimiento/sitio
lo requiere</x:v>
      </x:c>
      <x:c r="K62" s="778"/>
      <x:c r="L62" s="776"/>
    </x:row>
    <x:row r="63">
      <x:c r="A63" s="778"/>
      <x:c r="B63" s="778"/>
      <x:c r="C63" s="779" t="str">
        <x:v>→</x:v>
      </x:c>
      <x:c r="D63" s="778"/>
      <x:c r="E63" s="778"/>
      <x:c r="F63" s="779" t="str">
        <x:v>→</x:v>
      </x:c>
      <x:c r="G63" s="778"/>
      <x:c r="H63" s="778"/>
      <x:c r="I63" s="779" t="str">
        <x:v>→</x:v>
      </x:c>
      <x:c r="J63" s="778"/>
      <x:c r="K63" s="778"/>
      <x:c r="L63" s="779" t="str">
        <x:v>→</x:v>
      </x:c>
    </x:row>
    <x:row r="64">
      <x:c r="A64" s="778"/>
      <x:c r="B64" s="778"/>
      <x:c r="C64" s="776"/>
      <x:c r="D64" s="778"/>
      <x:c r="E64" s="778"/>
      <x:c r="F64" s="776"/>
      <x:c r="G64" s="778"/>
      <x:c r="H64" s="778"/>
      <x:c r="I64" s="776"/>
      <x:c r="J64" s="778"/>
      <x:c r="K64" s="778"/>
      <x:c r="L64" s="776"/>
    </x:row>
    <x:row r="65">
      <x:c r="A65" s="778"/>
      <x:c r="B65" s="778"/>
      <x:c r="C65" s="776"/>
      <x:c r="D65" s="778"/>
      <x:c r="E65" s="778"/>
      <x:c r="F65" s="776"/>
      <x:c r="G65" s="778"/>
      <x:c r="H65" s="778"/>
      <x:c r="I65" s="776"/>
      <x:c r="J65" s="778"/>
      <x:c r="K65" s="778"/>
      <x:c r="L65" s="776"/>
    </x:row>
    <x:row r="66">
      <x:c r="A66" s="776"/>
      <x:c r="B66" s="776"/>
      <x:c r="C66" s="776"/>
      <x:c r="D66" s="776"/>
      <x:c r="E66" s="776"/>
      <x:c r="F66" s="776"/>
      <x:c r="G66" s="776"/>
      <x:c r="H66" s="776"/>
      <x:c r="I66" s="776"/>
      <x:c r="J66" s="776"/>
      <x:c r="K66" s="776"/>
      <x:c r="L66" s="776"/>
    </x:row>
    <x:row r="67">
      <x:c r="A67" s="775" t="str">
        <x:v>PARTE TP-02 — ESTADOS PROPUESTOS
asignado → habilitado/listo → en_curso → cierre_pendiente → cerrado_operativamente
‘certificable’ NO pertenece al estado del Parte: será decisión del dominio de Certificación.</x:v>
      </x:c>
      <x:c r="B67" s="775"/>
      <x:c r="C67" s="775"/>
      <x:c r="D67" s="775"/>
      <x:c r="E67" s="775"/>
      <x:c r="F67" s="775"/>
      <x:c r="G67" s="776"/>
      <x:c r="H67" s="776"/>
      <x:c r="I67" s="776"/>
      <x:c r="J67" s="778" t="str">
        <x:v>GATE E · CIERRE
movimientos resueltos
+ mediciones/evidencia obligatoria
+ permisos cerrados</x:v>
      </x:c>
      <x:c r="K67" s="778"/>
      <x:c r="L67" s="778"/>
    </x:row>
    <x:row r="68">
      <x:c r="A68" s="775"/>
      <x:c r="B68" s="775"/>
      <x:c r="C68" s="775"/>
      <x:c r="D68" s="775"/>
      <x:c r="E68" s="775"/>
      <x:c r="F68" s="775"/>
      <x:c r="G68" s="776"/>
      <x:c r="H68" s="776"/>
      <x:c r="I68" s="776"/>
      <x:c r="J68" s="778"/>
      <x:c r="K68" s="778"/>
      <x:c r="L68" s="778"/>
    </x:row>
    <x:row r="69">
      <x:c r="A69" s="775"/>
      <x:c r="B69" s="775"/>
      <x:c r="C69" s="775"/>
      <x:c r="D69" s="775"/>
      <x:c r="E69" s="775"/>
      <x:c r="F69" s="775"/>
      <x:c r="G69" s="776"/>
      <x:c r="H69" s="776"/>
      <x:c r="I69" s="776"/>
      <x:c r="J69" s="778"/>
      <x:c r="K69" s="778"/>
      <x:c r="L69" s="778"/>
    </x:row>
    <x:row r="70">
      <x:c r="A70" s="775"/>
      <x:c r="B70" s="775"/>
      <x:c r="C70" s="775"/>
      <x:c r="D70" s="775"/>
      <x:c r="E70" s="775"/>
      <x:c r="F70" s="775"/>
      <x:c r="G70" s="776"/>
      <x:c r="H70" s="776"/>
      <x:c r="I70" s="776"/>
      <x:c r="J70" s="778"/>
      <x:c r="K70" s="778"/>
      <x:c r="L70" s="778"/>
    </x:row>
    <x:row r="71">
      <x:c r="A71" s="776"/>
      <x:c r="B71" s="776"/>
      <x:c r="C71" s="776"/>
      <x:c r="D71" s="776"/>
      <x:c r="E71" s="776"/>
      <x:c r="F71" s="776"/>
      <x:c r="G71" s="776"/>
      <x:c r="H71" s="776"/>
      <x:c r="I71" s="776"/>
      <x:c r="J71" s="776"/>
      <x:c r="K71" s="776"/>
      <x:c r="L71" s="776"/>
    </x:row>
    <x:row r="72">
      <x:c r="A72" s="780" t="str">
        <x:v>MOVIMIENTO / UNIDAD DE EJECUCIÓN — ESTADOS MÍNIMOS
pendiente → en_curso → completado   |   rama terminal: no_realizado
Carga / traslado / descarga se modelan como eventos/actividades cuando sean necesarias; no se fuerzan como estados universales.</x:v>
      </x:c>
      <x:c r="B72" s="780"/>
      <x:c r="C72" s="780"/>
      <x:c r="D72" s="780"/>
      <x:c r="E72" s="780"/>
      <x:c r="F72" s="780"/>
      <x:c r="G72" s="780"/>
      <x:c r="H72" s="780"/>
      <x:c r="I72" s="780"/>
      <x:c r="J72" s="780"/>
      <x:c r="K72" s="780"/>
      <x:c r="L72" s="780"/>
    </x:row>
    <x:row r="73">
      <x:c r="A73" s="780"/>
      <x:c r="B73" s="780"/>
      <x:c r="C73" s="780"/>
      <x:c r="D73" s="780"/>
      <x:c r="E73" s="780"/>
      <x:c r="F73" s="780"/>
      <x:c r="G73" s="780"/>
      <x:c r="H73" s="780"/>
      <x:c r="I73" s="780"/>
      <x:c r="J73" s="780"/>
      <x:c r="K73" s="780"/>
      <x:c r="L73" s="780"/>
    </x:row>
    <x:row r="74">
      <x:c r="A74" s="780"/>
      <x:c r="B74" s="780"/>
      <x:c r="C74" s="780"/>
      <x:c r="D74" s="780"/>
      <x:c r="E74" s="780"/>
      <x:c r="F74" s="780"/>
      <x:c r="G74" s="780"/>
      <x:c r="H74" s="780"/>
      <x:c r="I74" s="780"/>
      <x:c r="J74" s="780"/>
      <x:c r="K74" s="780"/>
      <x:c r="L74" s="780"/>
    </x:row>
    <x:row r="75">
      <x:c r="A75" s="776"/>
      <x:c r="B75" s="776"/>
      <x:c r="C75" s="776"/>
      <x:c r="D75" s="776"/>
      <x:c r="E75" s="776"/>
      <x:c r="F75" s="776"/>
      <x:c r="G75" s="776"/>
      <x:c r="H75" s="776"/>
      <x:c r="I75" s="776"/>
      <x:c r="J75" s="776"/>
      <x:c r="K75" s="776"/>
      <x:c r="L75" s="776"/>
    </x:row>
    <x:row r="76" ht="22" customHeight="1">
      <x:c r="A76" s="788" t="str">
        <x:v>07 — CONTRATO + MEDICIÓN · CAPTURAR LO NECESARIO SIN CONVERTIR TP-02 EN FACTURACIÓN</x:v>
      </x:c>
      <x:c r="B76" s="788"/>
      <x:c r="C76" s="788"/>
      <x:c r="D76" s="788"/>
      <x:c r="E76" s="788"/>
      <x:c r="F76" s="788"/>
      <x:c r="G76" s="788"/>
      <x:c r="H76" s="788"/>
      <x:c r="I76" s="788"/>
      <x:c r="J76" s="788"/>
      <x:c r="K76" s="788"/>
      <x:c r="L76" s="788"/>
    </x:row>
    <x:row r="77">
      <x:c r="A77" s="776"/>
      <x:c r="B77" s="776"/>
      <x:c r="C77" s="776"/>
      <x:c r="D77" s="776"/>
      <x:c r="E77" s="776"/>
      <x:c r="F77" s="776"/>
      <x:c r="G77" s="776"/>
      <x:c r="H77" s="776"/>
      <x:c r="I77" s="776"/>
      <x:c r="J77" s="776"/>
      <x:c r="K77" s="776"/>
      <x:c r="L77" s="776"/>
    </x:row>
    <x:row r="78">
      <x:c r="A78" s="783" t="str">
        <x:v>UnidadEjecución / Movimiento</x:v>
      </x:c>
      <x:c r="B78" s="783" t="str">
        <x:v>→</x:v>
      </x:c>
      <x:c r="C78" s="783" t="str">
        <x:v>ImputacionEjecucion</x:v>
      </x:c>
      <x:c r="D78" s="783" t="str">
        <x:v>→</x:v>
      </x:c>
      <x:c r="E78" s="783" t="str">
        <x:v>ItemContrato</x:v>
      </x:c>
      <x:c r="F78" s="783" t="str">
        <x:v>→</x:v>
      </x:c>
      <x:c r="G78" s="783" t="str">
        <x:v>TipoContrato / ReglaMedicion</x:v>
      </x:c>
      <x:c r="H78" s="783" t="str">
        <x:v>→</x:v>
      </x:c>
      <x:c r="I78" s="783" t="str">
        <x:v>Medición / Evidencia</x:v>
      </x:c>
      <x:c r="J78" s="783"/>
      <x:c r="K78" s="783"/>
      <x:c r="L78" s="783"/>
    </x:row>
    <x:row r="79">
      <x:c r="A79" s="776"/>
      <x:c r="B79" s="776"/>
      <x:c r="C79" s="776"/>
      <x:c r="D79" s="776"/>
      <x:c r="E79" s="776"/>
      <x:c r="F79" s="776"/>
      <x:c r="G79" s="776"/>
      <x:c r="H79" s="776"/>
      <x:c r="I79" s="776"/>
      <x:c r="J79" s="776"/>
      <x:c r="K79" s="776"/>
      <x:c r="L79" s="776"/>
    </x:row>
    <x:row r="80">
      <x:c r="A80" s="784" t="str">
        <x:v>REGLA
• La imputación NO divide TP-02 por sí sola.
• T3 ya demuestra imputación por movimiento.
• El contrato decide si el movimiento debe producir viaje, hora, m³, registro u otra evidencia.</x:v>
      </x:c>
      <x:c r="B80" s="784"/>
      <x:c r="C80" s="784"/>
      <x:c r="D80" s="784"/>
      <x:c r="E80" s="784"/>
      <x:c r="F80" s="784"/>
      <x:c r="G80" s="776"/>
      <x:c r="H80" s="785" t="str">
        <x:v>INTERPRETACIÓN INICIAL
Indemnizado → cantidad + unidad por ítem.
Mensualizado → registro/evidencia de prestación.
On Call → intervención/movimiento puntual.
Definiciones contractuales finales siguen pendientes.</x:v>
      </x:c>
      <x:c r="I80" s="785"/>
      <x:c r="J80" s="785"/>
      <x:c r="K80" s="785"/>
      <x:c r="L80" s="785"/>
    </x:row>
    <x:row r="81">
      <x:c r="A81" s="784"/>
      <x:c r="B81" s="784"/>
      <x:c r="C81" s="784"/>
      <x:c r="D81" s="784"/>
      <x:c r="E81" s="784"/>
      <x:c r="F81" s="784"/>
      <x:c r="G81" s="776"/>
      <x:c r="H81" s="785"/>
      <x:c r="I81" s="785"/>
      <x:c r="J81" s="785"/>
      <x:c r="K81" s="785"/>
      <x:c r="L81" s="785"/>
    </x:row>
    <x:row r="82">
      <x:c r="A82" s="784"/>
      <x:c r="B82" s="784"/>
      <x:c r="C82" s="784"/>
      <x:c r="D82" s="784"/>
      <x:c r="E82" s="784"/>
      <x:c r="F82" s="784"/>
      <x:c r="G82" s="776"/>
      <x:c r="H82" s="785"/>
      <x:c r="I82" s="785"/>
      <x:c r="J82" s="785"/>
      <x:c r="K82" s="785"/>
      <x:c r="L82" s="785"/>
    </x:row>
    <x:row r="83">
      <x:c r="A83" s="784"/>
      <x:c r="B83" s="784"/>
      <x:c r="C83" s="784"/>
      <x:c r="D83" s="784"/>
      <x:c r="E83" s="784"/>
      <x:c r="F83" s="784"/>
      <x:c r="G83" s="776"/>
      <x:c r="H83" s="785"/>
      <x:c r="I83" s="785"/>
      <x:c r="J83" s="785"/>
      <x:c r="K83" s="785"/>
      <x:c r="L83" s="785"/>
    </x:row>
    <x:row r="84">
      <x:c r="A84" s="776"/>
      <x:c r="B84" s="776"/>
      <x:c r="C84" s="776"/>
      <x:c r="D84" s="776"/>
      <x:c r="E84" s="776"/>
      <x:c r="F84" s="776"/>
      <x:c r="G84" s="776"/>
      <x:c r="H84" s="776"/>
      <x:c r="I84" s="776"/>
      <x:c r="J84" s="776"/>
      <x:c r="K84" s="776"/>
      <x:c r="L84" s="776"/>
    </x:row>
    <x:row r="85" ht="22" customHeight="1">
      <x:c r="A85" s="788" t="str">
        <x:v>08 — CONTROL DOCUMENTAL · ANTICIPAR ANTES DE SALIR Y REVALIDAR AL INICIAR</x:v>
      </x:c>
      <x:c r="B85" s="788"/>
      <x:c r="C85" s="788"/>
      <x:c r="D85" s="788"/>
      <x:c r="E85" s="788"/>
      <x:c r="F85" s="788"/>
      <x:c r="G85" s="788"/>
      <x:c r="H85" s="788"/>
      <x:c r="I85" s="788"/>
      <x:c r="J85" s="788"/>
      <x:c r="K85" s="788"/>
      <x:c r="L85" s="788"/>
    </x:row>
    <x:row r="86" ht="46" customHeight="1">
      <x:c r="A86" s="791" t="str">
        <x:v>Momento</x:v>
      </x:c>
      <x:c r="B86" s="791" t="str">
        <x:v>Sujetos</x:v>
      </x:c>
      <x:c r="C86" s="791" t="str">
        <x:v>Qué verifica</x:v>
      </x:c>
      <x:c r="D86" s="791" t="str">
        <x:v>Resultado</x:v>
      </x:c>
      <x:c r="E86" s="791" t="str">
        <x:v>Acción</x:v>
      </x:c>
      <x:c r="F86" s="776"/>
      <x:c r="G86" s="776"/>
      <x:c r="H86" s="780" t="str">
        <x:v>EJEMPLOS YA PRESENTES EN EL CATÁLOGO DEL PROTOTIPO
• Persona: manejo defensivo / habilitaciones aplicables.
• Unidad: RTO / seguro / otros requisitos.
Son ejemplos de la lógica, no el catálogo definitivo.
La evaluación debe quedar como snapshot auditable.</x:v>
      </x:c>
      <x:c r="I86" s="780"/>
      <x:c r="J86" s="780"/>
      <x:c r="K86" s="780"/>
      <x:c r="L86" s="780"/>
    </x:row>
    <x:row r="87" ht="46" customHeight="1">
      <x:c r="A87" s="790" t="str">
        <x:v>Planificación</x:v>
      </x:c>
      <x:c r="B87" s="790" t="str">
        <x:v>Chofer/personas · camión · semi/acoplado · contexto</x:v>
      </x:c>
      <x:c r="C87" s="790" t="str">
        <x:v>Requisitos vigentes para la fecha prevista</x:v>
      </x:c>
      <x:c r="D87" s="790" t="str">
        <x:v>habilita / advierte / bloquea</x:v>
      </x:c>
      <x:c r="E87" s="790" t="str">
        <x:v>Supervisor ve alertas antes de asignar/salir.</x:v>
      </x:c>
      <x:c r="F87" s="776"/>
      <x:c r="G87" s="776"/>
      <x:c r="H87" s="780"/>
      <x:c r="I87" s="780"/>
      <x:c r="J87" s="780"/>
      <x:c r="K87" s="780"/>
      <x:c r="L87" s="780"/>
    </x:row>
    <x:row r="88" ht="46" customHeight="1">
      <x:c r="A88" s="790" t="str">
        <x:v>Inicio TP-02</x:v>
      </x:c>
      <x:c r="B88" s="790" t="str">
        <x:v>Recursos/personas reales</x:v>
      </x:c>
      <x:c r="C88" s="790" t="str">
        <x:v>Revalidación contra fecha/hora/contexto real</x:v>
      </x:c>
      <x:c r="D88" s="790" t="str">
        <x:v>habilita / advierte / bloquea</x:v>
      </x:c>
      <x:c r="E88" s="790" t="str">
        <x:v>Gate B antes de en_curso.</x:v>
      </x:c>
      <x:c r="F88" s="776"/>
      <x:c r="G88" s="776"/>
      <x:c r="H88" s="780"/>
      <x:c r="I88" s="780"/>
      <x:c r="J88" s="780"/>
      <x:c r="K88" s="780"/>
      <x:c r="L88" s="780"/>
    </x:row>
    <x:row r="89" ht="46" customHeight="1">
      <x:c r="A89" s="790" t="str">
        <x:v>Sustitución</x:v>
      </x:c>
      <x:c r="B89" s="790" t="str">
        <x:v>Persona/recurso nuevo</x:v>
      </x:c>
      <x:c r="C89" s="790" t="str">
        <x:v>Requisitos del sustituto</x:v>
      </x:c>
      <x:c r="D89" s="790" t="str">
        <x:v>habilita / advierte / bloquea</x:v>
      </x:c>
      <x:c r="E89" s="790" t="str">
        <x:v>No continuar sin revalidación.</x:v>
      </x:c>
      <x:c r="F89" s="776"/>
      <x:c r="G89" s="776"/>
      <x:c r="H89" s="780"/>
      <x:c r="I89" s="780"/>
      <x:c r="J89" s="780"/>
      <x:c r="K89" s="780"/>
      <x:c r="L89" s="780"/>
    </x:row>
    <x:row r="90" ht="46" customHeight="1">
      <x:c r="A90" s="790" t="str">
        <x:v>Durante</x:v>
      </x:c>
      <x:c r="B90" s="790" t="str">
        <x:v>Contexto/servicio si cambia</x:v>
      </x:c>
      <x:c r="C90" s="790" t="str">
        <x:v>Requisitos adicionales aplicables</x:v>
      </x:c>
      <x:c r="D90" s="790" t="str">
        <x:v>según regla</x:v>
      </x:c>
      <x:c r="E90" s="790" t="str">
        <x:v>Puede disparar EventoOperativo o corte.</x:v>
      </x:c>
      <x:c r="F90" s="776"/>
      <x:c r="G90" s="776"/>
      <x:c r="H90" s="780"/>
      <x:c r="I90" s="780"/>
      <x:c r="J90" s="780"/>
      <x:c r="K90" s="780"/>
      <x:c r="L90" s="780"/>
    </x:row>
    <x:row r="91">
      <x:c r="A91" s="776"/>
      <x:c r="B91" s="776"/>
      <x:c r="C91" s="776"/>
      <x:c r="D91" s="776"/>
      <x:c r="E91" s="776"/>
      <x:c r="F91" s="776"/>
      <x:c r="G91" s="776"/>
      <x:c r="H91" s="776"/>
      <x:c r="I91" s="776"/>
      <x:c r="J91" s="776"/>
      <x:c r="K91" s="776"/>
      <x:c r="L91" s="776"/>
    </x:row>
    <x:row r="92" ht="22" customHeight="1">
      <x:c r="A92" s="788" t="str">
        <x:v>09 — T3 / T4 → MODELO CANÓNICO · QUÉ SOBREVIVE Y DÓNDE VIVE</x:v>
      </x:c>
      <x:c r="B92" s="788"/>
      <x:c r="C92" s="788"/>
      <x:c r="D92" s="788"/>
      <x:c r="E92" s="788"/>
      <x:c r="F92" s="788"/>
      <x:c r="G92" s="788"/>
      <x:c r="H92" s="788"/>
      <x:c r="I92" s="788"/>
      <x:c r="J92" s="788"/>
      <x:c r="K92" s="788"/>
      <x:c r="L92" s="788"/>
    </x:row>
    <x:row r="93" ht="45" customHeight="1">
      <x:c r="A93" s="791" t="str">
        <x:v>Campo / grupo histórico</x:v>
      </x:c>
      <x:c r="B93" s="791" t="str">
        <x:v>Origen</x:v>
      </x:c>
      <x:c r="C93" s="791" t="str">
        <x:v>Destino canónico</x:v>
      </x:c>
      <x:c r="D93" s="791" t="str">
        <x:v>Decisión</x:v>
      </x:c>
      <x:c r="E93" s="791" t="str">
        <x:v>Nivel</x:v>
      </x:c>
      <x:c r="F93" s="791" t="str">
        <x:v>Nota</x:v>
      </x:c>
      <x:c r="G93" s="776"/>
      <x:c r="H93" s="776"/>
      <x:c r="I93" s="776"/>
      <x:c r="J93" s="776"/>
      <x:c r="K93" s="776"/>
      <x:c r="L93" s="776"/>
    </x:row>
    <x:row r="94" ht="45" customHeight="1">
      <x:c r="A94" s="790" t="str">
        <x:v>Hora inicio / fin / descripción</x:v>
      </x:c>
      <x:c r="B94" s="790" t="str">
        <x:v>T3 + T4</x:v>
      </x:c>
      <x:c r="C94" s="790" t="str">
        <x:v>UnidadEjecución</x:v>
      </x:c>
      <x:c r="D94" s="790" t="str">
        <x:v>Sobrevive estructurado</x:v>
      </x:c>
      <x:c r="E94" s="790" t="str">
        <x:v>Movimiento</x:v>
      </x:c>
      <x:c r="F94" s="790" t="str">
        <x:v>timestamps + detalle</x:v>
      </x:c>
      <x:c r="G94" s="776"/>
      <x:c r="H94" s="776"/>
      <x:c r="I94" s="776"/>
      <x:c r="J94" s="776"/>
      <x:c r="K94" s="776"/>
      <x:c r="L94" s="776"/>
    </x:row>
    <x:row r="95" ht="45" customHeight="1">
      <x:c r="A95" s="790" t="str">
        <x:v>Fecha</x:v>
      </x:c>
      <x:c r="B95" s="790" t="str">
        <x:v>T3 / T4</x:v>
      </x:c>
      <x:c r="C95" s="790" t="str">
        <x:v>fecha_operativa + timestamps</x:v>
      </x:c>
      <x:c r="D95" s="790" t="str">
        <x:v>Se flexibiliza por TipoParte</x:v>
      </x:c>
      <x:c r="E95" s="790" t="str">
        <x:v>Parte/Movimiento</x:v>
      </x:c>
      <x:c r="F95" s="790" t="str">
        <x:v>T3 header; T4 por línea</x:v>
      </x:c>
      <x:c r="G95" s="776"/>
      <x:c r="H95" s="776"/>
      <x:c r="I95" s="776"/>
      <x:c r="J95" s="776"/>
      <x:c r="K95" s="776"/>
      <x:c r="L95" s="776"/>
    </x:row>
    <x:row r="96" ht="45" customHeight="1">
      <x:c r="A96" s="790" t="str">
        <x:v>Camión / acoplado-semi</x:v>
      </x:c>
      <x:c r="B96" s="790" t="str">
        <x:v>T4</x:v>
      </x:c>
      <x:c r="C96" s="790" t="str">
        <x:v>AsignaciónRecurso + rol</x:v>
      </x:c>
      <x:c r="D96" s="790" t="str">
        <x:v>Se deriva de planificación y se confirma</x:v>
      </x:c>
      <x:c r="E96" s="790" t="str">
        <x:v>Parte</x:v>
      </x:c>
      <x:c r="F96" s="790" t="str">
        <x:v>No columnas hardcoded</x:v>
      </x:c>
      <x:c r="G96" s="776"/>
      <x:c r="H96" s="776"/>
      <x:c r="I96" s="776"/>
      <x:c r="J96" s="776"/>
      <x:c r="K96" s="776"/>
      <x:c r="L96" s="776"/>
    </x:row>
    <x:row r="97" ht="45" customHeight="1">
      <x:c r="A97" s="790" t="str">
        <x:v>Equipo</x:v>
      </x:c>
      <x:c r="B97" s="790" t="str">
        <x:v>T3</x:v>
      </x:c>
      <x:c r="C97" s="790" t="str">
        <x:v>ActivoCliente / Ubicación / Recurso ?</x:v>
      </x:c>
      <x:c r="D97" s="790" t="str">
        <x:v>No resolver sin validación V24</x:v>
      </x:c>
      <x:c r="E97" s="790" t="str">
        <x:v>Movimiento</x:v>
      </x:c>
      <x:c r="F97" s="790" t="str">
        <x:v>Ambiguo</x:v>
      </x:c>
      <x:c r="G97" s="776"/>
      <x:c r="H97" s="776"/>
      <x:c r="I97" s="776"/>
      <x:c r="J97" s="776"/>
      <x:c r="K97" s="776"/>
      <x:c r="L97" s="776"/>
    </x:row>
    <x:row r="98" ht="45" customHeight="1">
      <x:c r="A98" s="790" t="str">
        <x:v>Pozo</x:v>
      </x:c>
      <x:c r="B98" s="790" t="str">
        <x:v>T3</x:v>
      </x:c>
      <x:c r="C98" s="790" t="str">
        <x:v>UbicacionTecnica</x:v>
      </x:c>
      <x:c r="D98" s="790" t="str">
        <x:v>Se normaliza</x:v>
      </x:c>
      <x:c r="E98" s="790" t="str">
        <x:v>Movimiento</x:v>
      </x:c>
      <x:c r="F98" s="790" t="str">
        <x:v>rol principal/destino según caso</x:v>
      </x:c>
      <x:c r="G98" s="776"/>
      <x:c r="H98" s="776"/>
      <x:c r="I98" s="776"/>
      <x:c r="J98" s="776"/>
      <x:c r="K98" s="776"/>
      <x:c r="L98" s="776"/>
    </x:row>
    <x:row r="99" ht="45" customHeight="1">
      <x:c r="A99" s="790" t="str">
        <x:v>Reserva</x:v>
      </x:c>
      <x:c r="B99" s="790" t="str">
        <x:v>T3</x:v>
      </x:c>
      <x:c r="C99" s="790" t="str">
        <x:v>reserva_externa</x:v>
      </x:c>
      <x:c r="D99" s="790" t="str">
        <x:v>Sobrevive condicional</x:v>
      </x:c>
      <x:c r="E99" s="790" t="str">
        <x:v>Movimiento</x:v>
      </x:c>
      <x:c r="F99" s="790" t="str">
        <x:v>metadata cliente</x:v>
      </x:c>
      <x:c r="G99" s="776"/>
      <x:c r="H99" s="776"/>
      <x:c r="I99" s="776"/>
      <x:c r="J99" s="776"/>
      <x:c r="K99" s="776"/>
      <x:c r="L99" s="776"/>
    </x:row>
    <x:row r="100" ht="45" customHeight="1">
      <x:c r="A100" s="790" t="str">
        <x:v>Imputación</x:v>
      </x:c>
      <x:c r="B100" s="790" t="str">
        <x:v>T3</x:v>
      </x:c>
      <x:c r="C100" s="790" t="str">
        <x:v>ImputacionEjecucion</x:v>
      </x:c>
      <x:c r="D100" s="790" t="str">
        <x:v>Sobrevive y NO corta</x:v>
      </x:c>
      <x:c r="E100" s="790" t="str">
        <x:v>Movimiento</x:v>
      </x:c>
      <x:c r="F100" s="790" t="str">
        <x:v>puede variar por línea</x:v>
      </x:c>
      <x:c r="G100" s="776"/>
      <x:c r="H100" s="776"/>
      <x:c r="I100" s="776"/>
      <x:c r="J100" s="776"/>
      <x:c r="K100" s="776"/>
      <x:c r="L100" s="776"/>
    </x:row>
    <x:row r="101" ht="45" customHeight="1">
      <x:c r="A101" s="790" t="str">
        <x:v>Cargadero m³</x:v>
      </x:c>
      <x:c r="B101" s="790" t="str">
        <x:v>T4</x:v>
      </x:c>
      <x:c r="C101" s="790" t="str">
        <x:v>EjecucionMedicion</x:v>
      </x:c>
      <x:c r="D101" s="790" t="str">
        <x:v>Se vuelve métrica tipada</x:v>
      </x:c>
      <x:c r="E101" s="790" t="str">
        <x:v>Movimiento</x:v>
      </x:c>
      <x:c r="F101" s="790" t="str">
        <x:v>unidad m³ derivada</x:v>
      </x:c>
      <x:c r="G101" s="776"/>
      <x:c r="H101" s="776"/>
      <x:c r="I101" s="776"/>
      <x:c r="J101" s="776"/>
      <x:c r="K101" s="776"/>
      <x:c r="L101" s="776"/>
    </x:row>
    <x:row r="102" ht="45" customHeight="1">
      <x:c r="A102" s="790" t="str">
        <x:v>Descarga Bat/Eq</x:v>
      </x:c>
      <x:c r="B102" s="790" t="str">
        <x:v>T4</x:v>
      </x:c>
      <x:c r="C102" s="790" t="str">
        <x:v>Ubicación/Activo/Medición ?</x:v>
      </x:c>
      <x:c r="D102" s="790" t="str">
        <x:v>No resolver sin validación V25</x:v>
      </x:c>
      <x:c r="E102" s="790" t="str">
        <x:v>Movimiento</x:v>
      </x:c>
      <x:c r="F102" s="790" t="str">
        <x:v>semántica pendiente</x:v>
      </x:c>
      <x:c r="G102" s="776"/>
      <x:c r="H102" s="776"/>
      <x:c r="I102" s="776"/>
      <x:c r="J102" s="776"/>
      <x:c r="K102" s="776"/>
      <x:c r="L102" s="776"/>
    </x:row>
    <x:row r="103" ht="45" customHeight="1">
      <x:c r="A103" s="790" t="str">
        <x:v>Interno / Nombre / Chofer</x:v>
      </x:c>
      <x:c r="B103" s="790" t="str">
        <x:v>T3/T4</x:v>
      </x:c>
      <x:c r="C103" s="790" t="str">
        <x:v>Persona + AsignacionPersona + rol</x:v>
      </x:c>
      <x:c r="D103" s="790" t="str">
        <x:v>Login/planificación reducen input</x:v>
      </x:c>
      <x:c r="E103" s="790" t="str">
        <x:v>Parte/Movimiento</x:v>
      </x:c>
      <x:c r="F103" s="790" t="str">
        <x:v>rol chofer/ejecutor</x:v>
      </x:c>
      <x:c r="G103" s="776"/>
      <x:c r="H103" s="776"/>
      <x:c r="I103" s="776"/>
      <x:c r="J103" s="776"/>
      <x:c r="K103" s="776"/>
      <x:c r="L103" s="776"/>
    </x:row>
    <x:row r="104" ht="45" customHeight="1">
      <x:c r="A104" s="790" t="str">
        <x:v>Firmas solicitante / cierre</x:v>
      </x:c>
      <x:c r="B104" s="790" t="str">
        <x:v>T3/T4</x:v>
      </x:c>
      <x:c r="C104" s="790" t="str">
        <x:v>Evidencia + actor + rol + alcance</x:v>
      </x:c>
      <x:c r="D104" s="790" t="str">
        <x:v>Se separan por scope</x:v>
      </x:c>
      <x:c r="E104" s="790" t="str">
        <x:v>Movimiento/Parte</x:v>
      </x:c>
      <x:c r="F104" s="790" t="str">
        <x:v>T3 parece por línea; T4 cierre</x:v>
      </x:c>
      <x:c r="G104" s="776"/>
      <x:c r="H104" s="776"/>
      <x:c r="I104" s="776"/>
      <x:c r="J104" s="776"/>
      <x:c r="K104" s="776"/>
      <x:c r="L104" s="776"/>
    </x:row>
    <x:row r="105" ht="45" customHeight="1">
      <x:c r="A105" s="790" t="str">
        <x:v>Observaciones</x:v>
      </x:c>
      <x:c r="B105" s="790" t="str">
        <x:v>T3/T4</x:v>
      </x:c>
      <x:c r="C105" s="790" t="str">
        <x:v>observacion_excepcion</x:v>
      </x:c>
      <x:c r="D105" s="790" t="str">
        <x:v>Solo excepción</x:v>
      </x:c>
      <x:c r="E105" s="790" t="str">
        <x:v>Parte/Movimiento</x:v>
      </x:c>
      <x:c r="F105" s="790" t="str">
        <x:v>evitar texto repetitivo</x:v>
      </x:c>
      <x:c r="G105" s="776"/>
      <x:c r="H105" s="776"/>
      <x:c r="I105" s="776"/>
      <x:c r="J105" s="776"/>
      <x:c r="K105" s="776"/>
      <x:c r="L105" s="776"/>
    </x:row>
    <x:row r="106">
      <x:c r="A106" s="776"/>
      <x:c r="B106" s="776"/>
      <x:c r="C106" s="776"/>
      <x:c r="D106" s="776"/>
      <x:c r="E106" s="776"/>
      <x:c r="F106" s="776"/>
      <x:c r="G106" s="776"/>
      <x:c r="H106" s="776"/>
      <x:c r="I106" s="776"/>
      <x:c r="J106" s="776"/>
      <x:c r="K106" s="776"/>
      <x:c r="L106" s="776"/>
    </x:row>
    <x:row r="107" ht="22" customHeight="1">
      <x:c r="A107" s="788" t="str">
        <x:v>10 — VALIDACIONES ABIERTAS · SOLO LAS QUE PUEDEN CAMBIAR EL MODELO</x:v>
      </x:c>
      <x:c r="B107" s="788"/>
      <x:c r="C107" s="788"/>
      <x:c r="D107" s="788"/>
      <x:c r="E107" s="788"/>
      <x:c r="F107" s="788"/>
      <x:c r="G107" s="788"/>
      <x:c r="H107" s="788"/>
      <x:c r="I107" s="788"/>
      <x:c r="J107" s="788"/>
      <x:c r="K107" s="788"/>
      <x:c r="L107" s="788"/>
    </x:row>
    <x:row r="108" ht="46" customHeight="1">
      <x:c r="A108" s="791" t="str">
        <x:v>ID</x:v>
      </x:c>
      <x:c r="B108" s="791" t="str">
        <x:v>Tema</x:v>
      </x:c>
      <x:c r="C108" s="791" t="str">
        <x:v>Pregunta</x:v>
      </x:c>
      <x:c r="D108" s="791" t="str">
        <x:v>Quién responde</x:v>
      </x:c>
      <x:c r="E108" s="791" t="str">
        <x:v>Prioridad</x:v>
      </x:c>
      <x:c r="F108" s="791" t="str">
        <x:v>Impacto</x:v>
      </x:c>
      <x:c r="G108" s="776"/>
      <x:c r="H108" s="776"/>
      <x:c r="I108" s="776"/>
      <x:c r="J108" s="776"/>
      <x:c r="K108" s="776"/>
      <x:c r="L108" s="776"/>
    </x:row>
    <x:row r="109" ht="46" customHeight="1">
      <x:c r="A109" s="790" t="str">
        <x:v>V-TP02-01</x:v>
      </x:c>
      <x:c r="B109" s="790" t="str">
        <x:v>Frontera temporal</x:v>
      </x:c>
      <x:c r="C109" s="790" t="str">
        <x:v>¿Puede un TP-02 abarcar más de una fecha/turno?</x:v>
      </x:c>
      <x:c r="D109" s="790" t="str">
        <x:v>Operaciones transporte</x:v>
      </x:c>
      <x:c r="E109" s="790" t="str">
        <x:v>Alta</x:v>
      </x:c>
      <x:c r="F109" s="790" t="str">
        <x:v>Identidad/cierre</x:v>
      </x:c>
      <x:c r="G109" s="776"/>
      <x:c r="H109" s="776"/>
      <x:c r="I109" s="776"/>
      <x:c r="J109" s="776"/>
      <x:c r="K109" s="776"/>
      <x:c r="L109" s="776"/>
    </x:row>
    <x:row r="110" ht="46" customHeight="1">
      <x:c r="A110" s="790" t="str">
        <x:v>V-TP02-02</x:v>
      </x:c>
      <x:c r="B110" s="790" t="str">
        <x:v>Recurso principal</x:v>
      </x:c>
      <x:c r="C110" s="790" t="str">
        <x:v>¿Reemplazo de camión corta o continúa trazado?</x:v>
      </x:c>
      <x:c r="D110" s="790" t="str">
        <x:v>Operaciones transporte</x:v>
      </x:c>
      <x:c r="E110" s="790" t="str">
        <x:v>Crítica</x:v>
      </x:c>
      <x:c r="F110" s="790" t="str">
        <x:v>Regla de corte</x:v>
      </x:c>
      <x:c r="G110" s="776"/>
      <x:c r="H110" s="776"/>
      <x:c r="I110" s="776"/>
      <x:c r="J110" s="776"/>
      <x:c r="K110" s="776"/>
      <x:c r="L110" s="776"/>
    </x:row>
    <x:row r="111" ht="46" customHeight="1">
      <x:c r="A111" s="790" t="str">
        <x:v>V-TP02-03</x:v>
      </x:c>
      <x:c r="B111" s="790" t="str">
        <x:v>Acoplado/Semi</x:v>
      </x:c>
      <x:c r="C111" s="790" t="str">
        <x:v>¿Cambiar semi/acoplado corta el Parte?</x:v>
      </x:c>
      <x:c r="D111" s="790" t="str">
        <x:v>Operaciones transporte</x:v>
      </x:c>
      <x:c r="E111" s="790" t="str">
        <x:v>Alta</x:v>
      </x:c>
      <x:c r="F111" s="790" t="str">
        <x:v>Configuración recursos</x:v>
      </x:c>
      <x:c r="G111" s="776"/>
      <x:c r="H111" s="776"/>
      <x:c r="I111" s="776"/>
      <x:c r="J111" s="776"/>
      <x:c r="K111" s="776"/>
      <x:c r="L111" s="776"/>
    </x:row>
    <x:row r="112" ht="46" customHeight="1">
      <x:c r="A112" s="790" t="str">
        <x:v>V-TP02-04</x:v>
      </x:c>
      <x:c r="B112" s="790" t="str">
        <x:v>Equipo T3</x:v>
      </x:c>
      <x:c r="C112" s="790" t="str">
        <x:v>¿Recurso VDS, activo cliente o destino?</x:v>
      </x:c>
      <x:c r="D112" s="790" t="str">
        <x:v>Operaciones transporte</x:v>
      </x:c>
      <x:c r="E112" s="790" t="str">
        <x:v>Crítica</x:v>
      </x:c>
      <x:c r="F112" s="790" t="str">
        <x:v>Entidad correcta</x:v>
      </x:c>
      <x:c r="G112" s="776"/>
      <x:c r="H112" s="776"/>
      <x:c r="I112" s="776"/>
      <x:c r="J112" s="776"/>
      <x:c r="K112" s="776"/>
      <x:c r="L112" s="776"/>
    </x:row>
    <x:row r="113" ht="46" customHeight="1">
      <x:c r="A113" s="790" t="str">
        <x:v>V-TP02-05</x:v>
      </x:c>
      <x:c r="B113" s="790" t="str">
        <x:v>Descarga T4</x:v>
      </x:c>
      <x:c r="C113" s="790" t="str">
        <x:v>¿Destino/activo/cantidad u otra referencia?</x:v>
      </x:c>
      <x:c r="D113" s="790" t="str">
        <x:v>Operaciones transporte</x:v>
      </x:c>
      <x:c r="E113" s="790" t="str">
        <x:v>Crítica</x:v>
      </x:c>
      <x:c r="F113" s="790" t="str">
        <x:v>Ubicación/medición</x:v>
      </x:c>
      <x:c r="G113" s="776"/>
      <x:c r="H113" s="776"/>
      <x:c r="I113" s="776"/>
      <x:c r="J113" s="776"/>
      <x:c r="K113" s="776"/>
      <x:c r="L113" s="776"/>
    </x:row>
    <x:row r="114" ht="46" customHeight="1">
      <x:c r="A114" s="790" t="str">
        <x:v>V-TP02-06</x:v>
      </x:c>
      <x:c r="B114" s="790" t="str">
        <x:v>Firmas</x:v>
      </x:c>
      <x:c r="C114" s="790" t="str">
        <x:v>¿Qué valida cada firma y a qué alcance?</x:v>
      </x:c>
      <x:c r="D114" s="790" t="str">
        <x:v>Operaciones/Contratos</x:v>
      </x:c>
      <x:c r="E114" s="790" t="str">
        <x:v>Crítica</x:v>
      </x:c>
      <x:c r="F114" s="790" t="str">
        <x:v>Evidencia/cierre</x:v>
      </x:c>
      <x:c r="G114" s="776"/>
      <x:c r="H114" s="776"/>
      <x:c r="I114" s="776"/>
      <x:c r="J114" s="776"/>
      <x:c r="K114" s="776"/>
      <x:c r="L114" s="776"/>
    </x:row>
    <x:row r="115" ht="46" customHeight="1">
      <x:c r="A115" s="790" t="str">
        <x:v>V-TP02-07</x:v>
      </x:c>
      <x:c r="B115" s="790" t="str">
        <x:v>Permisos</x:v>
      </x:c>
      <x:c r="C115" s="790" t="str">
        <x:v>¿Qué movimientos requieren PermisoTrabajo?</x:v>
      </x:c>
      <x:c r="D115" s="790" t="str">
        <x:v>Habilita/Operaciones</x:v>
      </x:c>
      <x:c r="E115" s="790" t="str">
        <x:v>Alta</x:v>
      </x:c>
      <x:c r="F115" s="790" t="str">
        <x:v>Gate seguridad</x:v>
      </x:c>
      <x:c r="G115" s="776"/>
      <x:c r="H115" s="776"/>
      <x:c r="I115" s="776"/>
      <x:c r="J115" s="776"/>
      <x:c r="K115" s="776"/>
      <x:c r="L115" s="776"/>
    </x:row>
    <x:row r="116" ht="46" customHeight="1">
      <x:c r="A116" s="790" t="str">
        <x:v>V-TP02-08</x:v>
      </x:c>
      <x:c r="B116" s="790" t="str">
        <x:v>Fin asignación</x:v>
      </x:c>
      <x:c r="C116" s="790" t="str">
        <x:v>¿Qué evento termina la secuencia de movimientos?</x:v>
      </x:c>
      <x:c r="D116" s="790" t="str">
        <x:v>Operaciones transporte</x:v>
      </x:c>
      <x:c r="E116" s="790" t="str">
        <x:v>Alta</x:v>
      </x:c>
      <x:c r="F116" s="790" t="str">
        <x:v>Cierre Parte</x:v>
      </x:c>
      <x:c r="G116" s="776"/>
      <x:c r="H116" s="776"/>
      <x:c r="I116" s="776"/>
      <x:c r="J116" s="776"/>
      <x:c r="K116" s="776"/>
      <x:c r="L116" s="776"/>
    </x:row>
  </x:sheetData>
  <x:mergeCells>
    <x:mergeCell ref="A1:L1"/>
    <x:mergeCell ref="A2:L2"/>
    <x:mergeCell ref="A4:L4"/>
    <x:mergeCell ref="A5:B8"/>
    <x:mergeCell ref="D5:E8"/>
    <x:mergeCell ref="G5:H8"/>
    <x:mergeCell ref="J5:L8"/>
    <x:mergeCell ref="A10:F12"/>
    <x:mergeCell ref="H10:L12"/>
    <x:mergeCell ref="A14:L14"/>
    <x:mergeCell ref="A23:L23"/>
    <x:mergeCell ref="A38:L38"/>
    <x:mergeCell ref="A51:L51"/>
    <x:mergeCell ref="A60:L60"/>
    <x:mergeCell ref="A62:B65"/>
    <x:mergeCell ref="D62:E65"/>
    <x:mergeCell ref="G62:H65"/>
    <x:mergeCell ref="J62:K65"/>
    <x:mergeCell ref="J67:L70"/>
    <x:mergeCell ref="A67:F70"/>
    <x:mergeCell ref="A72:L74"/>
    <x:mergeCell ref="A76:L76"/>
    <x:mergeCell ref="A80:F83"/>
    <x:mergeCell ref="H80:L83"/>
    <x:mergeCell ref="A85:L85"/>
    <x:mergeCell ref="H86:L90"/>
    <x:mergeCell ref="A92:L92"/>
    <x:mergeCell ref="A107:L107"/>
  </x:mergeCells>
  <x:pageMargins left="0.7" right="0.7" top="0.75" bottom="0.75" header="0.3" footer="0.3"/>
</x:worksheet>
</file>

<file path=xl/worksheets/sheet16.xml><?xml version="1.0" encoding="utf-8"?>
<x:worksheet xmlns:x="http://schemas.openxmlformats.org/spreadsheetml/2006/main">
  <x:sheetFormatPr defaultRowHeight="15"/>
  <x:cols>
    <x:col min="1" max="1" width="14" hidden="0" customWidth="1"/>
    <x:col min="2" max="2" width="17" hidden="0" customWidth="1"/>
    <x:col min="3" max="3" width="4" hidden="0" customWidth="1"/>
    <x:col min="4" max="4" width="17" hidden="0" customWidth="1"/>
    <x:col min="5" max="5" width="4" hidden="0" customWidth="1"/>
    <x:col min="6" max="6" width="20" hidden="0" customWidth="1"/>
    <x:col min="7" max="7" width="4" hidden="0" customWidth="1"/>
    <x:col min="8" max="8" width="18" hidden="0" customWidth="1"/>
    <x:col min="9" max="9" width="4" hidden="0" customWidth="1"/>
    <x:col min="10" max="10" width="20" hidden="0" customWidth="1"/>
    <x:col min="11" max="11" width="4" hidden="0" customWidth="1"/>
    <x:col min="12" max="12" width="20" hidden="0" customWidth="1"/>
    <x:col min="13" max="13" width="4" hidden="0" customWidth="1"/>
    <x:col min="14" max="14" width="22" hidden="0" customWidth="1"/>
  </x:cols>
  <x:sheetData>
    <x:row r="1" ht="30" customHeight="1">
      <x:c r="A1" s="809" t="str">
        <x:v>MAPA CONTRACTUAL v0 · CAPA DE CONFIGURACIÓN DEL SISTEMA DE PARTES VDS</x:v>
      </x:c>
      <x:c r="B1" s="809"/>
      <x:c r="C1" s="809"/>
      <x:c r="D1" s="809"/>
      <x:c r="E1" s="809"/>
      <x:c r="F1" s="809"/>
      <x:c r="G1" s="809"/>
      <x:c r="H1" s="809"/>
      <x:c r="I1" s="809"/>
      <x:c r="J1" s="809"/>
      <x:c r="K1" s="809"/>
      <x:c r="L1" s="809"/>
      <x:c r="M1" s="809"/>
      <x:c r="N1" s="809"/>
    </x:row>
    <x:row r="2" ht="34" customHeight="1">
      <x:c r="A2" s="811" t="str">
        <x:v>Fuente: Seguimiento_Contratos_Partes.xlsx + Info VDS (1).xlsx + aclaración de negocio: CC26/CC27/CC80 = Centros de Costo. El mapa separa EVIDENCIA DE FUENTE de HIPÓTESIS DE MODELO; no inventa contratos aún no recibidos.</x:v>
      </x:c>
      <x:c r="B2" s="811"/>
      <x:c r="C2" s="811"/>
      <x:c r="D2" s="811"/>
      <x:c r="E2" s="811"/>
      <x:c r="F2" s="811"/>
      <x:c r="G2" s="811"/>
      <x:c r="H2" s="811"/>
      <x:c r="I2" s="811"/>
      <x:c r="J2" s="811"/>
      <x:c r="K2" s="811"/>
      <x:c r="L2" s="811"/>
      <x:c r="M2" s="811"/>
      <x:c r="N2" s="811"/>
    </x:row>
    <x:row r="4" ht="22" customHeight="1">
      <x:c r="A4" s="814" t="str">
        <x:v>00 — CADENA CONTRACTUAL CANÓNICA · PROPUESTA DE MODELO</x:v>
      </x:c>
      <x:c r="B4" s="814"/>
      <x:c r="C4" s="814"/>
      <x:c r="D4" s="814"/>
      <x:c r="E4" s="814"/>
      <x:c r="F4" s="814"/>
      <x:c r="G4" s="814"/>
      <x:c r="H4" s="814"/>
      <x:c r="I4" s="814"/>
      <x:c r="J4" s="814"/>
      <x:c r="K4" s="814"/>
      <x:c r="L4" s="814"/>
      <x:c r="M4" s="814"/>
      <x:c r="N4" s="814"/>
    </x:row>
    <x:row r="6">
      <x:c r="A6" s="834" t="str">
        <x:v>CLIENTE /
CONTRAPARTE
catálogo</x:v>
      </x:c>
      <x:c r="B6" s="835"/>
      <x:c r="D6" s="861" t="str">
        <x:v>CONTRATO
acuerdo real
(pendiente fuente)</x:v>
      </x:c>
      <x:c r="E6" s="862"/>
      <x:c r="G6" s="861" t="str">
        <x:v>CONTRATO
VERSION
vigencia / adenda</x:v>
      </x:c>
      <x:c r="H6" s="862"/>
      <x:c r="J6" s="887" t="str">
        <x:v>CONTRATO
SERVICIO
nodo configurador</x:v>
      </x:c>
      <x:c r="K6" s="888"/>
      <x:c r="M6" s="887" t="str">
        <x:v>WORKFLOW
CONTRACTUAL
ruteo · evidencia ·
cadencias</x:v>
      </x:c>
      <x:c r="N6" s="888"/>
    </x:row>
    <x:row r="7">
      <x:c r="A7" s="836"/>
      <x:c r="B7" s="837"/>
      <x:c r="C7" s="840" t="str">
        <x:v>→</x:v>
      </x:c>
      <x:c r="D7" s="863"/>
      <x:c r="E7" s="864"/>
      <x:c r="F7" s="840" t="str">
        <x:v>→</x:v>
      </x:c>
      <x:c r="G7" s="863"/>
      <x:c r="H7" s="864"/>
      <x:c r="I7" s="840" t="str">
        <x:v>→</x:v>
      </x:c>
      <x:c r="J7" s="889"/>
      <x:c r="K7" s="890"/>
      <x:c r="L7" s="840" t="str">
        <x:v>→</x:v>
      </x:c>
      <x:c r="M7" s="889"/>
      <x:c r="N7" s="890"/>
    </x:row>
    <x:row r="8">
      <x:c r="A8" s="836"/>
      <x:c r="B8" s="837"/>
      <x:c r="D8" s="863"/>
      <x:c r="E8" s="864"/>
      <x:c r="G8" s="863"/>
      <x:c r="H8" s="864"/>
      <x:c r="J8" s="889"/>
      <x:c r="K8" s="890"/>
      <x:c r="M8" s="889"/>
      <x:c r="N8" s="890"/>
    </x:row>
    <x:row r="9">
      <x:c r="A9" s="838"/>
      <x:c r="B9" s="839"/>
      <x:c r="D9" s="865"/>
      <x:c r="E9" s="866"/>
      <x:c r="G9" s="865"/>
      <x:c r="H9" s="866"/>
      <x:c r="J9" s="891"/>
      <x:c r="K9" s="892"/>
      <x:c r="M9" s="891"/>
      <x:c r="N9" s="892"/>
    </x:row>
    <x:row r="11">
      <x:c r="J11" s="736" t="str">
        <x:v>↓</x:v>
      </x:c>
    </x:row>
    <x:row r="12">
      <x:c r="H12" s="834" t="str">
        <x:v>CENTRO DE COSTO
CC26 · CC27 · CC80
(imputación)</x:v>
      </x:c>
      <x:c r="I12" s="902"/>
      <x:c r="J12" s="835"/>
      <x:c r="K12" s="834" t="str">
        <x:v>ITEM CONTRATO
↓
UNIDAD MEDIDA
↓
REGLA MEDICIÓN</x:v>
      </x:c>
      <x:c r="L12" s="902"/>
      <x:c r="M12" s="902"/>
      <x:c r="N12" s="835"/>
    </x:row>
    <x:row r="13">
      <x:c r="H13" s="836"/>
      <x:c r="I13" s="903"/>
      <x:c r="J13" s="837"/>
      <x:c r="K13" s="836"/>
      <x:c r="L13" s="903"/>
      <x:c r="M13" s="903"/>
      <x:c r="N13" s="837"/>
    </x:row>
    <x:row r="14">
      <x:c r="H14" s="836"/>
      <x:c r="I14" s="903"/>
      <x:c r="J14" s="837"/>
      <x:c r="K14" s="836"/>
      <x:c r="L14" s="903"/>
      <x:c r="M14" s="903"/>
      <x:c r="N14" s="837"/>
    </x:row>
    <x:row r="15">
      <x:c r="H15" s="838"/>
      <x:c r="I15" s="904"/>
      <x:c r="J15" s="839"/>
      <x:c r="K15" s="838"/>
      <x:c r="L15" s="904"/>
      <x:c r="M15" s="904"/>
      <x:c r="N15" s="839"/>
    </x:row>
    <x:row r="17">
      <x:c r="A17" s="905" t="str">
        <x:v>REGLAS QUE CUELGAN DE CONTRATO_SERVICIO</x:v>
      </x:c>
      <x:c r="B17" s="905"/>
      <x:c r="C17" s="905"/>
      <x:c r="D17" s="905"/>
      <x:c r="E17" s="905"/>
      <x:c r="F17" s="905"/>
      <x:c r="G17" s="905"/>
      <x:c r="H17" s="905"/>
      <x:c r="I17" s="905"/>
      <x:c r="J17" s="905"/>
      <x:c r="K17" s="905"/>
      <x:c r="L17" s="905"/>
      <x:c r="M17" s="905"/>
      <x:c r="N17" s="905"/>
    </x:row>
    <x:row r="19">
      <x:c r="A19" s="935" t="str">
        <x:v>RUTA DE
PLANIFICACIÓN
quién planifica</x:v>
      </x:c>
      <x:c r="B19" s="936"/>
      <x:c r="C19" s="937"/>
      <x:c r="D19" s="935" t="str">
        <x:v>RUTA / TIPO
DE PARTE
quién genera</x:v>
      </x:c>
      <x:c r="E19" s="936"/>
      <x:c r="F19" s="937"/>
      <x:c r="G19" s="935" t="str">
        <x:v>EVIDENCIA /
FIRMA
quién valida</x:v>
      </x:c>
      <x:c r="H19" s="936"/>
      <x:c r="I19" s="937"/>
      <x:c r="J19" s="935" t="str">
        <x:v>AGRUPACIÓN
CERTIFICACIÓN
cómo agrupar</x:v>
      </x:c>
      <x:c r="K19" s="936"/>
      <x:c r="L19" s="937"/>
      <x:c r="M19" s="935" t="str">
        <x:v>CADENCIAS
parte / firma /
certificación</x:v>
      </x:c>
      <x:c r="N19" s="937"/>
    </x:row>
    <x:row r="20">
      <x:c r="A20" s="938"/>
      <x:c r="B20" s="939"/>
      <x:c r="C20" s="940"/>
      <x:c r="D20" s="938"/>
      <x:c r="E20" s="939"/>
      <x:c r="F20" s="940"/>
      <x:c r="G20" s="938"/>
      <x:c r="H20" s="939"/>
      <x:c r="I20" s="940"/>
      <x:c r="J20" s="938"/>
      <x:c r="K20" s="939"/>
      <x:c r="L20" s="940"/>
      <x:c r="M20" s="938"/>
      <x:c r="N20" s="940"/>
    </x:row>
    <x:row r="21">
      <x:c r="A21" s="938"/>
      <x:c r="B21" s="939"/>
      <x:c r="C21" s="940"/>
      <x:c r="D21" s="938"/>
      <x:c r="E21" s="939"/>
      <x:c r="F21" s="940"/>
      <x:c r="G21" s="938"/>
      <x:c r="H21" s="939"/>
      <x:c r="I21" s="940"/>
      <x:c r="J21" s="938"/>
      <x:c r="K21" s="939"/>
      <x:c r="L21" s="940"/>
      <x:c r="M21" s="938"/>
      <x:c r="N21" s="940"/>
    </x:row>
    <x:row r="22">
      <x:c r="A22" s="941"/>
      <x:c r="B22" s="942"/>
      <x:c r="C22" s="943"/>
      <x:c r="D22" s="941"/>
      <x:c r="E22" s="942"/>
      <x:c r="F22" s="943"/>
      <x:c r="G22" s="941"/>
      <x:c r="H22" s="942"/>
      <x:c r="I22" s="943"/>
      <x:c r="J22" s="941"/>
      <x:c r="K22" s="942"/>
      <x:c r="L22" s="943"/>
      <x:c r="M22" s="941"/>
      <x:c r="N22" s="943"/>
    </x:row>
    <x:row r="24">
      <x:c r="A24" s="813" t="str">
        <x:v>01 — HALLAZGOS QUE YA ESTÁN SOPORTADOS POR LOS ARCHIVOS</x:v>
      </x:c>
      <x:c r="B24" s="813"/>
      <x:c r="C24" s="813"/>
      <x:c r="D24" s="813"/>
      <x:c r="E24" s="813"/>
      <x:c r="F24" s="813"/>
      <x:c r="G24" s="813"/>
      <x:c r="H24" s="813"/>
      <x:c r="I24" s="813"/>
      <x:c r="J24" s="813"/>
      <x:c r="K24" s="813"/>
      <x:c r="L24" s="813"/>
      <x:c r="M24" s="813"/>
      <x:c r="N24" s="813"/>
    </x:row>
    <x:row r="25" ht="50" customHeight="1">
      <x:c r="A25" s="1004" t="str">
        <x:v>ID</x:v>
      </x:c>
      <x:c r="B25" s="1005" t="str">
        <x:v>Hallazgo</x:v>
      </x:c>
      <x:c r="C25" s="1005"/>
      <x:c r="D25" s="1005"/>
      <x:c r="E25" s="1005" t="str">
        <x:v>Evidencia / interpretación</x:v>
      </x:c>
      <x:c r="F25" s="1005"/>
      <x:c r="G25" s="1005"/>
      <x:c r="H25" s="1005"/>
      <x:c r="I25" s="1005"/>
      <x:c r="J25" s="1005"/>
      <x:c r="K25" s="1005" t="str">
        <x:v>Estado</x:v>
      </x:c>
      <x:c r="L25" s="1005"/>
      <x:c r="M25" s="1005"/>
      <x:c r="N25" s="1006"/>
    </x:row>
    <x:row r="26" ht="44" customHeight="1">
      <x:c r="A26" s="1007" t="str">
        <x:v>F-01</x:v>
      </x:c>
      <x:c r="B26" s="1008" t="str">
        <x:v>Centro de Costo ≠ Contrato</x:v>
      </x:c>
      <x:c r="C26" s="1008"/>
      <x:c r="D26" s="1008"/>
      <x:c r="E26" s="1008" t="str">
        <x:v>CC26 / CC27 / CC80 son Centros de Costo según validación de negocio.</x:v>
      </x:c>
      <x:c r="F26" s="1005"/>
      <x:c r="G26" s="1005"/>
      <x:c r="H26" s="1005"/>
      <x:c r="I26" s="1005"/>
      <x:c r="J26" s="1005"/>
      <x:c r="K26" s="1008" t="str">
        <x:v>Cerrado por negocio</x:v>
      </x:c>
      <x:c r="L26" s="1008"/>
      <x:c r="M26" s="1008"/>
      <x:c r="N26" s="1009"/>
    </x:row>
    <x:row r="27" ht="44" customHeight="1">
      <x:c r="A27" s="1007" t="str">
        <x:v>F-02</x:v>
      </x:c>
      <x:c r="B27" s="1008" t="str">
        <x:v>centrocosto_id necesita tabla maestra</x:v>
      </x:c>
      <x:c r="C27" s="1008"/>
      <x:c r="D27" s="1008"/>
      <x:c r="E27" s="1008" t="str">
        <x:v>Info VDS muestra centrocosto_id, pero la relación con códigos CCxx no es 1:1 evidente en la muestra; no derivar hasta obtener maestro.</x:v>
      </x:c>
      <x:c r="F27" s="1008"/>
      <x:c r="G27" s="1008"/>
      <x:c r="H27" s="1008"/>
      <x:c r="I27" s="1008"/>
      <x:c r="J27" s="1008"/>
      <x:c r="K27" s="1008" t="str">
        <x:v>Fuente parcial</x:v>
      </x:c>
      <x:c r="L27" s="1008"/>
      <x:c r="M27" s="1008"/>
      <x:c r="N27" s="1009"/>
    </x:row>
    <x:row r="28" ht="44" customHeight="1">
      <x:c r="A28" s="1007" t="str">
        <x:v>F-03</x:v>
      </x:c>
      <x:c r="B28" s="1008" t="str">
        <x:v>Nombres actuales son compuestos</x:v>
      </x:c>
      <x:c r="C28" s="1008"/>
      <x:c r="D28" s="1008"/>
      <x:c r="E28" s="1008" t="str">
        <x:v>Ej.: PECOM-PULLING-CC80 mezcla cliente/contexto + servicio + Centro de Costo en una sola descripción.</x:v>
      </x:c>
      <x:c r="F28" s="1008"/>
      <x:c r="G28" s="1008"/>
      <x:c r="H28" s="1008"/>
      <x:c r="I28" s="1008"/>
      <x:c r="J28" s="1008"/>
      <x:c r="K28" s="1008" t="str">
        <x:v>Fuente directa + interpretación</x:v>
      </x:c>
      <x:c r="L28" s="1008"/>
      <x:c r="M28" s="1008"/>
      <x:c r="N28" s="1009"/>
    </x:row>
    <x:row r="29" ht="44" customHeight="1">
      <x:c r="A29" s="1007" t="str">
        <x:v>F-04</x:v>
      </x:c>
      <x:c r="B29" s="1008" t="str">
        <x:v>Frecuencia no es una sola cosa</x:v>
      </x:c>
      <x:c r="C29" s="1008"/>
      <x:c r="D29" s="1008"/>
      <x:c r="E29" s="1008" t="str">
        <x:v>Hay Partes diarios/semanales y firmas/envíos que ocurren días después; separar cadencia Parte, conformidad y Certificación.</x:v>
      </x:c>
      <x:c r="F29" s="1008"/>
      <x:c r="G29" s="1008"/>
      <x:c r="H29" s="1008"/>
      <x:c r="I29" s="1008"/>
      <x:c r="J29" s="1008"/>
      <x:c r="K29" s="1008" t="str">
        <x:v>Fuente directa</x:v>
      </x:c>
      <x:c r="L29" s="1008"/>
      <x:c r="M29" s="1008"/>
      <x:c r="N29" s="1009"/>
    </x:row>
    <x:row r="30" ht="44" customHeight="1">
      <x:c r="A30" s="1007" t="str">
        <x:v>F-05</x:v>
      </x:c>
      <x:c r="B30" s="1008" t="str">
        <x:v>Certificación no es necesariamente 1:1</x:v>
      </x:c>
      <x:c r="C30" s="1008"/>
      <x:c r="D30" s="1008"/>
      <x:c r="E30" s="1008" t="str">
        <x:v>CC27 agrupa Partes por pozo antes de firma/certificación; necesitamos una regla/lote de agrupación.</x:v>
      </x:c>
      <x:c r="F30" s="1008"/>
      <x:c r="G30" s="1008"/>
      <x:c r="H30" s="1008"/>
      <x:c r="I30" s="1008"/>
      <x:c r="J30" s="1008"/>
      <x:c r="K30" s="1008" t="str">
        <x:v>Fuente directa</x:v>
      </x:c>
      <x:c r="L30" s="1008"/>
      <x:c r="M30" s="1008"/>
      <x:c r="N30" s="1009"/>
    </x:row>
    <x:row r="31" ht="44" customHeight="1">
      <x:c r="A31" s="1007" t="str">
        <x:v>F-06</x:v>
      </x:c>
      <x:c r="B31" s="1008" t="str">
        <x:v>Cierre operativo ≠ conformidad</x:v>
      </x:c>
      <x:c r="C31" s="1008"/>
      <x:c r="D31" s="1008"/>
      <x:c r="E31" s="1008" t="str">
        <x:v>Varias filas indican que el Parte se ejecuta y la firma se obtiene al día siguiente o varios días después.</x:v>
      </x:c>
      <x:c r="F31" s="1008"/>
      <x:c r="G31" s="1008"/>
      <x:c r="H31" s="1008"/>
      <x:c r="I31" s="1008"/>
      <x:c r="J31" s="1008"/>
      <x:c r="K31" s="1008" t="str">
        <x:v>Fuente directa</x:v>
      </x:c>
      <x:c r="L31" s="1008"/>
      <x:c r="M31" s="1008"/>
      <x:c r="N31" s="1009"/>
    </x:row>
    <x:row r="32" ht="44" customHeight="1">
      <x:c r="A32" s="1007" t="str">
        <x:v>F-07</x:v>
      </x:c>
      <x:c r="B32" s="1008" t="str">
        <x:v>Workflow depende del contexto contractual</x:v>
      </x:c>
      <x:c r="C32" s="1008"/>
      <x:c r="D32" s="1008"/>
      <x:c r="E32" s="1008" t="str">
        <x:v>Quién planifica, quién genera, quién firma, medio y siguiente paso cambian entre filas.</x:v>
      </x:c>
      <x:c r="F32" s="1008"/>
      <x:c r="G32" s="1008"/>
      <x:c r="H32" s="1008"/>
      <x:c r="I32" s="1008"/>
      <x:c r="J32" s="1008"/>
      <x:c r="K32" s="1008" t="str">
        <x:v>Fuente directa</x:v>
      </x:c>
      <x:c r="L32" s="1008"/>
      <x:c r="M32" s="1008"/>
      <x:c r="N32" s="1009"/>
    </x:row>
    <x:row r="34">
      <x:c r="A34" s="813" t="str">
        <x:v>02 — PATRONES DE WORKFLOW OBSERVADOS</x:v>
      </x:c>
      <x:c r="B34" s="813"/>
      <x:c r="C34" s="813"/>
      <x:c r="D34" s="813"/>
      <x:c r="E34" s="813"/>
      <x:c r="F34" s="813"/>
      <x:c r="G34" s="813"/>
      <x:c r="H34" s="813"/>
      <x:c r="I34" s="813"/>
      <x:c r="J34" s="813"/>
      <x:c r="K34" s="813"/>
      <x:c r="L34" s="813"/>
      <x:c r="M34" s="813"/>
      <x:c r="N34" s="813"/>
    </x:row>
    <x:row r="35">
      <x:c r="A35" s="1004" t="str">
        <x:v>WF</x:v>
      </x:c>
      <x:c r="B35" s="1005" t="str">
        <x:v>Patrón</x:v>
      </x:c>
      <x:c r="C35" s="1005"/>
      <x:c r="D35" s="1005"/>
      <x:c r="E35" s="1005" t="str">
        <x:v>Casos fuente</x:v>
      </x:c>
      <x:c r="F35" s="1005"/>
      <x:c r="G35" s="1005"/>
      <x:c r="H35" s="1005" t="str">
        <x:v>Circuito observado</x:v>
      </x:c>
      <x:c r="I35" s="1005"/>
      <x:c r="J35" s="1005"/>
      <x:c r="K35" s="1005"/>
      <x:c r="L35" s="1005" t="str">
        <x:v>Impacto modelo</x:v>
      </x:c>
      <x:c r="M35" s="1005"/>
      <x:c r="N35" s="1006"/>
    </x:row>
    <x:row r="36" ht="58" customHeight="1">
      <x:c r="A36" s="1004" t="str">
        <x:v>WF-A</x:v>
      </x:c>
      <x:c r="B36" s="1005" t="str">
        <x:v>Mantenimiento multi-frente</x:v>
      </x:c>
      <x:c r="C36" s="1005"/>
      <x:c r="D36" s="1008"/>
      <x:c r="E36" s="1011" t="str">
        <x:v>PECOM — Mantenimiento</x:v>
      </x:c>
      <x:c r="F36" s="1012"/>
      <x:c r="G36" s="1012"/>
      <x:c r="H36" s="1012" t="str">
        <x:v>Cuadrilla/encargado genera en papel; aprobador varía por ubicación; firmas pueden tardar días.</x:v>
      </x:c>
      <x:c r="I36" s="1012"/>
      <x:c r="J36" s="1012"/>
      <x:c r="K36" s="1012"/>
      <x:c r="L36" s="1012" t="str">
        <x:v>Modelo debe soportar evidencia por unidad/frente.</x:v>
      </x:c>
      <x:c r="M36" s="1012"/>
      <x:c r="N36" s="1013"/>
    </x:row>
    <x:row r="37" ht="58" customHeight="1">
      <x:c r="A37" s="1007" t="str">
        <x:v>WF-B</x:v>
      </x:c>
      <x:c r="B37" s="1008" t="str">
        <x:v>Diario supervisor + conformidad posterior</x:v>
      </x:c>
      <x:c r="C37" s="1008"/>
      <x:c r="D37" s="1008"/>
      <x:c r="E37" s="1011" t="str">
        <x:v>Limpieza TK / CAPSA / TERMAP / PECOM-CC10 / Saneamiento / Pulling</x:v>
      </x:c>
      <x:c r="F37" s="1012"/>
      <x:c r="G37" s="1012"/>
      <x:c r="H37" s="1012" t="str">
        <x:v>Supervisor/cuadrilla genera; firma VDS + cliente; envío posterior a Certificación.</x:v>
      </x:c>
      <x:c r="I37" s="1012"/>
      <x:c r="J37" s="1012"/>
      <x:c r="K37" s="1012"/>
      <x:c r="L37" s="1012" t="str">
        <x:v>Patrón reusable con parametrización por cliente.</x:v>
      </x:c>
      <x:c r="M37" s="1012"/>
      <x:c r="N37" s="1013"/>
    </x:row>
    <x:row r="38" ht="58" customHeight="1">
      <x:c r="A38" s="1007" t="str">
        <x:v>WF-C</x:v>
      </x:c>
      <x:c r="B38" s="1008" t="str">
        <x:v>Transporte CC26 por lotes</x:v>
      </x:c>
      <x:c r="C38" s="1008"/>
      <x:c r="D38" s="1008"/>
      <x:c r="E38" s="1011" t="str">
        <x:v>Cargas sólidas/líquidas CC26</x:v>
      </x:c>
      <x:c r="F38" s="1012"/>
      <x:c r="G38" s="1012"/>
      <x:c r="H38" s="1012" t="str">
        <x:v>Chofer genera papel; carga manual; firma digital/mixta; envío a Certificación cada ~10 días según observación.</x:v>
      </x:c>
      <x:c r="I38" s="1012"/>
      <x:c r="J38" s="1012"/>
      <x:c r="K38" s="1012"/>
      <x:c r="L38" s="1012" t="str">
        <x:v>Parte/firma/certificación tienen cadencias distintas.</x:v>
      </x:c>
      <x:c r="M38" s="1012"/>
      <x:c r="N38" s="1013"/>
    </x:row>
    <x:row r="39" ht="58" customHeight="1">
      <x:c r="A39" s="1007" t="str">
        <x:v>WF-D</x:v>
      </x:c>
      <x:c r="B39" s="1008" t="str">
        <x:v>CC27 control-room + agrupación por pozo</x:v>
      </x:c>
      <x:c r="C39" s="1008"/>
      <x:c r="D39" s="1008"/>
      <x:c r="E39" s="1011" t="str">
        <x:v>Cargas líquidas 24hs / Pileta seca CC27</x:v>
      </x:c>
      <x:c r="F39" s="1012"/>
      <x:c r="G39" s="1012"/>
      <x:c r="H39" s="1012" t="str">
        <x:v>Parte diario → Sala de Control → completar → agrupar por pozo → firma digital → carpeta Certificación.</x:v>
      </x:c>
      <x:c r="I39" s="1012"/>
      <x:c r="J39" s="1012"/>
      <x:c r="K39" s="1012"/>
      <x:c r="L39" s="1012" t="str">
        <x:v>ReglaAgrupacionCertificacion explícita.</x:v>
      </x:c>
      <x:c r="M39" s="1012"/>
      <x:c r="N39" s="1013"/>
    </x:row>
    <x:row r="40" ht="44" customHeight="1">
      <x:c r="A40" s="20"/>
      <x:c r="B40" s="20"/>
      <x:c r="C40" s="20"/>
      <x:c r="E40" s="968"/>
      <x:c r="F40" s="969"/>
      <x:c r="G40" s="969"/>
      <x:c r="H40" s="969"/>
      <x:c r="I40" s="969"/>
      <x:c r="J40" s="969"/>
      <x:c r="K40" s="969"/>
      <x:c r="L40" s="969"/>
      <x:c r="M40" s="969"/>
      <x:c r="N40" s="970"/>
    </x:row>
    <x:row r="41" ht="44" customHeight="1">
      <x:c r="A41" s="20"/>
      <x:c r="B41" s="20"/>
      <x:c r="C41" s="20"/>
      <x:c r="E41" s="968"/>
      <x:c r="F41" s="969"/>
      <x:c r="G41" s="969"/>
      <x:c r="H41" s="969"/>
      <x:c r="I41" s="969"/>
      <x:c r="J41" s="969"/>
      <x:c r="K41" s="969"/>
      <x:c r="L41" s="969"/>
      <x:c r="M41" s="969"/>
      <x:c r="N41" s="970"/>
    </x:row>
    <x:row r="42" ht="44" customHeight="1">
      <x:c r="A42" s="1018" t="str">
        <x:v>03 — HUECOS CONTRACTUALES ABIERTOS HASTA RECIBIR LOS CONTRATOS</x:v>
      </x:c>
      <x:c r="B42" s="1018"/>
      <x:c r="C42" s="1018"/>
      <x:c r="D42" s="813"/>
      <x:c r="E42" s="1019"/>
      <x:c r="F42" s="1020"/>
      <x:c r="G42" s="1020"/>
      <x:c r="H42" s="1020"/>
      <x:c r="I42" s="1020"/>
      <x:c r="J42" s="1020"/>
      <x:c r="K42" s="1020"/>
      <x:c r="L42" s="1020"/>
      <x:c r="M42" s="1020"/>
      <x:c r="N42" s="1021"/>
    </x:row>
    <x:row r="43">
      <x:c r="A43" s="945" t="str">
        <x:v>ID</x:v>
      </x:c>
      <x:c r="B43" s="945" t="str">
        <x:v>Objeto faltante</x:v>
      </x:c>
      <x:c r="C43" s="945"/>
      <x:c r="D43" s="945"/>
      <x:c r="E43" s="945" t="str">
        <x:v>Qué falta</x:v>
      </x:c>
      <x:c r="F43" s="945"/>
      <x:c r="G43" s="945"/>
      <x:c r="H43" s="945"/>
      <x:c r="I43" s="945"/>
      <x:c r="J43" s="945"/>
      <x:c r="K43" s="945"/>
      <x:c r="L43" s="945"/>
      <x:c r="M43" s="945"/>
      <x:c r="N43" s="945"/>
    </x:row>
    <x:row r="44" ht="38" customHeight="1">
      <x:c r="A44" s="20" t="str">
        <x:v>G-01</x:v>
      </x:c>
      <x:c r="B44" s="20" t="str">
        <x:v>Contrato real</x:v>
      </x:c>
      <x:c r="C44" s="20"/>
      <x:c r="D44" s="20"/>
      <x:c r="E44" s="20" t="str">
        <x:v>Identificador, cliente, objeto, vigencia, versión/adendas.</x:v>
      </x:c>
      <x:c r="F44" s="20"/>
      <x:c r="G44" s="20"/>
      <x:c r="H44" s="20"/>
      <x:c r="I44" s="20"/>
      <x:c r="J44" s="20"/>
      <x:c r="K44" s="20"/>
      <x:c r="L44" s="20"/>
      <x:c r="M44" s="20"/>
      <x:c r="N44" s="20"/>
    </x:row>
    <x:row r="45" ht="38" customHeight="1">
      <x:c r="A45" s="20" t="str">
        <x:v>G-02</x:v>
      </x:c>
      <x:c r="B45" s="20" t="str">
        <x:v>Centro de Costo maestro</x:v>
      </x:c>
      <x:c r="C45" s="20"/>
      <x:c r="D45" s="20"/>
      <x:c r="E45" s="20" t="str">
        <x:v>Relación centrocosto_id ↔ CC26/CC27/CC80/otros.</x:v>
      </x:c>
      <x:c r="F45" s="20"/>
      <x:c r="G45" s="20"/>
      <x:c r="H45" s="20"/>
      <x:c r="I45" s="20"/>
      <x:c r="J45" s="20"/>
      <x:c r="K45" s="20"/>
      <x:c r="L45" s="20"/>
      <x:c r="M45" s="20"/>
      <x:c r="N45" s="20"/>
    </x:row>
    <x:row r="46" ht="38" customHeight="1">
      <x:c r="A46" s="20" t="str">
        <x:v>G-03</x:v>
      </x:c>
      <x:c r="B46" s="20" t="str">
        <x:v>ContratoServicio</x:v>
      </x:c>
      <x:c r="C46" s="20"/>
      <x:c r="D46" s="20"/>
      <x:c r="E46" s="20" t="str">
        <x:v>Qué servicios pertenecen a qué contrato/version y en qué vigencia.</x:v>
      </x:c>
      <x:c r="F46" s="20"/>
      <x:c r="G46" s="20"/>
      <x:c r="H46" s="20"/>
      <x:c r="I46" s="20"/>
      <x:c r="J46" s="20"/>
      <x:c r="K46" s="20"/>
      <x:c r="L46" s="20"/>
      <x:c r="M46" s="20"/>
      <x:c r="N46" s="20"/>
    </x:row>
    <x:row r="47" ht="38" customHeight="1">
      <x:c r="A47" s="20" t="str">
        <x:v>G-04</x:v>
      </x:c>
      <x:c r="B47" s="20" t="str">
        <x:v>Ítems</x:v>
      </x:c>
      <x:c r="C47" s="20"/>
      <x:c r="D47" s="20"/>
      <x:c r="E47" s="20" t="str">
        <x:v>Ítem/posición, unidad de medida, precio/regla de medición y evidencia requerida.</x:v>
      </x:c>
      <x:c r="F47" s="20"/>
      <x:c r="G47" s="20"/>
      <x:c r="H47" s="20"/>
      <x:c r="I47" s="20"/>
      <x:c r="J47" s="20"/>
      <x:c r="K47" s="20"/>
      <x:c r="L47" s="20"/>
      <x:c r="M47" s="20"/>
      <x:c r="N47" s="20"/>
    </x:row>
    <x:row r="48" ht="38" customHeight="1">
      <x:c r="A48" s="20" t="str">
        <x:v>G-05</x:v>
      </x:c>
      <x:c r="B48" s="20" t="str">
        <x:v>Tipo contractual</x:v>
      </x:c>
      <x:c r="C48" s="20"/>
      <x:c r="D48" s="20"/>
      <x:c r="E48" s="20" t="str">
        <x:v>Indemnizado / mensualizado / On Call / otras variantes reales.</x:v>
      </x:c>
      <x:c r="F48" s="20"/>
      <x:c r="G48" s="20"/>
      <x:c r="H48" s="20"/>
      <x:c r="I48" s="20"/>
      <x:c r="J48" s="20"/>
      <x:c r="K48" s="20"/>
      <x:c r="L48" s="20"/>
      <x:c r="M48" s="20"/>
      <x:c r="N48" s="20"/>
    </x:row>
    <x:row r="49" ht="38" customHeight="1">
      <x:c r="A49" s="20" t="str">
        <x:v>G-06</x:v>
      </x:c>
      <x:c r="B49" s="20" t="str">
        <x:v>Reglas de Certificación</x:v>
      </x:c>
      <x:c r="C49" s="20"/>
      <x:c r="D49" s="20"/>
      <x:c r="E49" s="20" t="str">
        <x:v>Agrupación, frecuencia, aprobadores y condiciones por contexto.</x:v>
      </x:c>
      <x:c r="F49" s="20"/>
      <x:c r="G49" s="20"/>
      <x:c r="H49" s="20"/>
      <x:c r="I49" s="20"/>
      <x:c r="J49" s="20"/>
      <x:c r="K49" s="20"/>
      <x:c r="L49" s="20"/>
      <x:c r="M49" s="20"/>
      <x:c r="N49" s="20"/>
    </x:row>
    <x:row r="51">
      <x:c r="A51" s="813" t="str">
        <x:v>04 — DECISIÓN DE ARQUITECTURA v0</x:v>
      </x:c>
      <x:c r="B51" s="813"/>
      <x:c r="C51" s="813"/>
      <x:c r="D51" s="813"/>
      <x:c r="E51" s="813"/>
      <x:c r="F51" s="813"/>
      <x:c r="G51" s="813"/>
      <x:c r="H51" s="813"/>
      <x:c r="I51" s="813"/>
      <x:c r="J51" s="813"/>
      <x:c r="K51" s="813"/>
      <x:c r="L51" s="813"/>
      <x:c r="M51" s="813"/>
      <x:c r="N51" s="813"/>
    </x:row>
    <x:row r="52">
      <x:c r="A52" s="965" t="str">
        <x:v>No vamos a esperar los contratos para seguir. La Capa Maestra se diseña con slots explícitos para Contrato, Versión, ContratoServicio, CentroCosto, ItemContrato y reglas. Los datos actuales alimentan workflow y evidencia; cuando lleguen los contratos se completarán esos slots sin rediseñar Planificación, Parte ni Certificación.
ContratoServicio queda como nodo configurador provisionalmente más fuerte: conecta el acuerdo comercial con la realidad operacional y evita que nombres históricos como 'PECOM-PULLING-CC80' se conviertan en entidades monolíticas.</x:v>
      </x:c>
      <x:c r="B52" s="966"/>
      <x:c r="C52" s="966"/>
      <x:c r="D52" s="966"/>
      <x:c r="E52" s="966"/>
      <x:c r="F52" s="966"/>
      <x:c r="G52" s="966"/>
      <x:c r="H52" s="966"/>
      <x:c r="I52" s="966"/>
      <x:c r="J52" s="966"/>
      <x:c r="K52" s="966"/>
      <x:c r="L52" s="966"/>
      <x:c r="M52" s="966"/>
      <x:c r="N52" s="967"/>
    </x:row>
    <x:row r="53">
      <x:c r="A53" s="968"/>
      <x:c r="B53" s="969"/>
      <x:c r="C53" s="969"/>
      <x:c r="D53" s="969"/>
      <x:c r="E53" s="969"/>
      <x:c r="F53" s="969"/>
      <x:c r="G53" s="969"/>
      <x:c r="H53" s="969"/>
      <x:c r="I53" s="969"/>
      <x:c r="J53" s="969"/>
      <x:c r="K53" s="969"/>
      <x:c r="L53" s="969"/>
      <x:c r="M53" s="969"/>
      <x:c r="N53" s="970"/>
    </x:row>
    <x:row r="54">
      <x:c r="A54" s="968"/>
      <x:c r="B54" s="969"/>
      <x:c r="C54" s="969"/>
      <x:c r="D54" s="969"/>
      <x:c r="E54" s="969"/>
      <x:c r="F54" s="969"/>
      <x:c r="G54" s="969"/>
      <x:c r="H54" s="969"/>
      <x:c r="I54" s="969"/>
      <x:c r="J54" s="969"/>
      <x:c r="K54" s="969"/>
      <x:c r="L54" s="969"/>
      <x:c r="M54" s="969"/>
      <x:c r="N54" s="970"/>
    </x:row>
    <x:row r="55">
      <x:c r="A55" s="968"/>
      <x:c r="B55" s="969"/>
      <x:c r="C55" s="969"/>
      <x:c r="D55" s="969"/>
      <x:c r="E55" s="969"/>
      <x:c r="F55" s="969"/>
      <x:c r="G55" s="969"/>
      <x:c r="H55" s="969"/>
      <x:c r="I55" s="969"/>
      <x:c r="J55" s="969"/>
      <x:c r="K55" s="969"/>
      <x:c r="L55" s="969"/>
      <x:c r="M55" s="969"/>
      <x:c r="N55" s="970"/>
    </x:row>
    <x:row r="56">
      <x:c r="A56" s="968"/>
      <x:c r="B56" s="969"/>
      <x:c r="C56" s="969"/>
      <x:c r="D56" s="969"/>
      <x:c r="E56" s="969"/>
      <x:c r="F56" s="969"/>
      <x:c r="G56" s="969"/>
      <x:c r="H56" s="969"/>
      <x:c r="I56" s="969"/>
      <x:c r="J56" s="969"/>
      <x:c r="K56" s="969"/>
      <x:c r="L56" s="969"/>
      <x:c r="M56" s="969"/>
      <x:c r="N56" s="970"/>
    </x:row>
    <x:row r="57">
      <x:c r="A57" s="971"/>
      <x:c r="B57" s="972"/>
      <x:c r="C57" s="972"/>
      <x:c r="D57" s="972"/>
      <x:c r="E57" s="972"/>
      <x:c r="F57" s="972"/>
      <x:c r="G57" s="972"/>
      <x:c r="H57" s="972"/>
      <x:c r="I57" s="972"/>
      <x:c r="J57" s="972"/>
      <x:c r="K57" s="972"/>
      <x:c r="L57" s="972"/>
      <x:c r="M57" s="972"/>
      <x:c r="N57" s="973"/>
    </x:row>
  </x:sheetData>
  <x:mergeCells>
    <x:mergeCell ref="A1:N1"/>
    <x:mergeCell ref="A2:N2"/>
    <x:mergeCell ref="A4:N4"/>
    <x:mergeCell ref="A6:B9"/>
    <x:mergeCell ref="D6:E9"/>
    <x:mergeCell ref="G6:H9"/>
    <x:mergeCell ref="J6:K9"/>
    <x:mergeCell ref="M6:N9"/>
    <x:mergeCell ref="H12:J15"/>
    <x:mergeCell ref="K12:N15"/>
    <x:mergeCell ref="A17:N17"/>
    <x:mergeCell ref="A19:C22"/>
    <x:mergeCell ref="D19:F22"/>
    <x:mergeCell ref="G19:I22"/>
    <x:mergeCell ref="J19:L22"/>
    <x:mergeCell ref="M19:N22"/>
    <x:mergeCell ref="A24:N24"/>
    <x:mergeCell ref="B25:D25"/>
    <x:mergeCell ref="B43:D43"/>
    <x:mergeCell ref="E43:N43"/>
    <x:mergeCell ref="B44:D44"/>
    <x:mergeCell ref="E44:N44"/>
    <x:mergeCell ref="B45:D45"/>
    <x:mergeCell ref="E45:N45"/>
    <x:mergeCell ref="B46:D46"/>
    <x:mergeCell ref="E46:N46"/>
    <x:mergeCell ref="B47:D47"/>
    <x:mergeCell ref="E47:N47"/>
    <x:mergeCell ref="B48:D48"/>
    <x:mergeCell ref="E48:N48"/>
    <x:mergeCell ref="B49:D49"/>
    <x:mergeCell ref="E49:N49"/>
    <x:mergeCell ref="A51:N51"/>
    <x:mergeCell ref="A52:N57"/>
    <x:mergeCell ref="E25:J25"/>
    <x:mergeCell ref="K25:N25"/>
    <x:mergeCell ref="B26:D26"/>
    <x:mergeCell ref="E26:J26"/>
    <x:mergeCell ref="K26:N26"/>
    <x:mergeCell ref="B27:D27"/>
    <x:mergeCell ref="E27:J27"/>
    <x:mergeCell ref="K27:N27"/>
    <x:mergeCell ref="B28:D28"/>
    <x:mergeCell ref="E28:J28"/>
    <x:mergeCell ref="K28:N28"/>
    <x:mergeCell ref="B29:D29"/>
    <x:mergeCell ref="E29:J29"/>
    <x:mergeCell ref="K29:N29"/>
    <x:mergeCell ref="B30:D30"/>
    <x:mergeCell ref="E30:J30"/>
    <x:mergeCell ref="K30:N30"/>
    <x:mergeCell ref="B31:D31"/>
    <x:mergeCell ref="E31:J31"/>
    <x:mergeCell ref="K31:N31"/>
    <x:mergeCell ref="B32:D32"/>
    <x:mergeCell ref="E32:J32"/>
    <x:mergeCell ref="K32:N32"/>
    <x:mergeCell ref="A34:N34"/>
    <x:mergeCell ref="B35:D35"/>
    <x:mergeCell ref="E35:G35"/>
    <x:mergeCell ref="H35:K35"/>
    <x:mergeCell ref="L35:N35"/>
    <x:mergeCell ref="B36:D36"/>
    <x:mergeCell ref="E36:G36"/>
    <x:mergeCell ref="H36:K36"/>
    <x:mergeCell ref="L36:N36"/>
    <x:mergeCell ref="B37:D37"/>
    <x:mergeCell ref="E37:G37"/>
    <x:mergeCell ref="H37:K37"/>
    <x:mergeCell ref="L37:N37"/>
    <x:mergeCell ref="B38:D38"/>
    <x:mergeCell ref="E38:G38"/>
    <x:mergeCell ref="H38:K38"/>
    <x:mergeCell ref="L38:N38"/>
    <x:mergeCell ref="B39:D39"/>
    <x:mergeCell ref="E39:G39"/>
    <x:mergeCell ref="H39:K39"/>
    <x:mergeCell ref="L39:N39"/>
    <x:mergeCell ref="A42:N42"/>
  </x:mergeCells>
  <x:pageMargins left="0.7" right="0.7" top="0.75" bottom="0.75" header="0.3" footer="0.3"/>
</x:worksheet>
</file>

<file path=xl/worksheets/sheet17.xml><?xml version="1.0" encoding="utf-8"?>
<x:worksheet xmlns:x="http://schemas.openxmlformats.org/spreadsheetml/2006/main">
  <x:sheetFormatPr defaultRowHeight="15"/>
  <x:cols>
    <x:col min="1" max="1" width="22" hidden="0" customWidth="1"/>
    <x:col min="2" max="2" width="15" hidden="0" customWidth="1"/>
    <x:col min="3" max="3" width="12" hidden="0" customWidth="1"/>
    <x:col min="4" max="4" width="42" hidden="0" customWidth="1"/>
    <x:col min="5" max="5" width="18" hidden="0" customWidth="1"/>
    <x:col min="6" max="6" width="18" hidden="0" customWidth="1"/>
    <x:col min="7" max="7" width="18" hidden="0" customWidth="1"/>
    <x:col min="8" max="8" width="18" hidden="0" customWidth="1"/>
    <x:col min="9" max="9" width="20" hidden="0" customWidth="1"/>
    <x:col min="10" max="10" width="18" hidden="0" customWidth="1"/>
    <x:col min="11" max="11" width="20" hidden="0" customWidth="1"/>
    <x:col min="12" max="12" width="14" hidden="0" customWidth="1"/>
    <x:col min="13" max="13" width="24" hidden="0" customWidth="1"/>
    <x:col min="14" max="14" width="42" hidden="0" customWidth="1"/>
    <x:col min="15" max="15" width="18" hidden="0" customWidth="1"/>
    <x:col min="16" max="16" width="20" hidden="0" customWidth="1"/>
    <x:col min="17" max="17" width="28" hidden="0" customWidth="1"/>
  </x:cols>
  <x:sheetData>
    <x:row r="1">
      <x:c r="A1" s="975" t="str">
        <x:v>EVIDENCIA CONTRACTUAL v0 · TRAZABILIDAD DE LAS FUENTES</x:v>
      </x:c>
      <x:c r="B1" s="975"/>
      <x:c r="C1" s="975"/>
      <x:c r="D1" s="975"/>
      <x:c r="E1" s="975"/>
      <x:c r="F1" s="975"/>
      <x:c r="G1" s="975"/>
      <x:c r="H1" s="975"/>
      <x:c r="I1" s="975"/>
      <x:c r="J1" s="975"/>
      <x:c r="K1" s="975"/>
      <x:c r="L1" s="975"/>
      <x:c r="M1" s="975"/>
      <x:c r="N1" s="975"/>
      <x:c r="O1" s="975"/>
      <x:c r="P1" s="975"/>
      <x:c r="Q1" s="975"/>
    </x:row>
    <x:row r="2">
      <x:c r="A2" s="810" t="str">
        <x:v>Tabla de evidencia, no maestro definitivo. Conserva texto fuente y agrega interpretación provisional sin borrar ambigüedades.</x:v>
      </x:c>
      <x:c r="B2" s="810"/>
      <x:c r="C2" s="810"/>
      <x:c r="D2" s="810"/>
      <x:c r="E2" s="810"/>
      <x:c r="F2" s="810"/>
      <x:c r="G2" s="810"/>
      <x:c r="H2" s="810"/>
      <x:c r="I2" s="810"/>
      <x:c r="J2" s="810"/>
      <x:c r="K2" s="810"/>
      <x:c r="L2" s="810"/>
      <x:c r="M2" s="810"/>
      <x:c r="N2" s="810"/>
      <x:c r="O2" s="810"/>
      <x:c r="P2" s="810"/>
      <x:c r="Q2" s="810"/>
    </x:row>
    <x:row r="4">
      <x:c r="A4" s="977" t="str">
        <x:v>Contexto fuente</x:v>
      </x:c>
      <x:c r="B4" s="977" t="str">
        <x:v>centrocosto_id</x:v>
      </x:c>
      <x:c r="C4" s="977" t="str">
        <x:v>id fuente</x:v>
      </x:c>
      <x:c r="D4" s="977" t="str">
        <x:v>Detalle / observación Info VDS</x:v>
      </x:c>
      <x:c r="E4" s="977" t="str">
        <x:v>Estado fuente</x:v>
      </x:c>
      <x:c r="F4" s="977" t="str">
        <x:v>CentroCosto código</x:v>
      </x:c>
      <x:c r="G4" s="977" t="str">
        <x:v>Cliente explícito</x:v>
      </x:c>
      <x:c r="H4" s="977" t="str">
        <x:v>Servicio/familia tent.</x:v>
      </x:c>
      <x:c r="I4" s="977" t="str">
        <x:v>Quién planifica</x:v>
      </x:c>
      <x:c r="J4" s="977" t="str">
        <x:v>Quién genera</x:v>
      </x:c>
      <x:c r="K4" s="977" t="str">
        <x:v>Medio generación</x:v>
      </x:c>
      <x:c r="L4" s="977" t="str">
        <x:v>Quién firma</x:v>
      </x:c>
      <x:c r="M4" s="977" t="str">
        <x:v>Medio firma</x:v>
      </x:c>
      <x:c r="N4" s="977" t="str">
        <x:v>Siguiente paso</x:v>
      </x:c>
      <x:c r="O4" s="977" t="str">
        <x:v>Frecuencia fuente</x:v>
      </x:c>
      <x:c r="P4" s="977" t="str">
        <x:v>Workflow</x:v>
      </x:c>
      <x:c r="Q4" s="977" t="str">
        <x:v>Notas modelo</x:v>
      </x:c>
    </x:row>
    <x:row r="5" ht="54" customHeight="1">
      <x:c r="A5" s="20" t="str">
        <x:v>CAPSA</x:v>
      </x:c>
      <x:c r="B5" s="20" t="n">
        <x:v>1</x:v>
      </x:c>
      <x:c r="C5" s="20" t="n">
        <x:v>23</x:v>
      </x:c>
      <x:c r="D5" s="20" t="str">
        <x:v>Contrato NO ACTIVO</x:v>
      </x:c>
      <x:c r="E5" s="20" t="str">
        <x:v>NO ACTIVO</x:v>
      </x:c>
      <x:c r="F5" s="20" t="str"/>
      <x:c r="G5" s="20" t="str">
        <x:v>CAPSA</x:v>
      </x:c>
      <x:c r="H5" s="20" t="str"/>
      <x:c r="I5" s="20" t="str">
        <x:v>RT/ Supervisor </x:v>
      </x:c>
      <x:c r="J5" s="20" t="str">
        <x:v>SUPERVISOR</x:v>
      </x:c>
      <x:c r="K5" s="20" t="str">
        <x:v>Digital / sistema</x:v>
      </x:c>
      <x:c r="L5" s="20" t="str">
        <x:v>SUPERVISOR VdS y SUPERVISOR CAPSA</x:v>
      </x:c>
      <x:c r="M5" s="20" t="str">
        <x:v>Firma digital</x:v>
      </x:c>
      <x:c r="N5" s="20" t="str">
        <x:v>CERTIFICACION VDS</x:v>
      </x:c>
      <x:c r="O5" s="20" t="str">
        <x:v>Diaria</x:v>
      </x:c>
      <x:c r="P5" s="20" t="str">
        <x:v>WF-B · Diario supervisor/conformidad posterior</x:v>
      </x:c>
      <x:c r="Q5" s="20" t="str">
        <x:v>Registro marcado NO ACTIVO en Info VDS.</x:v>
      </x:c>
    </x:row>
    <x:row r="6" ht="54" customHeight="1">
      <x:c r="A6" s="20" t="str">
        <x:v>CARGAS LIQUIDAS 24HS CC27</x:v>
      </x:c>
      <x:c r="B6" s="20" t="n">
        <x:v>18</x:v>
      </x:c>
      <x:c r="C6" s="20" t="n">
        <x:v>30</x:v>
      </x:c>
      <x:c r="D6" s="20" t="str">
        <x:v>Transporte de carga liquida, Porta y cisterna llevan agua a los pozos 24hs</x:v>
      </x:c>
      <x:c r="E6" s="20" t="str">
        <x:v>Activo/no marcado</x:v>
      </x:c>
      <x:c r="F6" s="20" t="str">
        <x:v>CC27</x:v>
      </x:c>
      <x:c r="G6" s="20" t="str"/>
      <x:c r="H6" s="20" t="str">
        <x:v>Transporte de cargas líquidas</x:v>
      </x:c>
      <x:c r="I6" s="20" t="str">
        <x:v>Sala de Control</x:v>
      </x:c>
      <x:c r="J6" s="20" t="str">
        <x:v>choferes</x:v>
      </x:c>
      <x:c r="K6" s="20" t="str">
        <x:v>Papel</x:v>
      </x:c>
      <x:c r="L6" s="20" t="str">
        <x:v>supervisor (cliente)</x:v>
      </x:c>
      <x:c r="M6" s="20" t="str">
        <x:v>Firma digital</x:v>
      </x:c>
      <x:c r="N6" s="20" t="str">
        <x:v>Se sube a carpeta compartida para certificacion</x:v>
      </x:c>
      <x:c r="O6" s="20" t="str">
        <x:v>Diaria</x:v>
      </x:c>
      <x:c r="P6" s="20" t="str">
        <x:v>WF-D · CC27 control-room / agrupar por pozo</x:v>
      </x:c>
      <x:c r="Q6" s="20" t="str"/>
    </x:row>
    <x:row r="7" ht="54" customHeight="1">
      <x:c r="A7" s="20" t="str">
        <x:v>CARGAS LIQUIDAS L-V</x:v>
      </x:c>
      <x:c r="B7" s="20" t="n">
        <x:v>2</x:v>
      </x:c>
      <x:c r="C7" s="20" t="n">
        <x:v>4</x:v>
      </x:c>
      <x:c r="D7" s="20" t="str">
        <x:v>Transporte de carga liquida, Porta y cisterna llevan agua a los pozos L a V</x:v>
      </x:c>
      <x:c r="E7" s="20" t="str">
        <x:v>Activo/no marcado</x:v>
      </x:c>
      <x:c r="F7" s="20" t="str">
        <x:v>CC26</x:v>
      </x:c>
      <x:c r="G7" s="20" t="str"/>
      <x:c r="H7" s="20" t="str">
        <x:v>Transporte de cargas líquidas</x:v>
      </x:c>
      <x:c r="I7" s="20" t="str">
        <x:v>RT/ Supervisor </x:v>
      </x:c>
      <x:c r="J7" s="20" t="str">
        <x:v>CHOFER </x:v>
      </x:c>
      <x:c r="K7" s="20" t="str">
        <x:v>Papel</x:v>
      </x:c>
      <x:c r="L7" s="20" t="str">
        <x:v>REPRESENTANTE DE LA OPERADORA</x:v>
      </x:c>
      <x:c r="M7" s="20" t="str">
        <x:v>Mixto</x:v>
      </x:c>
      <x:c r="N7" s="20" t="str">
        <x:v>CERTIFICACION VDS</x:v>
      </x:c>
      <x:c r="O7" s="20" t="str">
        <x:v>Semanal</x:v>
      </x:c>
      <x:c r="P7" s="20" t="str">
        <x:v>WF-B · Diario supervisor/conformidad posterior</x:v>
      </x:c>
      <x:c r="Q7" s="20" t="str"/>
    </x:row>
    <x:row r="8" ht="54" customHeight="1">
      <x:c r="A8" s="20" t="str">
        <x:v>CARGAS SOLIDAS</x:v>
      </x:c>
      <x:c r="B8" s="20" t="n">
        <x:v>2</x:v>
      </x:c>
      <x:c r="C8" s="20" t="n">
        <x:v>5</x:v>
      </x:c>
      <x:c r="D8" s="20" t="str">
        <x:v>Transporte de caños, Tubing , materiales , materiales pañol, etc. YPF</x:v>
      </x:c>
      <x:c r="E8" s="20" t="str">
        <x:v>Activo/no marcado</x:v>
      </x:c>
      <x:c r="F8" s="20" t="str">
        <x:v>CC26</x:v>
      </x:c>
      <x:c r="G8" s="20" t="str">
        <x:v>YPF</x:v>
      </x:c>
      <x:c r="H8" s="20" t="str">
        <x:v>Transporte de cargas sólidas</x:v>
      </x:c>
      <x:c r="I8" s="20" t="str">
        <x:v>RT/ Supervisor </x:v>
      </x:c>
      <x:c r="J8" s="20" t="str">
        <x:v>CHOFER </x:v>
      </x:c>
      <x:c r="K8" s="20" t="str">
        <x:v>Papel</x:v>
      </x:c>
      <x:c r="L8" s="20" t="str">
        <x:v>REPRESENTANTE DE LA OPERADORA</x:v>
      </x:c>
      <x:c r="M8" s="20" t="str">
        <x:v>Mixto</x:v>
      </x:c>
      <x:c r="N8" s="20" t="str">
        <x:v>CERTIFICACION VDS</x:v>
      </x:c>
      <x:c r="O8" s="20" t="str">
        <x:v>Semanal</x:v>
      </x:c>
      <x:c r="P8" s="20" t="str">
        <x:v>WF-B · Diario supervisor/conformidad posterior</x:v>
      </x:c>
      <x:c r="Q8" s="20" t="str"/>
    </x:row>
    <x:row r="9" ht="54" customHeight="1">
      <x:c r="A9" s="20" t="str">
        <x:v>CLEAR - SANTA CRUZ</x:v>
      </x:c>
      <x:c r="B9" s="20" t="n">
        <x:v>1</x:v>
      </x:c>
      <x:c r="C9" s="20" t="n">
        <x:v>32</x:v>
      </x:c>
      <x:c r="D9" s="20" t="str">
        <x:v>Contrato NO ACTIVO</x:v>
      </x:c>
      <x:c r="E9" s="20" t="str">
        <x:v>NO ACTIVO</x:v>
      </x:c>
      <x:c r="F9" s="20" t="str"/>
      <x:c r="G9" s="20" t="str">
        <x:v>CLEAR</x:v>
      </x:c>
      <x:c r="H9" s="20" t="str"/>
      <x:c r="I9" s="20" t="str"/>
      <x:c r="J9" s="20" t="str"/>
      <x:c r="K9" s="20" t="str"/>
      <x:c r="L9" s="20" t="str"/>
      <x:c r="M9" s="20" t="str"/>
      <x:c r="N9" s="20" t="str"/>
      <x:c r="O9" s="20" t="str"/>
      <x:c r="P9" s="20" t="str"/>
      <x:c r="Q9" s="20" t="str">
        <x:v>Registro marcado NO ACTIVO en Info VDS. Sin fila de Seguimiento emparejada de forma segura.</x:v>
      </x:c>
    </x:row>
    <x:row r="10" ht="54" customHeight="1">
      <x:c r="A10" s="20" t="str">
        <x:v>FACTURAS</x:v>
      </x:c>
      <x:c r="B10" s="20" t="n">
        <x:v>15</x:v>
      </x:c>
      <x:c r="C10" s="20" t="n">
        <x:v>31</x:v>
      </x:c>
      <x:c r="D10" s="20" t="str">
        <x:v>Concepto/ Contrato NO ACTIVO</x:v>
      </x:c>
      <x:c r="E10" s="20" t="str">
        <x:v>NO ACTIVO</x:v>
      </x:c>
      <x:c r="F10" s="20" t="str"/>
      <x:c r="G10" s="20" t="str"/>
      <x:c r="H10" s="20" t="str"/>
      <x:c r="I10" s="20" t="str"/>
      <x:c r="J10" s="20" t="str"/>
      <x:c r="K10" s="20" t="str"/>
      <x:c r="L10" s="20" t="str"/>
      <x:c r="M10" s="20" t="str"/>
      <x:c r="N10" s="20" t="str"/>
      <x:c r="O10" s="20" t="str"/>
      <x:c r="P10" s="20" t="str"/>
      <x:c r="Q10" s="20" t="str">
        <x:v>Registro marcado NO ACTIVO en Info VDS. Sin fila de Seguimiento emparejada de forma segura.</x:v>
      </x:c>
    </x:row>
    <x:row r="11" ht="54" customHeight="1">
      <x:c r="A11" s="20" t="str">
        <x:v>LIMPIEZA TK</x:v>
      </x:c>
      <x:c r="B11" s="20" t="n">
        <x:v>1</x:v>
      </x:c>
      <x:c r="C11" s="20" t="n">
        <x:v>1</x:v>
      </x:c>
      <x:c r="D11" s="20" t="str">
        <x:v>Limpieza de Tk_ ir a buscar el trabajo_ Camion Chupa, cuadrilla de limpieza, hidrocateo, hidro grua</x:v>
      </x:c>
      <x:c r="E11" s="20" t="str">
        <x:v>Activo/no marcado</x:v>
      </x:c>
      <x:c r="F11" s="20" t="str"/>
      <x:c r="G11" s="20" t="str"/>
      <x:c r="H11" s="20" t="str">
        <x:v>Limpieza TK</x:v>
      </x:c>
      <x:c r="I11" s="20" t="str">
        <x:v>RT/ Supervisor </x:v>
      </x:c>
      <x:c r="J11" s="20" t="str">
        <x:v>SUPERVISOR</x:v>
      </x:c>
      <x:c r="K11" s="20" t="str">
        <x:v>Digital / sistema</x:v>
      </x:c>
      <x:c r="L11" s="20" t="str">
        <x:v>SUPERVISOR VdS y SUPERVISOR PECOM</x:v>
      </x:c>
      <x:c r="M11" s="20" t="str">
        <x:v>Mixto</x:v>
      </x:c>
      <x:c r="N11" s="20" t="str">
        <x:v>CERTIFICACION VDS</x:v>
      </x:c>
      <x:c r="O11" s="20" t="str">
        <x:v>Diaria</x:v>
      </x:c>
      <x:c r="P11" s="20" t="str">
        <x:v>WF-B · Diario supervisor/conformidad posterior</x:v>
      </x:c>
      <x:c r="Q11" s="20" t="str"/>
    </x:row>
    <x:row r="12" ht="54" customHeight="1">
      <x:c r="A12" s="20" t="str">
        <x:v>LOC. SECA</x:v>
      </x:c>
      <x:c r="B12" s="20" t="n">
        <x:v>4</x:v>
      </x:c>
      <x:c r="C12" s="20" t="n">
        <x:v>7</x:v>
      </x:c>
      <x:c r="D12" s="20" t="str">
        <x:v>Transporte de cuting_ Bateas, es de PAE unicamente</x:v>
      </x:c>
      <x:c r="E12" s="20" t="str">
        <x:v>Activo/no marcado</x:v>
      </x:c>
      <x:c r="F12" s="20" t="str"/>
      <x:c r="G12" s="20" t="str">
        <x:v>PAE</x:v>
      </x:c>
      <x:c r="H12" s="20" t="str">
        <x:v>Transporte de cutting / pileta seca</x:v>
      </x:c>
      <x:c r="I12" s="20" t="str"/>
      <x:c r="J12" s="20" t="str"/>
      <x:c r="K12" s="20" t="str"/>
      <x:c r="L12" s="20" t="str"/>
      <x:c r="M12" s="20" t="str"/>
      <x:c r="N12" s="20" t="str"/>
      <x:c r="O12" s="20" t="str"/>
      <x:c r="P12" s="20" t="str"/>
      <x:c r="Q12" s="20" t="str">
        <x:v>Sin fila de Seguimiento emparejada de forma segura.</x:v>
      </x:c>
    </x:row>
    <x:row r="13" ht="54" customHeight="1">
      <x:c r="A13" s="20" t="str">
        <x:v>LOGISTICA</x:v>
      </x:c>
      <x:c r="B13" s="20" t="n">
        <x:v>13</x:v>
      </x:c>
      <x:c r="C13" s="20" t="n">
        <x:v>21</x:v>
      </x:c>
      <x:c r="D13" s="20" t="str">
        <x:v>Contrato NO ACTIVO</x:v>
      </x:c>
      <x:c r="E13" s="20" t="str">
        <x:v>NO ACTIVO</x:v>
      </x:c>
      <x:c r="F13" s="20" t="str"/>
      <x:c r="G13" s="20" t="str"/>
      <x:c r="H13" s="20" t="str"/>
      <x:c r="I13" s="20" t="str"/>
      <x:c r="J13" s="20" t="str"/>
      <x:c r="K13" s="20" t="str"/>
      <x:c r="L13" s="20" t="str"/>
      <x:c r="M13" s="20" t="str"/>
      <x:c r="N13" s="20" t="str"/>
      <x:c r="O13" s="20" t="str"/>
      <x:c r="P13" s="20" t="str"/>
      <x:c r="Q13" s="20" t="str">
        <x:v>Registro marcado NO ACTIVO en Info VDS. Sin fila de Seguimiento emparejada de forma segura.</x:v>
      </x:c>
    </x:row>
    <x:row r="14" ht="54" customHeight="1">
      <x:c r="A14" s="20" t="str">
        <x:v>PECOM-CC26</x:v>
      </x:c>
      <x:c r="B14" s="20" t="n">
        <x:v>2</x:v>
      </x:c>
      <x:c r="C14" s="20" t="n">
        <x:v>25</x:v>
      </x:c>
      <x:c r="D14" s="20" t="str">
        <x:v>Transporte de caños, Tubing , materiales , materiales pañol, etc._PECOM</x:v>
      </x:c>
      <x:c r="E14" s="20" t="str">
        <x:v>Activo/no marcado</x:v>
      </x:c>
      <x:c r="F14" s="20" t="str">
        <x:v>CC26</x:v>
      </x:c>
      <x:c r="G14" s="20" t="str">
        <x:v>PECOM</x:v>
      </x:c>
      <x:c r="H14" s="20" t="str">
        <x:v>Transporte de cargas sólidas</x:v>
      </x:c>
      <x:c r="I14" s="20" t="str"/>
      <x:c r="J14" s="20" t="str"/>
      <x:c r="K14" s="20" t="str"/>
      <x:c r="L14" s="20" t="str"/>
      <x:c r="M14" s="20" t="str"/>
      <x:c r="N14" s="20" t="str"/>
      <x:c r="O14" s="20" t="str"/>
      <x:c r="P14" s="20" t="str"/>
      <x:c r="Q14" s="20" t="str">
        <x:v>Sin fila de Seguimiento emparejada de forma segura.</x:v>
      </x:c>
    </x:row>
    <x:row r="15" ht="54" customHeight="1">
      <x:c r="A15" s="20" t="str">
        <x:v>PECOM-PULLING-CC80</x:v>
      </x:c>
      <x:c r="B15" s="20" t="n">
        <x:v>1</x:v>
      </x:c>
      <x:c r="C15" s="20" t="n">
        <x:v>27</x:v>
      </x:c>
      <x:c r="D15" s="20" t="str">
        <x:v>Porta Bateas para el equipo de pulling</x:v>
      </x:c>
      <x:c r="E15" s="20" t="str">
        <x:v>Activo/no marcado</x:v>
      </x:c>
      <x:c r="F15" s="20" t="str">
        <x:v>CC80</x:v>
      </x:c>
      <x:c r="G15" s="20" t="str">
        <x:v>PECOM</x:v>
      </x:c>
      <x:c r="H15" s="20" t="str">
        <x:v>Apoyo Pulling / porta bateas</x:v>
      </x:c>
      <x:c r="I15" s="20" t="str">
        <x:v>RT/ Supervisor </x:v>
      </x:c>
      <x:c r="J15" s="20" t="str">
        <x:v>SUPERVISOR</x:v>
      </x:c>
      <x:c r="K15" s="20" t="str">
        <x:v>Digital / sistema</x:v>
      </x:c>
      <x:c r="L15" s="20" t="str">
        <x:v>SUPERVISOR VdS y SUPERVISOR PECOM</x:v>
      </x:c>
      <x:c r="M15" s="20" t="str">
        <x:v>Mixto</x:v>
      </x:c>
      <x:c r="N15" s="20" t="str">
        <x:v>CERTIFICACION VDS</x:v>
      </x:c>
      <x:c r="O15" s="20" t="str">
        <x:v>Diaria</x:v>
      </x:c>
      <x:c r="P15" s="20" t="str">
        <x:v>WF-B · Diario supervisor/conformidad posterior</x:v>
      </x:c>
      <x:c r="Q15" s="20" t="str">
        <x:v>CC80 textual aparece con centrocosto_id distinto; no reconciliar sin maestro.</x:v>
      </x:c>
    </x:row>
    <x:row r="16" ht="54" customHeight="1">
      <x:c r="A16" s="20" t="str">
        <x:v>PECOM-TK-CC80</x:v>
      </x:c>
      <x:c r="B16" s="20" t="n">
        <x:v>1</x:v>
      </x:c>
      <x:c r="C16" s="20" t="n">
        <x:v>24</x:v>
      </x:c>
      <x:c r="D16" s="20" t="str">
        <x:v>Limpieza de Tk_ ir a buscar el trabajo_ Camion Chupa, cuadrilla de limpieza, hidrocateo, hidro grua</x:v>
      </x:c>
      <x:c r="E16" s="20" t="str">
        <x:v>Activo/no marcado</x:v>
      </x:c>
      <x:c r="F16" s="20" t="str">
        <x:v>CC80</x:v>
      </x:c>
      <x:c r="G16" s="20" t="str">
        <x:v>PECOM</x:v>
      </x:c>
      <x:c r="H16" s="20" t="str">
        <x:v>Limpieza TK</x:v>
      </x:c>
      <x:c r="I16" s="20" t="str">
        <x:v>RT/ Supervisor </x:v>
      </x:c>
      <x:c r="J16" s="20" t="str">
        <x:v>SUPERVISOR</x:v>
      </x:c>
      <x:c r="K16" s="20" t="str">
        <x:v>Digital / sistema</x:v>
      </x:c>
      <x:c r="L16" s="20" t="str">
        <x:v>SUPERVISOR VdS y SUPERVISOR PECOM</x:v>
      </x:c>
      <x:c r="M16" s="20" t="str">
        <x:v>Mixto</x:v>
      </x:c>
      <x:c r="N16" s="20" t="str">
        <x:v>CERTIFICACION VDS</x:v>
      </x:c>
      <x:c r="O16" s="20" t="str">
        <x:v>Diaria</x:v>
      </x:c>
      <x:c r="P16" s="20" t="str">
        <x:v>WF-B · Diario supervisor/conformidad posterior</x:v>
      </x:c>
      <x:c r="Q16" s="20" t="str">
        <x:v>CC80 textual aparece con centrocosto_id distinto; no reconciliar sin maestro.</x:v>
      </x:c>
    </x:row>
    <x:row r="17" ht="54" customHeight="1">
      <x:c r="A17" s="20" t="str">
        <x:v>PERSONAL BASE</x:v>
      </x:c>
      <x:c r="B17" s="20" t="n">
        <x:v>11</x:v>
      </x:c>
      <x:c r="C17" s="20" t="n">
        <x:v>20</x:v>
      </x:c>
      <x:c r="D17" s="20" t="str">
        <x:v>Contrato NO ACTIVO</x:v>
      </x:c>
      <x:c r="E17" s="20" t="str">
        <x:v>NO ACTIVO</x:v>
      </x:c>
      <x:c r="F17" s="20" t="str"/>
      <x:c r="G17" s="20" t="str"/>
      <x:c r="H17" s="20" t="str"/>
      <x:c r="I17" s="20" t="str"/>
      <x:c r="J17" s="20" t="str"/>
      <x:c r="K17" s="20" t="str"/>
      <x:c r="L17" s="20" t="str"/>
      <x:c r="M17" s="20" t="str"/>
      <x:c r="N17" s="20" t="str"/>
      <x:c r="O17" s="20" t="str"/>
      <x:c r="P17" s="20" t="str"/>
      <x:c r="Q17" s="20" t="str">
        <x:v>Registro marcado NO ACTIVO en Info VDS. Sin fila de Seguimiento emparejada de forma segura.</x:v>
      </x:c>
    </x:row>
    <x:row r="18" ht="54" customHeight="1">
      <x:c r="A18" s="20" t="str">
        <x:v>PILETA SECA CC27</x:v>
      </x:c>
      <x:c r="B18" s="20" t="n">
        <x:v>18</x:v>
      </x:c>
      <x:c r="C18" s="20" t="n">
        <x:v>29</x:v>
      </x:c>
      <x:c r="D18" s="20" t="str">
        <x:v>Transporte de cuting_ Bateas-</x:v>
      </x:c>
      <x:c r="E18" s="20" t="str">
        <x:v>Activo/no marcado</x:v>
      </x:c>
      <x:c r="F18" s="20" t="str">
        <x:v>CC27</x:v>
      </x:c>
      <x:c r="G18" s="20" t="str"/>
      <x:c r="H18" s="20" t="str">
        <x:v>Transporte de cutting / pileta seca</x:v>
      </x:c>
      <x:c r="I18" s="20" t="str">
        <x:v>Supervisor</x:v>
      </x:c>
      <x:c r="J18" s="20" t="str">
        <x:v>choferes</x:v>
      </x:c>
      <x:c r="K18" s="20" t="str">
        <x:v>Papel</x:v>
      </x:c>
      <x:c r="L18" s="20" t="str">
        <x:v>supervisor (cliente)</x:v>
      </x:c>
      <x:c r="M18" s="20" t="str">
        <x:v>Firma digital</x:v>
      </x:c>
      <x:c r="N18" s="20" t="str">
        <x:v>Se sube a carpeta compartida para certificacion</x:v>
      </x:c>
      <x:c r="O18" s="20" t="str">
        <x:v>Diaria</x:v>
      </x:c>
      <x:c r="P18" s="20" t="str">
        <x:v>WF-D · CC27 control-room / agrupar por pozo</x:v>
      </x:c>
      <x:c r="Q18" s="20" t="str"/>
    </x:row>
    <x:row r="19" ht="54" customHeight="1">
      <x:c r="A19" s="20" t="str">
        <x:v>PULLING</x:v>
      </x:c>
      <x:c r="B19" s="20" t="n">
        <x:v>1</x:v>
      </x:c>
      <x:c r="C19" s="20" t="n">
        <x:v>3</x:v>
      </x:c>
      <x:c r="D19" s="20" t="str">
        <x:v>Porta Bateas para el equipo de pulling</x:v>
      </x:c>
      <x:c r="E19" s="20" t="str">
        <x:v>Activo/no marcado</x:v>
      </x:c>
      <x:c r="F19" s="20" t="str"/>
      <x:c r="G19" s="20" t="str"/>
      <x:c r="H19" s="20" t="str">
        <x:v>Apoyo Pulling / porta bateas</x:v>
      </x:c>
      <x:c r="I19" s="20" t="str"/>
      <x:c r="J19" s="20" t="str"/>
      <x:c r="K19" s="20" t="str"/>
      <x:c r="L19" s="20" t="str"/>
      <x:c r="M19" s="20" t="str"/>
      <x:c r="N19" s="20" t="str"/>
      <x:c r="O19" s="20" t="str"/>
      <x:c r="P19" s="20" t="str"/>
      <x:c r="Q19" s="20" t="str">
        <x:v>Sin fila de Seguimiento emparejada de forma segura.</x:v>
      </x:c>
    </x:row>
    <x:row r="20" ht="54" customHeight="1">
      <x:c r="A20" s="20" t="str">
        <x:v>RECORREDORES</x:v>
      </x:c>
      <x:c r="B20" s="20" t="n">
        <x:v>10</x:v>
      </x:c>
      <x:c r="C20" s="20" t="n">
        <x:v>18</x:v>
      </x:c>
      <x:c r="D20" s="20" t="str">
        <x:v>Recorredores de campo , control de medidores, unicamente en PAE</x:v>
      </x:c>
      <x:c r="E20" s="20" t="str">
        <x:v>Activo/no marcado</x:v>
      </x:c>
      <x:c r="F20" s="20" t="str"/>
      <x:c r="G20" s="20" t="str">
        <x:v>PAE</x:v>
      </x:c>
      <x:c r="H20" s="20" t="str">
        <x:v>Recorredores</x:v>
      </x:c>
      <x:c r="I20" s="20" t="str"/>
      <x:c r="J20" s="20" t="str"/>
      <x:c r="K20" s="20" t="str"/>
      <x:c r="L20" s="20" t="str"/>
      <x:c r="M20" s="20" t="str"/>
      <x:c r="N20" s="20" t="str"/>
      <x:c r="O20" s="20" t="str"/>
      <x:c r="P20" s="20" t="str"/>
      <x:c r="Q20" s="20" t="str">
        <x:v>Sin fila de Seguimiento emparejada de forma segura.</x:v>
      </x:c>
    </x:row>
    <x:row r="21" ht="54" customHeight="1">
      <x:c r="A21" s="20" t="str">
        <x:v>SANEAMIENTO-CC80</x:v>
      </x:c>
      <x:c r="B21" s="20" t="n">
        <x:v>16</x:v>
      </x:c>
      <x:c r="C21" s="20" t="n">
        <x:v>26</x:v>
      </x:c>
      <x:c r="D21" s="20" t="str">
        <x:v>Serv. limpieza de predios, malezas, control de derrames</x:v>
      </x:c>
      <x:c r="E21" s="20" t="str">
        <x:v>Activo/no marcado</x:v>
      </x:c>
      <x:c r="F21" s="20" t="str">
        <x:v>CC80</x:v>
      </x:c>
      <x:c r="G21" s="20" t="str"/>
      <x:c r="H21" s="20" t="str">
        <x:v>Limpieza TK</x:v>
      </x:c>
      <x:c r="I21" s="20" t="str">
        <x:v>RT/ Supervisor </x:v>
      </x:c>
      <x:c r="J21" s="20" t="str">
        <x:v>CUADRILLA</x:v>
      </x:c>
      <x:c r="K21" s="20" t="str">
        <x:v>Papel</x:v>
      </x:c>
      <x:c r="L21" s="20" t="str">
        <x:v>SUPERVISOR VdS y SUPERVISOR PECOM</x:v>
      </x:c>
      <x:c r="M21" s="20" t="str">
        <x:v>Mixto</x:v>
      </x:c>
      <x:c r="N21" s="20" t="str">
        <x:v>CERTIFICACION VDS</x:v>
      </x:c>
      <x:c r="O21" s="20" t="str">
        <x:v>Diaria</x:v>
      </x:c>
      <x:c r="P21" s="20" t="str">
        <x:v>WF-B · Diario supervisor/conformidad posterior</x:v>
      </x:c>
      <x:c r="Q21" s="20" t="str">
        <x:v>CC80 textual aparece con centrocosto_id distinto; no reconciliar sin maestro.</x:v>
      </x:c>
    </x:row>
    <x:row r="22" ht="54" customHeight="1">
      <x:c r="A22" s="20" t="str">
        <x:v>SERV. VARIOS</x:v>
      </x:c>
      <x:c r="B22" s="20" t="n">
        <x:v>3</x:v>
      </x:c>
      <x:c r="C22" s="20" t="n">
        <x:v>6</x:v>
      </x:c>
      <x:c r="D22" s="20" t="str">
        <x:v>Serv. Varios multi tareas para PAE;  cuenta con un contrato mensual de alto vacio</x:v>
      </x:c>
      <x:c r="E22" s="20" t="str">
        <x:v>Activo/no marcado</x:v>
      </x:c>
      <x:c r="F22" s="20" t="str"/>
      <x:c r="G22" s="20" t="str">
        <x:v>PAE</x:v>
      </x:c>
      <x:c r="H22" s="20" t="str">
        <x:v>Servicios varios</x:v>
      </x:c>
      <x:c r="I22" s="20" t="str"/>
      <x:c r="J22" s="20" t="str"/>
      <x:c r="K22" s="20" t="str"/>
      <x:c r="L22" s="20" t="str"/>
      <x:c r="M22" s="20" t="str"/>
      <x:c r="N22" s="20" t="str"/>
      <x:c r="O22" s="20" t="str"/>
      <x:c r="P22" s="20" t="str"/>
      <x:c r="Q22" s="20" t="str">
        <x:v>Sin fila de Seguimiento emparejada de forma segura.</x:v>
      </x:c>
    </x:row>
    <x:row r="23" ht="54" customHeight="1">
      <x:c r="A23" s="20" t="str">
        <x:v>TECOIL CC10</x:v>
      </x:c>
      <x:c r="B23" s="20" t="n">
        <x:v>1</x:v>
      </x:c>
      <x:c r="C23" s="20" t="n">
        <x:v>28</x:v>
      </x:c>
      <x:c r="D23" s="20" t="str">
        <x:v>Contrato NO ACTIVO</x:v>
      </x:c>
      <x:c r="E23" s="20" t="str">
        <x:v>NO ACTIVO</x:v>
      </x:c>
      <x:c r="F23" s="20" t="str">
        <x:v>CC10</x:v>
      </x:c>
      <x:c r="G23" s="20" t="str">
        <x:v>TECOIL</x:v>
      </x:c>
      <x:c r="H23" s="20" t="str"/>
      <x:c r="I23" s="20" t="str"/>
      <x:c r="J23" s="20" t="str"/>
      <x:c r="K23" s="20" t="str"/>
      <x:c r="L23" s="20" t="str"/>
      <x:c r="M23" s="20" t="str"/>
      <x:c r="N23" s="20" t="str"/>
      <x:c r="O23" s="20" t="str"/>
      <x:c r="P23" s="20" t="str"/>
      <x:c r="Q23" s="20" t="str">
        <x:v>Registro marcado NO ACTIVO en Info VDS. Sin fila de Seguimiento emparejada de forma segura.</x:v>
      </x:c>
    </x:row>
    <x:row r="24" ht="54" customHeight="1">
      <x:c r="A24" s="20" t="str">
        <x:v>TECPETROL</x:v>
      </x:c>
      <x:c r="B24" s="20" t="n">
        <x:v>5</x:v>
      </x:c>
      <x:c r="C24" s="20" t="n">
        <x:v>8</x:v>
      </x:c>
      <x:c r="D24" s="20" t="str">
        <x:v>Contrato NO ACTIVO</x:v>
      </x:c>
      <x:c r="E24" s="20" t="str">
        <x:v>NO ACTIVO</x:v>
      </x:c>
      <x:c r="F24" s="20" t="str"/>
      <x:c r="G24" s="20" t="str">
        <x:v>TECPETROL</x:v>
      </x:c>
      <x:c r="H24" s="20" t="str"/>
      <x:c r="I24" s="20" t="str"/>
      <x:c r="J24" s="20" t="str"/>
      <x:c r="K24" s="20" t="str"/>
      <x:c r="L24" s="20" t="str"/>
      <x:c r="M24" s="20" t="str"/>
      <x:c r="N24" s="20" t="str"/>
      <x:c r="O24" s="20" t="str"/>
      <x:c r="P24" s="20" t="str"/>
      <x:c r="Q24" s="20" t="str">
        <x:v>Registro marcado NO ACTIVO en Info VDS. Sin fila de Seguimiento emparejada de forma segura.</x:v>
      </x:c>
    </x:row>
    <x:row r="25" ht="54" customHeight="1">
      <x:c r="A25" s="20" t="str">
        <x:v>TERMAP</x:v>
      </x:c>
      <x:c r="B25" s="20" t="n">
        <x:v>1</x:v>
      </x:c>
      <x:c r="C25" s="20" t="n">
        <x:v>22</x:v>
      </x:c>
      <x:c r="D25" s="20" t="str">
        <x:v>Contrato Multifucional para Terminal Termap </x:v>
      </x:c>
      <x:c r="E25" s="20" t="str">
        <x:v>Activo/no marcado</x:v>
      </x:c>
      <x:c r="F25" s="20" t="str"/>
      <x:c r="G25" s="20" t="str">
        <x:v>TERMAP</x:v>
      </x:c>
      <x:c r="H25" s="20" t="str">
        <x:v>Multifuncional TERMAP</x:v>
      </x:c>
      <x:c r="I25" s="20" t="str">
        <x:v>RT/ Supervisor </x:v>
      </x:c>
      <x:c r="J25" s="20" t="str">
        <x:v>SUPERVISOR</x:v>
      </x:c>
      <x:c r="K25" s="20" t="str">
        <x:v>Digital / sistema</x:v>
      </x:c>
      <x:c r="L25" s="20" t="str">
        <x:v>SUPERVISOR VdS y SUPERVISOR TERMAP</x:v>
      </x:c>
      <x:c r="M25" s="20" t="str">
        <x:v>Firma digital</x:v>
      </x:c>
      <x:c r="N25" s="20" t="str">
        <x:v>CERTIFICACION VDS</x:v>
      </x:c>
      <x:c r="O25" s="20" t="str">
        <x:v>Diaria</x:v>
      </x:c>
      <x:c r="P25" s="20" t="str">
        <x:v>WF-B · Diario supervisor/conformidad posterior</x:v>
      </x:c>
      <x:c r="Q25" s="20" t="str"/>
    </x:row>
    <x:row r="26" ht="54" customHeight="1">
      <x:c r="A26" s="20" t="str">
        <x:v>TRANSP. LARGA DISTANCIA</x:v>
      </x:c>
      <x:c r="B26" s="20" t="n">
        <x:v>12</x:v>
      </x:c>
      <x:c r="C26" s="20" t="n">
        <x:v>19</x:v>
      </x:c>
      <x:c r="D26" s="20" t="str">
        <x:v>Contrato NO ACTIVO</x:v>
      </x:c>
      <x:c r="E26" s="20" t="str">
        <x:v>NO ACTIVO</x:v>
      </x:c>
      <x:c r="F26" s="20" t="str"/>
      <x:c r="G26" s="20" t="str"/>
      <x:c r="H26" s="20" t="str"/>
      <x:c r="I26" s="20" t="str"/>
      <x:c r="J26" s="20" t="str"/>
      <x:c r="K26" s="20" t="str"/>
      <x:c r="L26" s="20" t="str"/>
      <x:c r="M26" s="20" t="str"/>
      <x:c r="N26" s="20" t="str"/>
      <x:c r="O26" s="20" t="str"/>
      <x:c r="P26" s="20" t="str"/>
      <x:c r="Q26" s="20" t="str">
        <x:v>Registro marcado NO ACTIVO en Info VDS. Sin fila de Seguimiento emparejada de forma segura.</x:v>
      </x:c>
    </x:row>
    <x:row r="28">
      <x:c r="A28" s="842" t="str">
        <x:v>FILAS DE SEGUIMIENTO SIN MATCH 1:1 SEGURO EN INFO VDS</x:v>
      </x:c>
      <x:c r="B28" s="842"/>
      <x:c r="C28" s="842"/>
      <x:c r="D28" s="842"/>
      <x:c r="E28" s="842"/>
      <x:c r="F28" s="842"/>
      <x:c r="G28" s="842"/>
      <x:c r="H28" s="842"/>
      <x:c r="I28" s="842"/>
      <x:c r="J28" s="842"/>
      <x:c r="K28" s="842"/>
      <x:c r="L28" s="842"/>
      <x:c r="M28" s="842"/>
      <x:c r="N28" s="842"/>
      <x:c r="O28" s="842"/>
      <x:c r="P28" s="842"/>
      <x:c r="Q28" s="842"/>
    </x:row>
    <x:row r="29">
      <x:c r="A29" s="945" t="str">
        <x:v>Contexto fuente</x:v>
      </x:c>
      <x:c r="B29" s="945" t="str">
        <x:v>Quién planifica</x:v>
      </x:c>
      <x:c r="C29" s="945" t="str">
        <x:v>Quién genera</x:v>
      </x:c>
      <x:c r="D29" s="945" t="str">
        <x:v>Medio generación</x:v>
      </x:c>
      <x:c r="E29" s="945" t="str">
        <x:v>Quién firma</x:v>
      </x:c>
      <x:c r="F29" s="945" t="str">
        <x:v>Medio firma</x:v>
      </x:c>
      <x:c r="G29" s="945" t="str">
        <x:v>Siguiente paso</x:v>
      </x:c>
      <x:c r="H29" s="945" t="str">
        <x:v>Frecuencia</x:v>
      </x:c>
      <x:c r="I29" s="945" t="str">
        <x:v>Herramienta</x:v>
      </x:c>
      <x:c r="J29" s="945" t="str">
        <x:v>Observaciones</x:v>
      </x:c>
    </x:row>
    <x:row r="30" ht="54" customHeight="1">
      <x:c r="A30" s="20" t="str">
        <x:v>PECOM — Mantenimiento</x:v>
      </x:c>
      <x:c r="B30" s="20" t="str">
        <x:v>RT/ supervisor/ chofer/ etc</x:v>
      </x:c>
      <x:c r="C30" s="20" t="str">
        <x:v>Cuadrilla de campo (encargado del frente)</x:v>
      </x:c>
      <x:c r="D30" s="20" t="str">
        <x:v>Papel, en planilla impresa por frente</x:v>
      </x:c>
      <x:c r="E30" s="20" t="str">
        <x:v>Aprobador de la ubicación técnica (varía según el frente)</x:v>
      </x:c>
      <x:c r="F30" s="20" t="str">
        <x:v>Papel, firma manuscrita</x:v>
      </x:c>
      <x:c r="G30" s="20" t="str">
        <x:v>Administración VDS, para certificación</x:v>
      </x:c>
      <x:c r="H30" s="20" t="str">
        <x:v>Diaria</x:v>
      </x:c>
      <x:c r="I30" s="20" t="str">
        <x:v>Planilla papel → después carga manual</x:v>
      </x:c>
      <x:c r="J30" s="20" t="str">
        <x:v>Si el parte cruza varios frentes, cada uno tiene su propio aprobador y a veces la firma tarda días en juntarse</x:v>
      </x:c>
    </x:row>
    <x:row r="31" ht="54" customHeight="1">
      <x:c r="A31" s="20" t="str">
        <x:v>PULLING</x:v>
      </x:c>
      <x:c r="B31" s="20" t="str">
        <x:v>RT/ Supervisor </x:v>
      </x:c>
      <x:c r="C31" s="20" t="str">
        <x:v>SUPERVISOR</x:v>
      </x:c>
      <x:c r="D31" s="20"/>
      <x:c r="E31" s="20"/>
      <x:c r="F31" s="20"/>
      <x:c r="G31" s="20"/>
      <x:c r="H31" s="20"/>
      <x:c r="I31" s="20"/>
      <x:c r="J31" s="20"/>
    </x:row>
    <x:row r="32" ht="54" customHeight="1">
      <x:c r="A32" s="20" t="str">
        <x:v>CARGAS LIQUIDAS CC-26</x:v>
      </x:c>
      <x:c r="B32" s="20" t="str">
        <x:v>RT/ Supervisor </x:v>
      </x:c>
      <x:c r="C32" s="20" t="str">
        <x:v>CHOFER </x:v>
      </x:c>
      <x:c r="D32" s="20" t="str">
        <x:v>Papel</x:v>
      </x:c>
      <x:c r="E32" s="20" t="str">
        <x:v>REPRESENTANTE DE LA OPERADORA</x:v>
      </x:c>
      <x:c r="F32" s="20" t="str">
        <x:v>Mixto</x:v>
      </x:c>
      <x:c r="G32" s="20" t="str">
        <x:v>CERTIFICACION VDS</x:v>
      </x:c>
      <x:c r="H32" s="20" t="str">
        <x:v>Semanal</x:v>
      </x:c>
      <x:c r="I32" s="20" t="str">
        <x:v>carga manual en planilla compartida</x:v>
      </x:c>
      <x:c r="J32" s="20" t="str">
        <x:v>el parte fisico llega a base operativa, se carga en planilla compartida y se envia para su firma digital con copia al sector de certificaciones cada diez dias</x:v>
      </x:c>
    </x:row>
    <x:row r="33" ht="54" customHeight="1">
      <x:c r="A33" s="20" t="str">
        <x:v>PECOM-CC10</x:v>
      </x:c>
      <x:c r="B33" s="20" t="str">
        <x:v>RT/ Supervisor </x:v>
      </x:c>
      <x:c r="C33" s="20" t="str">
        <x:v>SUPERVISOR</x:v>
      </x:c>
      <x:c r="D33" s="20" t="str">
        <x:v>Digital / sistema</x:v>
      </x:c>
      <x:c r="E33" s="20" t="str">
        <x:v>SUPERVISOR VdS y SUPERVISOR PECOM</x:v>
      </x:c>
      <x:c r="F33" s="20" t="str">
        <x:v>Mixto</x:v>
      </x:c>
      <x:c r="G33" s="20" t="str">
        <x:v>CERTIFICACION VDS</x:v>
      </x:c>
      <x:c r="H33" s="20" t="str">
        <x:v>Diaria</x:v>
      </x:c>
      <x:c r="I33" s="20" t="str">
        <x:v>Planilla papel → después carga manual</x:v>
      </x:c>
      <x:c r="J33" s="20" t="str">
        <x:v>El parte se envía al dia siguiente para la firma. Algunos supervisores del cliente firman en digital. Otros en papel. Supervisor de VdS lo carga en Seguimiento y pasa a certificaciones</x:v>
      </x:c>
    </x:row>
    <x:row r="34" ht="54" customHeight="1">
      <x:c r="A34" s="20" t="str">
        <x:v>PECOM PULLING</x:v>
      </x:c>
      <x:c r="B34" s="20" t="str">
        <x:v>RT/ Supervisor </x:v>
      </x:c>
      <x:c r="C34" s="20" t="str">
        <x:v>SUPERVISOR</x:v>
      </x:c>
      <x:c r="D34" s="20" t="str">
        <x:v>Digital / sistema</x:v>
      </x:c>
      <x:c r="E34" s="20" t="str">
        <x:v>SUPERVISOR VdS y SUPERVISOR PECOM</x:v>
      </x:c>
      <x:c r="F34" s="20" t="str">
        <x:v>Mixto</x:v>
      </x:c>
      <x:c r="G34" s="20" t="str">
        <x:v>CERTIFICACION VDS</x:v>
      </x:c>
      <x:c r="H34" s="20" t="str">
        <x:v>Diaria</x:v>
      </x:c>
      <x:c r="I34" s="20" t="str">
        <x:v>Planilla papel → después carga manual</x:v>
      </x:c>
      <x:c r="J34" s="20" t="str">
        <x:v>El parte se envía al dia siguiente para la firma. Algunos supervisores del cliente firman en digital. Otros en papel. Supervisor de VdS lo carga en Seguimiento y pasa a certificaciones</x:v>
      </x:c>
    </x:row>
  </x:sheetData>
  <x:mergeCells>
    <x:mergeCell ref="A1:Q1"/>
    <x:mergeCell ref="A2:Q2"/>
    <x:mergeCell ref="A28:Q28"/>
  </x:mergeCells>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x:c r="A1" s="808" t="str">
        <x:v>ARQUITECTURA INTEGRAL VDS · REV D.0 · CAPA MAESTRA CONTRACTUAL + 3 DOMINIOS</x:v>
      </x:c>
      <x:c r="B1" s="808"/>
      <x:c r="C1" s="808"/>
      <x:c r="D1" s="808"/>
      <x:c r="E1" s="808"/>
      <x:c r="F1" s="808"/>
      <x:c r="G1" s="808"/>
      <x:c r="H1" s="808"/>
      <x:c r="I1" s="808"/>
      <x:c r="J1" s="808"/>
      <x:c r="K1" s="808"/>
      <x:c r="L1" s="808"/>
      <x:c r="M1" s="808"/>
      <x:c r="N1" s="808"/>
      <x:c r="O1" s="808"/>
      <x:c r="P1" s="808"/>
    </x:row>
    <x:row r="2">
      <x:c r="A2" s="810" t="str">
        <x:v>Borrador maestro para evolucionar hacia el entregable final en lenguaje arquitectura de computadora. Blanco = estructura · coral = motor/gate · amarillo = slot pendiente de fuente contractual.</x:v>
      </x:c>
      <x:c r="B2" s="810"/>
      <x:c r="C2" s="810"/>
      <x:c r="D2" s="810"/>
      <x:c r="E2" s="810"/>
      <x:c r="F2" s="810"/>
      <x:c r="G2" s="810"/>
      <x:c r="H2" s="810"/>
      <x:c r="I2" s="810"/>
      <x:c r="J2" s="810"/>
      <x:c r="K2" s="810"/>
      <x:c r="L2" s="810"/>
      <x:c r="M2" s="810"/>
      <x:c r="N2" s="810"/>
      <x:c r="O2" s="810"/>
      <x:c r="P2" s="810"/>
    </x:row>
    <x:row r="4">
      <x:c r="A4" s="813" t="str">
        <x:v>00 — PLANO CONTRACTUAL / CONFIGURACIÓN · NO ES UN PASO SECUENCIAL</x:v>
      </x:c>
      <x:c r="B4" s="813"/>
      <x:c r="C4" s="813"/>
      <x:c r="D4" s="813"/>
      <x:c r="E4" s="813"/>
      <x:c r="F4" s="813"/>
      <x:c r="G4" s="813"/>
      <x:c r="H4" s="813"/>
      <x:c r="I4" s="813"/>
      <x:c r="J4" s="813"/>
      <x:c r="K4" s="813"/>
      <x:c r="L4" s="813"/>
      <x:c r="M4" s="813"/>
      <x:c r="N4" s="813"/>
      <x:c r="O4" s="813"/>
      <x:c r="P4" s="813"/>
    </x:row>
    <x:row r="6">
      <x:c r="A6" s="861" t="str">
        <x:v>CLIENTE
→ CONTRATO
→ VERSION</x:v>
      </x:c>
      <x:c r="B6" s="987"/>
      <x:c r="C6" s="862"/>
      <x:c r="E6" s="887" t="str">
        <x:v>CONTRATO
SERVICIO</x:v>
      </x:c>
      <x:c r="F6" s="999"/>
      <x:c r="G6" s="888"/>
      <x:c r="I6" s="834" t="str">
        <x:v>CENTRO COSTO
+ ITEM
+ UM</x:v>
      </x:c>
      <x:c r="J6" s="902"/>
      <x:c r="K6" s="835"/>
      <x:c r="M6" s="834" t="str">
        <x:v>REGLAS
ruteo · medición · evidencia
firma · agrupación · cadencias</x:v>
      </x:c>
      <x:c r="N6" s="902"/>
      <x:c r="O6" s="902"/>
      <x:c r="P6" s="835"/>
    </x:row>
    <x:row r="7">
      <x:c r="A7" s="863"/>
      <x:c r="B7" s="988"/>
      <x:c r="C7" s="864"/>
      <x:c r="D7" s="840" t="str">
        <x:v>→</x:v>
      </x:c>
      <x:c r="E7" s="889"/>
      <x:c r="F7" s="1000"/>
      <x:c r="G7" s="890"/>
      <x:c r="H7" s="840" t="str">
        <x:v>→</x:v>
      </x:c>
      <x:c r="I7" s="836"/>
      <x:c r="J7" s="903"/>
      <x:c r="K7" s="837"/>
      <x:c r="L7" s="840" t="str">
        <x:v>→</x:v>
      </x:c>
      <x:c r="M7" s="836"/>
      <x:c r="N7" s="903"/>
      <x:c r="O7" s="903"/>
      <x:c r="P7" s="837"/>
    </x:row>
    <x:row r="8">
      <x:c r="A8" s="863"/>
      <x:c r="B8" s="988"/>
      <x:c r="C8" s="864"/>
      <x:c r="E8" s="889"/>
      <x:c r="F8" s="1000"/>
      <x:c r="G8" s="890"/>
      <x:c r="I8" s="836"/>
      <x:c r="J8" s="903"/>
      <x:c r="K8" s="837"/>
      <x:c r="M8" s="836"/>
      <x:c r="N8" s="903"/>
      <x:c r="O8" s="903"/>
      <x:c r="P8" s="837"/>
    </x:row>
    <x:row r="9">
      <x:c r="A9" s="865"/>
      <x:c r="B9" s="989"/>
      <x:c r="C9" s="866"/>
      <x:c r="E9" s="891"/>
      <x:c r="F9" s="1001"/>
      <x:c r="G9" s="892"/>
      <x:c r="I9" s="838"/>
      <x:c r="J9" s="904"/>
      <x:c r="K9" s="839"/>
      <x:c r="M9" s="838"/>
      <x:c r="N9" s="904"/>
      <x:c r="O9" s="904"/>
      <x:c r="P9" s="839"/>
    </x:row>
    <x:row r="11">
      <x:c r="B11" s="736" t="str">
        <x:v>↓</x:v>
      </x:c>
      <x:c r="F11" s="736" t="str">
        <x:v>↓</x:v>
      </x:c>
      <x:c r="J11" s="736" t="str">
        <x:v>↓</x:v>
      </x:c>
      <x:c r="N11" s="736" t="str">
        <x:v>↓</x:v>
      </x:c>
    </x:row>
    <x:row r="13">
      <x:c r="A13" s="1002" t="str">
        <x:v>01 — PLANIFICACIÓN · LO PREVISTO</x:v>
      </x:c>
      <x:c r="B13" s="1002"/>
      <x:c r="C13" s="1002"/>
      <x:c r="D13" s="1002"/>
      <x:c r="E13" s="1002"/>
      <x:c r="F13" s="813" t="str">
        <x:v>02 — EJECUCIÓN / PARTES · LO REAL</x:v>
      </x:c>
      <x:c r="G13" s="813"/>
      <x:c r="H13" s="813"/>
      <x:c r="I13" s="813"/>
      <x:c r="J13" s="813"/>
      <x:c r="K13" s="813"/>
      <x:c r="L13" s="1002" t="str">
        <x:v>03 — CERTIFICACIÓN / FACTURACIÓN · LO RECONOCIBLE</x:v>
      </x:c>
      <x:c r="M13" s="1002"/>
      <x:c r="N13" s="1002"/>
      <x:c r="O13" s="1002"/>
      <x:c r="P13" s="1002"/>
    </x:row>
    <x:row r="15">
      <x:c r="A15" s="834" t="str">
        <x:v>DEMANDA / NECESIDAD
operativa</x:v>
      </x:c>
      <x:c r="B15" s="902"/>
      <x:c r="C15" s="902"/>
      <x:c r="D15" s="902"/>
      <x:c r="E15" s="835"/>
      <x:c r="F15" s="887" t="str">
        <x:v>ƒ MOTOR DE RUTEO
Perfil + Asignación + Contexto
→ TipoParte</x:v>
      </x:c>
      <x:c r="G15" s="999"/>
      <x:c r="H15" s="999"/>
      <x:c r="I15" s="999"/>
      <x:c r="J15" s="999"/>
      <x:c r="K15" s="888"/>
      <x:c r="L15" s="834" t="str">
        <x:v>RECIBIR VERDAD
OPERACIONAL
Parte / Unidad / Evidencia</x:v>
      </x:c>
      <x:c r="M15" s="902"/>
      <x:c r="N15" s="902"/>
      <x:c r="O15" s="902"/>
      <x:c r="P15" s="835"/>
    </x:row>
    <x:row r="16">
      <x:c r="A16" s="836"/>
      <x:c r="B16" s="903"/>
      <x:c r="C16" s="903"/>
      <x:c r="D16" s="903"/>
      <x:c r="E16" s="837"/>
      <x:c r="F16" s="889"/>
      <x:c r="G16" s="1000"/>
      <x:c r="H16" s="1000"/>
      <x:c r="I16" s="1000"/>
      <x:c r="J16" s="1000"/>
      <x:c r="K16" s="890"/>
      <x:c r="L16" s="836"/>
      <x:c r="M16" s="903"/>
      <x:c r="N16" s="903"/>
      <x:c r="O16" s="903"/>
      <x:c r="P16" s="837"/>
    </x:row>
    <x:row r="17">
      <x:c r="A17" s="836"/>
      <x:c r="B17" s="903"/>
      <x:c r="C17" s="903"/>
      <x:c r="D17" s="903"/>
      <x:c r="E17" s="837"/>
      <x:c r="F17" s="889"/>
      <x:c r="G17" s="1000"/>
      <x:c r="H17" s="1000"/>
      <x:c r="I17" s="1000"/>
      <x:c r="J17" s="1000"/>
      <x:c r="K17" s="890"/>
      <x:c r="L17" s="836"/>
      <x:c r="M17" s="903"/>
      <x:c r="N17" s="903"/>
      <x:c r="O17" s="903"/>
      <x:c r="P17" s="837"/>
    </x:row>
    <x:row r="18">
      <x:c r="A18" s="838"/>
      <x:c r="B18" s="904"/>
      <x:c r="C18" s="904"/>
      <x:c r="D18" s="904"/>
      <x:c r="E18" s="839"/>
      <x:c r="F18" s="891"/>
      <x:c r="G18" s="1001"/>
      <x:c r="H18" s="1001"/>
      <x:c r="I18" s="1001"/>
      <x:c r="J18" s="1001"/>
      <x:c r="K18" s="892"/>
      <x:c r="L18" s="838"/>
      <x:c r="M18" s="904"/>
      <x:c r="N18" s="904"/>
      <x:c r="O18" s="904"/>
      <x:c r="P18" s="839"/>
    </x:row>
    <x:row r="19">
      <x:c r="C19" s="736" t="str">
        <x:v>↓</x:v>
      </x:c>
      <x:c r="H19" s="736" t="str">
        <x:v>↓</x:v>
      </x:c>
      <x:c r="N19" s="736" t="str">
        <x:v>↓</x:v>
      </x:c>
    </x:row>
    <x:row r="20">
      <x:c r="A20" s="834" t="str">
        <x:v>PLANIFICAR
servicio · ubicación · fecha/turno
personas · recursos · prioridad</x:v>
      </x:c>
      <x:c r="B20" s="902"/>
      <x:c r="C20" s="902"/>
      <x:c r="D20" s="902"/>
      <x:c r="E20" s="835"/>
      <x:c r="F20" s="887" t="str">
        <x:v>GATES EJECUCIÓN
E1 ruteo · E2 documental
E3 permiso · E4 corte</x:v>
      </x:c>
      <x:c r="G20" s="999"/>
      <x:c r="H20" s="999"/>
      <x:c r="I20" s="999"/>
      <x:c r="J20" s="999"/>
      <x:c r="K20" s="888"/>
      <x:c r="L20" s="887" t="str">
        <x:v>ƒ AGRUPACIÓN
CONTRACTUAL
pozo · período · ítem · CC · ?</x:v>
      </x:c>
      <x:c r="M20" s="999"/>
      <x:c r="N20" s="999"/>
      <x:c r="O20" s="999"/>
      <x:c r="P20" s="888"/>
    </x:row>
    <x:row r="21">
      <x:c r="A21" s="836"/>
      <x:c r="B21" s="903"/>
      <x:c r="C21" s="903"/>
      <x:c r="D21" s="903"/>
      <x:c r="E21" s="837"/>
      <x:c r="F21" s="889"/>
      <x:c r="G21" s="1000"/>
      <x:c r="H21" s="1000"/>
      <x:c r="I21" s="1000"/>
      <x:c r="J21" s="1000"/>
      <x:c r="K21" s="890"/>
      <x:c r="L21" s="889"/>
      <x:c r="M21" s="1000"/>
      <x:c r="N21" s="1000"/>
      <x:c r="O21" s="1000"/>
      <x:c r="P21" s="890"/>
    </x:row>
    <x:row r="22">
      <x:c r="A22" s="836"/>
      <x:c r="B22" s="903"/>
      <x:c r="C22" s="903"/>
      <x:c r="D22" s="903"/>
      <x:c r="E22" s="837"/>
      <x:c r="F22" s="889"/>
      <x:c r="G22" s="1000"/>
      <x:c r="H22" s="1000"/>
      <x:c r="I22" s="1000"/>
      <x:c r="J22" s="1000"/>
      <x:c r="K22" s="890"/>
      <x:c r="L22" s="889"/>
      <x:c r="M22" s="1000"/>
      <x:c r="N22" s="1000"/>
      <x:c r="O22" s="1000"/>
      <x:c r="P22" s="890"/>
    </x:row>
    <x:row r="23">
      <x:c r="A23" s="836"/>
      <x:c r="B23" s="903"/>
      <x:c r="C23" s="903"/>
      <x:c r="D23" s="903"/>
      <x:c r="E23" s="837"/>
      <x:c r="F23" s="891"/>
      <x:c r="G23" s="1001"/>
      <x:c r="H23" s="1001"/>
      <x:c r="I23" s="1001"/>
      <x:c r="J23" s="1001"/>
      <x:c r="K23" s="892"/>
      <x:c r="L23" s="891"/>
      <x:c r="M23" s="1001"/>
      <x:c r="N23" s="1001"/>
      <x:c r="O23" s="1001"/>
      <x:c r="P23" s="892"/>
    </x:row>
    <x:row r="24">
      <x:c r="A24" s="838"/>
      <x:c r="B24" s="904"/>
      <x:c r="C24" s="904"/>
      <x:c r="D24" s="904"/>
      <x:c r="E24" s="839"/>
      <x:c r="H24" s="736" t="str">
        <x:v>↓</x:v>
      </x:c>
      <x:c r="N24" s="736" t="str">
        <x:v>↓</x:v>
      </x:c>
    </x:row>
    <x:row r="25">
      <x:c r="C25" s="736" t="str">
        <x:v>↓</x:v>
      </x:c>
      <x:c r="F25" s="834" t="str">
        <x:v>PARTE
+ UnidadEjecución [N]
+ tiempos · recursos · ubicación
+ medición · evidencia</x:v>
      </x:c>
      <x:c r="G25" s="902"/>
      <x:c r="H25" s="902"/>
      <x:c r="I25" s="902"/>
      <x:c r="J25" s="902"/>
      <x:c r="K25" s="835"/>
      <x:c r="L25" s="861" t="str">
        <x:v>PAQUETE
CERTIFICACIÓN
[N:M por definir]</x:v>
      </x:c>
      <x:c r="M25" s="987"/>
      <x:c r="N25" s="987"/>
      <x:c r="O25" s="987"/>
      <x:c r="P25" s="862"/>
    </x:row>
    <x:row r="26">
      <x:c r="A26" s="887" t="str">
        <x:v>GATE P1
¿contexto suficiente?
+ pre-check documental</x:v>
      </x:c>
      <x:c r="B26" s="999"/>
      <x:c r="C26" s="999"/>
      <x:c r="D26" s="999"/>
      <x:c r="E26" s="888"/>
      <x:c r="F26" s="836"/>
      <x:c r="G26" s="903"/>
      <x:c r="H26" s="903"/>
      <x:c r="I26" s="903"/>
      <x:c r="J26" s="903"/>
      <x:c r="K26" s="837"/>
      <x:c r="L26" s="863"/>
      <x:c r="M26" s="988"/>
      <x:c r="N26" s="988"/>
      <x:c r="O26" s="988"/>
      <x:c r="P26" s="864"/>
    </x:row>
    <x:row r="27">
      <x:c r="A27" s="889"/>
      <x:c r="B27" s="1000"/>
      <x:c r="C27" s="1000"/>
      <x:c r="D27" s="1000"/>
      <x:c r="E27" s="890"/>
      <x:c r="F27" s="836"/>
      <x:c r="G27" s="903"/>
      <x:c r="H27" s="903"/>
      <x:c r="I27" s="903"/>
      <x:c r="J27" s="903"/>
      <x:c r="K27" s="837"/>
      <x:c r="L27" s="863"/>
      <x:c r="M27" s="988"/>
      <x:c r="N27" s="988"/>
      <x:c r="O27" s="988"/>
      <x:c r="P27" s="864"/>
    </x:row>
    <x:row r="28">
      <x:c r="A28" s="889"/>
      <x:c r="B28" s="1000"/>
      <x:c r="C28" s="1000"/>
      <x:c r="D28" s="1000"/>
      <x:c r="E28" s="890"/>
      <x:c r="F28" s="836"/>
      <x:c r="G28" s="903"/>
      <x:c r="H28" s="903"/>
      <x:c r="I28" s="903"/>
      <x:c r="J28" s="903"/>
      <x:c r="K28" s="837"/>
      <x:c r="L28" s="865"/>
      <x:c r="M28" s="989"/>
      <x:c r="N28" s="989"/>
      <x:c r="O28" s="989"/>
      <x:c r="P28" s="866"/>
    </x:row>
    <x:row r="29">
      <x:c r="A29" s="889"/>
      <x:c r="B29" s="1000"/>
      <x:c r="C29" s="1000"/>
      <x:c r="D29" s="1000"/>
      <x:c r="E29" s="890"/>
      <x:c r="F29" s="838"/>
      <x:c r="G29" s="904"/>
      <x:c r="H29" s="904"/>
      <x:c r="I29" s="904"/>
      <x:c r="J29" s="904"/>
      <x:c r="K29" s="839"/>
      <x:c r="N29" s="736" t="str">
        <x:v>↓</x:v>
      </x:c>
    </x:row>
    <x:row r="30">
      <x:c r="A30" s="891"/>
      <x:c r="B30" s="1001"/>
      <x:c r="C30" s="1001"/>
      <x:c r="D30" s="1001"/>
      <x:c r="E30" s="892"/>
      <x:c r="H30" s="736" t="str">
        <x:v>↓</x:v>
      </x:c>
      <x:c r="L30" s="834" t="str">
        <x:v>CERTIFICACIÓN
aprobada / observada</x:v>
      </x:c>
      <x:c r="M30" s="902"/>
      <x:c r="N30" s="902"/>
      <x:c r="O30" s="902"/>
      <x:c r="P30" s="835"/>
    </x:row>
    <x:row r="31">
      <x:c r="C31" s="736" t="str">
        <x:v>↓</x:v>
      </x:c>
      <x:c r="F31" s="887" t="str">
        <x:v>GATE E5 · CIERRE
→ cerrado_operativamente
→ documentalmente completo (después)</x:v>
      </x:c>
      <x:c r="G31" s="999"/>
      <x:c r="H31" s="999"/>
      <x:c r="I31" s="999"/>
      <x:c r="J31" s="999"/>
      <x:c r="K31" s="888"/>
      <x:c r="L31" s="836"/>
      <x:c r="M31" s="903"/>
      <x:c r="N31" s="903"/>
      <x:c r="O31" s="903"/>
      <x:c r="P31" s="837"/>
    </x:row>
    <x:row r="32">
      <x:c r="A32" s="834" t="str">
        <x:v>PLAN CONFIRMADO
INTERFAZ → PARTE</x:v>
      </x:c>
      <x:c r="B32" s="902"/>
      <x:c r="C32" s="902"/>
      <x:c r="D32" s="902"/>
      <x:c r="E32" s="835"/>
      <x:c r="F32" s="889"/>
      <x:c r="G32" s="1000"/>
      <x:c r="H32" s="1000"/>
      <x:c r="I32" s="1000"/>
      <x:c r="J32" s="1000"/>
      <x:c r="K32" s="890"/>
      <x:c r="L32" s="836"/>
      <x:c r="M32" s="903"/>
      <x:c r="N32" s="903"/>
      <x:c r="O32" s="903"/>
      <x:c r="P32" s="837"/>
    </x:row>
    <x:row r="33">
      <x:c r="A33" s="836"/>
      <x:c r="B33" s="903"/>
      <x:c r="C33" s="903"/>
      <x:c r="D33" s="903"/>
      <x:c r="E33" s="837"/>
      <x:c r="F33" s="889"/>
      <x:c r="G33" s="1000"/>
      <x:c r="H33" s="1000"/>
      <x:c r="I33" s="1000"/>
      <x:c r="J33" s="1000"/>
      <x:c r="K33" s="890"/>
      <x:c r="L33" s="838"/>
      <x:c r="M33" s="904"/>
      <x:c r="N33" s="904"/>
      <x:c r="O33" s="904"/>
      <x:c r="P33" s="839"/>
    </x:row>
    <x:row r="34">
      <x:c r="A34" s="836"/>
      <x:c r="B34" s="903"/>
      <x:c r="C34" s="903"/>
      <x:c r="D34" s="903"/>
      <x:c r="E34" s="837"/>
      <x:c r="F34" s="889"/>
      <x:c r="G34" s="1000"/>
      <x:c r="H34" s="1000"/>
      <x:c r="I34" s="1000"/>
      <x:c r="J34" s="1000"/>
      <x:c r="K34" s="890"/>
      <x:c r="N34" s="736" t="str">
        <x:v>↓</x:v>
      </x:c>
    </x:row>
    <x:row r="35">
      <x:c r="A35" s="838"/>
      <x:c r="B35" s="904"/>
      <x:c r="C35" s="904"/>
      <x:c r="D35" s="904"/>
      <x:c r="E35" s="839"/>
      <x:c r="F35" s="891"/>
      <x:c r="G35" s="1001"/>
      <x:c r="H35" s="1001"/>
      <x:c r="I35" s="1001"/>
      <x:c r="J35" s="1001"/>
      <x:c r="K35" s="892"/>
      <x:c r="L35" s="834" t="str">
        <x:v>HABILITA
FACTURACIÓN</x:v>
      </x:c>
      <x:c r="M35" s="902"/>
      <x:c r="N35" s="902"/>
      <x:c r="O35" s="902"/>
      <x:c r="P35" s="835"/>
    </x:row>
    <x:row r="36">
      <x:c r="L36" s="836"/>
      <x:c r="M36" s="903"/>
      <x:c r="N36" s="903"/>
      <x:c r="O36" s="903"/>
      <x:c r="P36" s="837"/>
    </x:row>
    <x:row r="37">
      <x:c r="L37" s="836"/>
      <x:c r="M37" s="903"/>
      <x:c r="N37" s="903"/>
      <x:c r="O37" s="903"/>
      <x:c r="P37" s="837"/>
    </x:row>
    <x:row r="38">
      <x:c r="L38" s="838"/>
      <x:c r="M38" s="904"/>
      <x:c r="N38" s="904"/>
      <x:c r="O38" s="904"/>
      <x:c r="P38" s="839"/>
    </x:row>
    <x:row r="40">
      <x:c r="A40" s="905" t="str">
        <x:v>INTERFACES ENTRE DOMINIOS</x:v>
      </x:c>
      <x:c r="B40" s="905"/>
      <x:c r="C40" s="905"/>
      <x:c r="D40" s="905"/>
      <x:c r="E40" s="905"/>
      <x:c r="F40" s="905"/>
      <x:c r="G40" s="905"/>
      <x:c r="H40" s="905"/>
      <x:c r="I40" s="905"/>
      <x:c r="J40" s="905"/>
      <x:c r="K40" s="905"/>
      <x:c r="L40" s="905"/>
      <x:c r="M40" s="905"/>
      <x:c r="N40" s="905"/>
      <x:c r="O40" s="905"/>
      <x:c r="P40" s="905"/>
    </x:row>
    <x:row r="42">
      <x:c r="A42" s="935" t="str">
        <x:v>I-A · PLANIFICACIÓN → PARTE
promete contexto planificado:
servicio · ubicación · fecha/turno · personas · recursos
cliente · CentroCosto/contexto contractual · prioridad</x:v>
      </x:c>
      <x:c r="B42" s="936"/>
      <x:c r="C42" s="936"/>
      <x:c r="D42" s="936"/>
      <x:c r="E42" s="936"/>
      <x:c r="F42" s="936"/>
      <x:c r="G42" s="937"/>
      <x:c r="I42" s="935" t="str">
        <x:v>I-B · PARTE → CERTIFICACIÓN
entrega verdad real:
TipoParte · UnidadEjecución · servicio/ubicación real
recursos · tiempos · imputación · ítem · medición · evidencia</x:v>
      </x:c>
      <x:c r="J42" s="936"/>
      <x:c r="K42" s="936"/>
      <x:c r="L42" s="936"/>
      <x:c r="M42" s="936"/>
      <x:c r="N42" s="936"/>
      <x:c r="O42" s="936"/>
      <x:c r="P42" s="937"/>
    </x:row>
    <x:row r="43">
      <x:c r="A43" s="938"/>
      <x:c r="B43" s="939"/>
      <x:c r="C43" s="939"/>
      <x:c r="D43" s="939"/>
      <x:c r="E43" s="939"/>
      <x:c r="F43" s="939"/>
      <x:c r="G43" s="940"/>
      <x:c r="I43" s="938"/>
      <x:c r="J43" s="939"/>
      <x:c r="K43" s="939"/>
      <x:c r="L43" s="939"/>
      <x:c r="M43" s="939"/>
      <x:c r="N43" s="939"/>
      <x:c r="O43" s="939"/>
      <x:c r="P43" s="940"/>
    </x:row>
    <x:row r="44">
      <x:c r="A44" s="938"/>
      <x:c r="B44" s="939"/>
      <x:c r="C44" s="939"/>
      <x:c r="D44" s="939"/>
      <x:c r="E44" s="939"/>
      <x:c r="F44" s="939"/>
      <x:c r="G44" s="940"/>
      <x:c r="I44" s="938"/>
      <x:c r="J44" s="939"/>
      <x:c r="K44" s="939"/>
      <x:c r="L44" s="939"/>
      <x:c r="M44" s="939"/>
      <x:c r="N44" s="939"/>
      <x:c r="O44" s="939"/>
      <x:c r="P44" s="940"/>
    </x:row>
    <x:row r="45">
      <x:c r="A45" s="938"/>
      <x:c r="B45" s="939"/>
      <x:c r="C45" s="939"/>
      <x:c r="D45" s="939"/>
      <x:c r="E45" s="939"/>
      <x:c r="F45" s="939"/>
      <x:c r="G45" s="940"/>
      <x:c r="I45" s="938"/>
      <x:c r="J45" s="939"/>
      <x:c r="K45" s="939"/>
      <x:c r="L45" s="939"/>
      <x:c r="M45" s="939"/>
      <x:c r="N45" s="939"/>
      <x:c r="O45" s="939"/>
      <x:c r="P45" s="940"/>
    </x:row>
    <x:row r="46">
      <x:c r="A46" s="938"/>
      <x:c r="B46" s="939"/>
      <x:c r="C46" s="939"/>
      <x:c r="D46" s="939"/>
      <x:c r="E46" s="939"/>
      <x:c r="F46" s="939"/>
      <x:c r="G46" s="940"/>
      <x:c r="I46" s="938"/>
      <x:c r="J46" s="939"/>
      <x:c r="K46" s="939"/>
      <x:c r="L46" s="939"/>
      <x:c r="M46" s="939"/>
      <x:c r="N46" s="939"/>
      <x:c r="O46" s="939"/>
      <x:c r="P46" s="940"/>
    </x:row>
    <x:row r="47">
      <x:c r="A47" s="941"/>
      <x:c r="B47" s="942"/>
      <x:c r="C47" s="942"/>
      <x:c r="D47" s="942"/>
      <x:c r="E47" s="942"/>
      <x:c r="F47" s="942"/>
      <x:c r="G47" s="943"/>
      <x:c r="I47" s="941"/>
      <x:c r="J47" s="942"/>
      <x:c r="K47" s="942"/>
      <x:c r="L47" s="942"/>
      <x:c r="M47" s="942"/>
      <x:c r="N47" s="942"/>
      <x:c r="O47" s="942"/>
      <x:c r="P47" s="943"/>
    </x:row>
    <x:row r="50">
      <x:c r="A50" s="813" t="str">
        <x:v>RAILS TRANSVERSALES · OBSERVAN LOS TRES DOMINIOS</x:v>
      </x:c>
      <x:c r="B50" s="813"/>
      <x:c r="C50" s="813"/>
      <x:c r="D50" s="813"/>
      <x:c r="E50" s="813"/>
      <x:c r="F50" s="813"/>
      <x:c r="G50" s="813"/>
      <x:c r="H50" s="813"/>
      <x:c r="I50" s="813"/>
      <x:c r="J50" s="813"/>
      <x:c r="K50" s="813"/>
      <x:c r="L50" s="813"/>
      <x:c r="M50" s="813"/>
      <x:c r="N50" s="813"/>
      <x:c r="O50" s="813"/>
      <x:c r="P50" s="813"/>
    </x:row>
    <x:row r="52">
      <x:c r="A52" s="834" t="str">
        <x:v>R1 · CONTROL DOCUMENTAL
vigencias · habilitaciones
pre-check + revalidación</x:v>
      </x:c>
      <x:c r="B52" s="902"/>
      <x:c r="C52" s="902"/>
      <x:c r="D52" s="835"/>
      <x:c r="E52" s="834" t="str">
        <x:v>R2 · DERIVACIÓN AUTOMÁTICA
perfil · ubicación · servicio
contrato · reglas</x:v>
      </x:c>
      <x:c r="F52" s="902"/>
      <x:c r="G52" s="902"/>
      <x:c r="H52" s="835"/>
      <x:c r="I52" s="834" t="str">
        <x:v>R3 · ANTICIPACIÓN
alertas · vencimientos
evidencia pendiente</x:v>
      </x:c>
      <x:c r="J52" s="902"/>
      <x:c r="K52" s="902"/>
      <x:c r="L52" s="835"/>
      <x:c r="M52" s="834" t="str">
        <x:v>R4 · TRAZABILIDAD
append-only · actor
timestamp · antes/después</x:v>
      </x:c>
      <x:c r="N52" s="902"/>
      <x:c r="O52" s="902"/>
      <x:c r="P52" s="835"/>
    </x:row>
    <x:row r="53">
      <x:c r="A53" s="836"/>
      <x:c r="B53" s="903"/>
      <x:c r="C53" s="903"/>
      <x:c r="D53" s="837"/>
      <x:c r="E53" s="836"/>
      <x:c r="F53" s="903"/>
      <x:c r="G53" s="903"/>
      <x:c r="H53" s="837"/>
      <x:c r="I53" s="836"/>
      <x:c r="J53" s="903"/>
      <x:c r="K53" s="903"/>
      <x:c r="L53" s="837"/>
      <x:c r="M53" s="836"/>
      <x:c r="N53" s="903"/>
      <x:c r="O53" s="903"/>
      <x:c r="P53" s="837"/>
    </x:row>
    <x:row r="54">
      <x:c r="A54" s="836"/>
      <x:c r="B54" s="903"/>
      <x:c r="C54" s="903"/>
      <x:c r="D54" s="837"/>
      <x:c r="E54" s="836"/>
      <x:c r="F54" s="903"/>
      <x:c r="G54" s="903"/>
      <x:c r="H54" s="837"/>
      <x:c r="I54" s="836"/>
      <x:c r="J54" s="903"/>
      <x:c r="K54" s="903"/>
      <x:c r="L54" s="837"/>
      <x:c r="M54" s="836"/>
      <x:c r="N54" s="903"/>
      <x:c r="O54" s="903"/>
      <x:c r="P54" s="837"/>
    </x:row>
    <x:row r="55">
      <x:c r="A55" s="838"/>
      <x:c r="B55" s="904"/>
      <x:c r="C55" s="904"/>
      <x:c r="D55" s="839"/>
      <x:c r="E55" s="838"/>
      <x:c r="F55" s="904"/>
      <x:c r="G55" s="904"/>
      <x:c r="H55" s="839"/>
      <x:c r="I55" s="838"/>
      <x:c r="J55" s="904"/>
      <x:c r="K55" s="904"/>
      <x:c r="L55" s="839"/>
      <x:c r="M55" s="838"/>
      <x:c r="N55" s="904"/>
      <x:c r="O55" s="904"/>
      <x:c r="P55" s="839"/>
    </x:row>
    <x:row r="58">
      <x:c r="A58" s="905" t="str">
        <x:v>ESTADO REV D.0 · QUÉ ESTÁ CERRADO Y QUÉ ES SLOT</x:v>
      </x:c>
      <x:c r="B58" s="905"/>
      <x:c r="C58" s="905"/>
      <x:c r="D58" s="905"/>
      <x:c r="E58" s="905"/>
      <x:c r="F58" s="905"/>
      <x:c r="G58" s="905"/>
      <x:c r="H58" s="905"/>
      <x:c r="I58" s="905"/>
      <x:c r="J58" s="905"/>
      <x:c r="K58" s="905"/>
      <x:c r="L58" s="905"/>
      <x:c r="M58" s="905"/>
      <x:c r="N58" s="905"/>
      <x:c r="O58" s="905"/>
      <x:c r="P58" s="905"/>
    </x:row>
    <x:row r="59" ht="42" customHeight="1">
      <x:c r="A59" s="1003" t="str">
        <x:v>CERRADO / fuerte</x:v>
      </x:c>
      <x:c r="B59" s="20" t="str">
        <x:v>CentroCosto separado de Contrato; TipoParte derivado; Parte ≠ Certificación; control documental transversal; trazabilidad append-only.</x:v>
      </x:c>
      <x:c r="C59" s="20"/>
      <x:c r="D59" s="20"/>
      <x:c r="E59" s="20"/>
      <x:c r="F59" s="20"/>
      <x:c r="G59" s="20"/>
      <x:c r="H59" s="20"/>
      <x:c r="I59" s="20"/>
      <x:c r="J59" s="20"/>
      <x:c r="K59" s="20"/>
      <x:c r="L59" s="20"/>
      <x:c r="M59" s="20"/>
      <x:c r="N59" s="20"/>
      <x:c r="O59" s="20"/>
      <x:c r="P59" s="20"/>
    </x:row>
    <x:row r="60" ht="42" customHeight="1">
      <x:c r="A60" s="1003" t="str">
        <x:v>HIPÓTESIS fuerte</x:v>
      </x:c>
      <x:c r="B60" s="20" t="str">
        <x:v>ContratoServicio como nodo configurador; PaqueteCertificacion; separación de cadencias.</x:v>
      </x:c>
      <x:c r="C60" s="20"/>
      <x:c r="D60" s="20"/>
      <x:c r="E60" s="20"/>
      <x:c r="F60" s="20"/>
      <x:c r="G60" s="20"/>
      <x:c r="H60" s="20"/>
      <x:c r="I60" s="20"/>
      <x:c r="J60" s="20"/>
      <x:c r="K60" s="20"/>
      <x:c r="L60" s="20"/>
      <x:c r="M60" s="20"/>
      <x:c r="N60" s="20"/>
      <x:c r="O60" s="20"/>
      <x:c r="P60" s="20"/>
    </x:row>
    <x:row r="61" ht="42" customHeight="1">
      <x:c r="A61" s="1003" t="str">
        <x:v>SLOT pendiente</x:v>
      </x:c>
      <x:c r="B61" s="20" t="str">
        <x:v>Contrato/version real; ítems; UM/reglas; maestro centrocosto_id; tipos contractuales y vigencias.</x:v>
      </x:c>
      <x:c r="C61" s="20"/>
      <x:c r="D61" s="20"/>
      <x:c r="E61" s="20"/>
      <x:c r="F61" s="20"/>
      <x:c r="G61" s="20"/>
      <x:c r="H61" s="20"/>
      <x:c r="I61" s="20"/>
      <x:c r="J61" s="20"/>
      <x:c r="K61" s="20"/>
      <x:c r="L61" s="20"/>
      <x:c r="M61" s="20"/>
      <x:c r="N61" s="20"/>
      <x:c r="O61" s="20"/>
      <x:c r="P61" s="20"/>
    </x:row>
    <x:row r="62" ht="42" customHeight="1">
      <x:c r="A62" s="1003" t="str">
        <x:v>SIGUIENTE REV</x:v>
      </x:c>
      <x:c r="B62" s="20" t="str">
        <x:v>Definir Interface A Planificación→Parte y luego Interface B Parte→Certificación usando los slots de esta hoja.</x:v>
      </x:c>
      <x:c r="C62" s="20"/>
      <x:c r="D62" s="20"/>
      <x:c r="E62" s="20"/>
      <x:c r="F62" s="20"/>
      <x:c r="G62" s="20"/>
      <x:c r="H62" s="20"/>
      <x:c r="I62" s="20"/>
      <x:c r="J62" s="20"/>
      <x:c r="K62" s="20"/>
      <x:c r="L62" s="20"/>
      <x:c r="M62" s="20"/>
      <x:c r="N62" s="20"/>
      <x:c r="O62" s="20"/>
      <x:c r="P62" s="20"/>
    </x:row>
  </x:sheetData>
  <x:mergeCells>
    <x:mergeCell ref="A1:P1"/>
    <x:mergeCell ref="A2:P2"/>
    <x:mergeCell ref="A4:P4"/>
    <x:mergeCell ref="A6:C9"/>
    <x:mergeCell ref="E6:G9"/>
    <x:mergeCell ref="I6:K9"/>
    <x:mergeCell ref="M6:P9"/>
    <x:mergeCell ref="A13:E13"/>
    <x:mergeCell ref="F13:K13"/>
    <x:mergeCell ref="L13:P13"/>
    <x:mergeCell ref="A15:E18"/>
    <x:mergeCell ref="A20:E24"/>
    <x:mergeCell ref="A26:E30"/>
    <x:mergeCell ref="A32:E35"/>
    <x:mergeCell ref="F15:K18"/>
    <x:mergeCell ref="F20:K23"/>
    <x:mergeCell ref="F25:K29"/>
    <x:mergeCell ref="F31:K35"/>
    <x:mergeCell ref="L15:P18"/>
    <x:mergeCell ref="L20:P23"/>
    <x:mergeCell ref="L25:P28"/>
    <x:mergeCell ref="L30:P33"/>
    <x:mergeCell ref="L35:P38"/>
    <x:mergeCell ref="A40:P40"/>
    <x:mergeCell ref="A42:G47"/>
    <x:mergeCell ref="I42:P47"/>
    <x:mergeCell ref="A50:P50"/>
    <x:mergeCell ref="A52:D55"/>
    <x:mergeCell ref="E52:H55"/>
    <x:mergeCell ref="I52:L55"/>
    <x:mergeCell ref="M52:P55"/>
    <x:mergeCell ref="A58:P58"/>
    <x:mergeCell ref="B59:P59"/>
    <x:mergeCell ref="B60:P60"/>
    <x:mergeCell ref="B61:P61"/>
    <x:mergeCell ref="B62:P62"/>
  </x:mergeCells>
  <x:pageMargins left="0.7" right="0.7" top="0.75" bottom="0.75" header="0.3" footer="0.3"/>
</x:worksheet>
</file>

<file path=xl/worksheets/sheet19.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22" hidden="0" customWidth="1"/>
    <x:col min="5" max="5" width="22" hidden="0" customWidth="1"/>
    <x:col min="6" max="6" width="22" hidden="0" customWidth="1"/>
    <x:col min="7" max="7" width="4" hidden="0" customWidth="1"/>
    <x:col min="8" max="8" width="16"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30" customHeight="1">
      <x:c r="A1" s="1329" t="str">
        <x:v>INTERFACE A v0 · PLANIFICACIÓN → PARTE · CONTRATO ENTRE DOMINIOS</x:v>
      </x:c>
      <x:c r="B1" s="1329"/>
      <x:c r="C1" s="1329"/>
      <x:c r="D1" s="1329"/>
      <x:c r="E1" s="1329"/>
      <x:c r="F1" s="1329"/>
      <x:c r="G1" s="1329"/>
      <x:c r="H1" s="1329"/>
      <x:c r="I1" s="1329"/>
      <x:c r="J1" s="1329"/>
      <x:c r="K1" s="1329"/>
      <x:c r="L1" s="1329"/>
      <x:c r="M1" s="1329"/>
      <x:c r="N1" s="1329"/>
    </x:row>
    <x:row r="2" ht="34" customHeight="1">
      <x:c r="A2" s="1276" t="str">
        <x:v>Objetivo: definir qué verdad promete Planificación a Ejecución sin diseñar todavía toda la app de Planificación. Regla madre: Planificación registra intención; Parte registra realidad. El vínculo entre ambas se conserva, nunca se sobrescribe.</x:v>
      </x:c>
      <x:c r="B2" s="1276"/>
      <x:c r="C2" s="1276"/>
      <x:c r="D2" s="1276"/>
      <x:c r="E2" s="1276"/>
      <x:c r="F2" s="1276"/>
      <x:c r="G2" s="1276"/>
      <x:c r="H2" s="1276"/>
      <x:c r="I2" s="1276"/>
      <x:c r="J2" s="1276"/>
      <x:c r="K2" s="1276"/>
      <x:c r="L2" s="1276"/>
      <x:c r="M2" s="1276"/>
      <x:c r="N2" s="1276"/>
    </x:row>
    <x:row r="3">
      <x:c r="A3" s="1277"/>
      <x:c r="B3" s="1277"/>
      <x:c r="C3" s="1277"/>
      <x:c r="D3" s="1277"/>
      <x:c r="E3" s="1277"/>
      <x:c r="F3" s="1277"/>
      <x:c r="G3" s="1277"/>
      <x:c r="H3" s="1277"/>
      <x:c r="I3" s="1277"/>
      <x:c r="J3" s="1277"/>
      <x:c r="K3" s="1277"/>
      <x:c r="L3" s="1277"/>
      <x:c r="M3" s="1277"/>
      <x:c r="N3" s="1277"/>
    </x:row>
    <x:row r="4">
      <x:c r="A4" s="1330" t="str">
        <x:v>01 — FRONTERA ENTRE DOMINIOS · QUÉ ENTREGA PLANIFICACIÓN Y QUÉ NO DECIDE</x:v>
      </x:c>
      <x:c r="B4" s="1330"/>
      <x:c r="C4" s="1330"/>
      <x:c r="D4" s="1330"/>
      <x:c r="E4" s="1330"/>
      <x:c r="F4" s="1330"/>
      <x:c r="G4" s="1330"/>
      <x:c r="H4" s="1330"/>
      <x:c r="I4" s="1330"/>
      <x:c r="J4" s="1330"/>
      <x:c r="K4" s="1330"/>
      <x:c r="L4" s="1330"/>
      <x:c r="M4" s="1330"/>
      <x:c r="N4" s="1330"/>
    </x:row>
    <x:row r="5">
      <x:c r="A5" s="1277"/>
      <x:c r="B5" s="1277"/>
      <x:c r="C5" s="1277"/>
      <x:c r="D5" s="1277"/>
      <x:c r="E5" s="1277"/>
      <x:c r="F5" s="1277"/>
      <x:c r="G5" s="1277"/>
      <x:c r="H5" s="1277"/>
      <x:c r="I5" s="1277"/>
      <x:c r="J5" s="1277"/>
      <x:c r="K5" s="1277"/>
      <x:c r="L5" s="1277"/>
      <x:c r="M5" s="1277"/>
      <x:c r="N5" s="1277"/>
    </x:row>
    <x:row r="6">
      <x:c r="A6" s="1279" t="str">
        <x:v>CAPA CONTRACTUAL
ContratoServicio
CentroCosto
reglas aplicables</x:v>
      </x:c>
      <x:c r="B6" s="1280"/>
      <x:c r="C6" s="1281"/>
      <x:c r="D6" s="1277"/>
      <x:c r="E6" s="1282" t="str">
        <x:v>PLANIFICACIÓN
intención operativa
+ recursos previstos
+ ventana</x:v>
      </x:c>
      <x:c r="F6" s="1283"/>
      <x:c r="G6" s="1284"/>
      <x:c r="H6" s="1277"/>
      <x:c r="I6" s="1285" t="str">
        <x:v>INTERFACE A
snapshot confirmado
Asignación + Unidades</x:v>
      </x:c>
      <x:c r="J6" s="1286"/>
      <x:c r="K6" s="1287"/>
      <x:c r="L6" s="1277"/>
      <x:c r="M6" s="1282" t="str">
        <x:v>EJECUCIÓN
motor revalida
TipoParte + gates</x:v>
      </x:c>
      <x:c r="N6" s="1284"/>
    </x:row>
    <x:row r="7">
      <x:c r="A7" s="1288"/>
      <x:c r="B7" s="1289"/>
      <x:c r="C7" s="1290"/>
      <x:c r="D7" s="1277"/>
      <x:c r="E7" s="1291"/>
      <x:c r="F7" s="1292"/>
      <x:c r="G7" s="1293"/>
      <x:c r="H7" s="1277"/>
      <x:c r="I7" s="1294"/>
      <x:c r="J7" s="1295"/>
      <x:c r="K7" s="1296"/>
      <x:c r="L7" s="1277"/>
      <x:c r="M7" s="1291"/>
      <x:c r="N7" s="1293"/>
    </x:row>
    <x:row r="8">
      <x:c r="A8" s="1288"/>
      <x:c r="B8" s="1289"/>
      <x:c r="C8" s="1290"/>
      <x:c r="D8" s="1297" t="str">
        <x:v>→</x:v>
      </x:c>
      <x:c r="E8" s="1291"/>
      <x:c r="F8" s="1292"/>
      <x:c r="G8" s="1293"/>
      <x:c r="H8" s="1297" t="str">
        <x:v>→</x:v>
      </x:c>
      <x:c r="I8" s="1294"/>
      <x:c r="J8" s="1295"/>
      <x:c r="K8" s="1296"/>
      <x:c r="L8" s="1297" t="str">
        <x:v>→</x:v>
      </x:c>
      <x:c r="M8" s="1291"/>
      <x:c r="N8" s="1293"/>
    </x:row>
    <x:row r="9">
      <x:c r="A9" s="1288"/>
      <x:c r="B9" s="1289"/>
      <x:c r="C9" s="1290"/>
      <x:c r="D9" s="1277"/>
      <x:c r="E9" s="1291"/>
      <x:c r="F9" s="1292"/>
      <x:c r="G9" s="1293"/>
      <x:c r="H9" s="1277"/>
      <x:c r="I9" s="1294"/>
      <x:c r="J9" s="1295"/>
      <x:c r="K9" s="1296"/>
      <x:c r="L9" s="1277"/>
      <x:c r="M9" s="1291"/>
      <x:c r="N9" s="1293"/>
    </x:row>
    <x:row r="10">
      <x:c r="A10" s="1298"/>
      <x:c r="B10" s="1299"/>
      <x:c r="C10" s="1300"/>
      <x:c r="D10" s="1277"/>
      <x:c r="E10" s="1301"/>
      <x:c r="F10" s="1302"/>
      <x:c r="G10" s="1303"/>
      <x:c r="H10" s="1277"/>
      <x:c r="I10" s="1304"/>
      <x:c r="J10" s="1305"/>
      <x:c r="K10" s="1306"/>
      <x:c r="L10" s="1277"/>
      <x:c r="M10" s="1301"/>
      <x:c r="N10" s="1303"/>
    </x:row>
    <x:row r="11">
      <x:c r="A11" s="1277"/>
      <x:c r="B11" s="1277"/>
      <x:c r="C11" s="1277"/>
      <x:c r="D11" s="1277"/>
      <x:c r="E11" s="1277"/>
      <x:c r="F11" s="1277"/>
      <x:c r="G11" s="1277"/>
      <x:c r="H11" s="1277"/>
      <x:c r="I11" s="1277"/>
      <x:c r="J11" s="1277"/>
      <x:c r="K11" s="1277"/>
      <x:c r="L11" s="1277"/>
      <x:c r="M11" s="1277"/>
      <x:c r="N11" s="1277"/>
    </x:row>
    <x:row r="12">
      <x:c r="A12" s="1307" t="str">
        <x:v>PLANIFICACIÓN SÍ DECIDE / PROPONE
• qué trabajo se pretende realizar
• dónde y cuándo
• cliente/contexto
• personas/recursos previstos cuando aplique
• prioridad
• contexto contractual resoluble</x:v>
      </x:c>
      <x:c r="B12" s="1307"/>
      <x:c r="C12" s="1307"/>
      <x:c r="D12" s="1307"/>
      <x:c r="E12" s="1307"/>
      <x:c r="F12" s="1307"/>
      <x:c r="G12" s="1277"/>
      <x:c r="H12" s="1277"/>
      <x:c r="I12" s="1308" t="str">
        <x:v>PLANIFICACIÓN NO DEBE FIJAR COMO VERDAD
• lo que realmente ocurrió
• recurso/persona realmente utilizado si cambió
• tiempos reales
• evidencia real
• TipoParte definitivo si el contexto cambió
• resultado de la ejecución</x:v>
      </x:c>
      <x:c r="J12" s="1308"/>
      <x:c r="K12" s="1308"/>
      <x:c r="L12" s="1308"/>
      <x:c r="M12" s="1308"/>
      <x:c r="N12" s="1308"/>
    </x:row>
    <x:row r="13">
      <x:c r="A13" s="1307"/>
      <x:c r="B13" s="1307"/>
      <x:c r="C13" s="1307"/>
      <x:c r="D13" s="1307"/>
      <x:c r="E13" s="1307"/>
      <x:c r="F13" s="1307"/>
      <x:c r="G13" s="1277"/>
      <x:c r="H13" s="1277"/>
      <x:c r="I13" s="1308"/>
      <x:c r="J13" s="1308"/>
      <x:c r="K13" s="1308"/>
      <x:c r="L13" s="1308"/>
      <x:c r="M13" s="1308"/>
      <x:c r="N13" s="1308"/>
    </x:row>
    <x:row r="14">
      <x:c r="A14" s="1307"/>
      <x:c r="B14" s="1307"/>
      <x:c r="C14" s="1307"/>
      <x:c r="D14" s="1307"/>
      <x:c r="E14" s="1307"/>
      <x:c r="F14" s="1307"/>
      <x:c r="G14" s="1277"/>
      <x:c r="H14" s="1277"/>
      <x:c r="I14" s="1308"/>
      <x:c r="J14" s="1308"/>
      <x:c r="K14" s="1308"/>
      <x:c r="L14" s="1308"/>
      <x:c r="M14" s="1308"/>
      <x:c r="N14" s="1308"/>
    </x:row>
    <x:row r="15">
      <x:c r="A15" s="1307"/>
      <x:c r="B15" s="1307"/>
      <x:c r="C15" s="1307"/>
      <x:c r="D15" s="1307"/>
      <x:c r="E15" s="1307"/>
      <x:c r="F15" s="1307"/>
      <x:c r="G15" s="1277"/>
      <x:c r="H15" s="1277"/>
      <x:c r="I15" s="1308"/>
      <x:c r="J15" s="1308"/>
      <x:c r="K15" s="1308"/>
      <x:c r="L15" s="1308"/>
      <x:c r="M15" s="1308"/>
      <x:c r="N15" s="1308"/>
    </x:row>
    <x:row r="16">
      <x:c r="A16" s="1277"/>
      <x:c r="B16" s="1277"/>
      <x:c r="C16" s="1277"/>
      <x:c r="D16" s="1277"/>
      <x:c r="E16" s="1277"/>
      <x:c r="F16" s="1277"/>
      <x:c r="G16" s="1277"/>
      <x:c r="H16" s="1277"/>
      <x:c r="I16" s="1277"/>
      <x:c r="J16" s="1277"/>
      <x:c r="K16" s="1277"/>
      <x:c r="L16" s="1277"/>
      <x:c r="M16" s="1277"/>
      <x:c r="N16" s="1277"/>
    </x:row>
    <x:row r="17">
      <x:c r="A17" s="1330" t="str">
        <x:v>02 — CONTENEDOR LÓGICO DE LA INTERFAZ · PLANIFICACIÓN ≠ PARTE</x:v>
      </x:c>
      <x:c r="B17" s="1330"/>
      <x:c r="C17" s="1330"/>
      <x:c r="D17" s="1330"/>
      <x:c r="E17" s="1330"/>
      <x:c r="F17" s="1330"/>
      <x:c r="G17" s="1330"/>
      <x:c r="H17" s="1330"/>
      <x:c r="I17" s="1330"/>
      <x:c r="J17" s="1330"/>
      <x:c r="K17" s="1330"/>
      <x:c r="L17" s="1330"/>
      <x:c r="M17" s="1330"/>
      <x:c r="N17" s="1330"/>
    </x:row>
    <x:row r="18">
      <x:c r="A18" s="1277"/>
      <x:c r="B18" s="1277"/>
      <x:c r="C18" s="1277"/>
      <x:c r="D18" s="1277"/>
      <x:c r="E18" s="1277"/>
      <x:c r="F18" s="1277"/>
      <x:c r="G18" s="1277"/>
      <x:c r="H18" s="1277"/>
      <x:c r="I18" s="1277"/>
      <x:c r="J18" s="1277"/>
      <x:c r="K18" s="1277"/>
      <x:c r="L18" s="1277"/>
      <x:c r="M18" s="1277"/>
      <x:c r="N18" s="1277"/>
    </x:row>
    <x:row r="19">
      <x:c r="A19" s="1282" t="str">
        <x:v>PLANIFICACIÓN
planificacion_id
estado / versión</x:v>
      </x:c>
      <x:c r="B19" s="1283"/>
      <x:c r="C19" s="1284"/>
      <x:c r="D19" s="1277"/>
      <x:c r="E19" s="1285" t="str">
        <x:v>ASIGNACIÓN PLANIFICADA [1..N]
ventana · cliente · prioridad
personas/recursos previstos</x:v>
      </x:c>
      <x:c r="F19" s="1286"/>
      <x:c r="G19" s="1286"/>
      <x:c r="H19" s="1287"/>
      <x:c r="I19" s="1277"/>
      <x:c r="J19" s="1282" t="str">
        <x:v>UNIDAD PLANIFICADA [1..N]
servicio · tarea · ubicación
contexto contractual / imputación</x:v>
      </x:c>
      <x:c r="K19" s="1283"/>
      <x:c r="L19" s="1283"/>
      <x:c r="M19" s="1283"/>
      <x:c r="N19" s="1284"/>
    </x:row>
    <x:row r="20">
      <x:c r="A20" s="1291"/>
      <x:c r="B20" s="1292"/>
      <x:c r="C20" s="1293"/>
      <x:c r="D20" s="1277"/>
      <x:c r="E20" s="1294"/>
      <x:c r="F20" s="1295"/>
      <x:c r="G20" s="1295"/>
      <x:c r="H20" s="1296"/>
      <x:c r="I20" s="1277"/>
      <x:c r="J20" s="1291"/>
      <x:c r="K20" s="1292"/>
      <x:c r="L20" s="1292"/>
      <x:c r="M20" s="1292"/>
      <x:c r="N20" s="1293"/>
    </x:row>
    <x:row r="21">
      <x:c r="A21" s="1291"/>
      <x:c r="B21" s="1292"/>
      <x:c r="C21" s="1293"/>
      <x:c r="D21" s="1297" t="str">
        <x:v>→</x:v>
      </x:c>
      <x:c r="E21" s="1294"/>
      <x:c r="F21" s="1295"/>
      <x:c r="G21" s="1295"/>
      <x:c r="H21" s="1296"/>
      <x:c r="I21" s="1297" t="str">
        <x:v>→</x:v>
      </x:c>
      <x:c r="J21" s="1291"/>
      <x:c r="K21" s="1292"/>
      <x:c r="L21" s="1292"/>
      <x:c r="M21" s="1292"/>
      <x:c r="N21" s="1293"/>
    </x:row>
    <x:row r="22">
      <x:c r="A22" s="1291"/>
      <x:c r="B22" s="1292"/>
      <x:c r="C22" s="1293"/>
      <x:c r="D22" s="1277"/>
      <x:c r="E22" s="1294"/>
      <x:c r="F22" s="1295"/>
      <x:c r="G22" s="1295"/>
      <x:c r="H22" s="1296"/>
      <x:c r="I22" s="1277"/>
      <x:c r="J22" s="1291"/>
      <x:c r="K22" s="1292"/>
      <x:c r="L22" s="1292"/>
      <x:c r="M22" s="1292"/>
      <x:c r="N22" s="1293"/>
    </x:row>
    <x:row r="23">
      <x:c r="A23" s="1301"/>
      <x:c r="B23" s="1302"/>
      <x:c r="C23" s="1303"/>
      <x:c r="D23" s="1277"/>
      <x:c r="E23" s="1304"/>
      <x:c r="F23" s="1305"/>
      <x:c r="G23" s="1305"/>
      <x:c r="H23" s="1306"/>
      <x:c r="I23" s="1277"/>
      <x:c r="J23" s="1301"/>
      <x:c r="K23" s="1302"/>
      <x:c r="L23" s="1302"/>
      <x:c r="M23" s="1302"/>
      <x:c r="N23" s="1303"/>
    </x:row>
    <x:row r="24">
      <x:c r="A24" s="1277"/>
      <x:c r="B24" s="1277"/>
      <x:c r="C24" s="1277"/>
      <x:c r="D24" s="1277"/>
      <x:c r="E24" s="1277"/>
      <x:c r="F24" s="1277"/>
      <x:c r="G24" s="1277"/>
      <x:c r="H24" s="1277"/>
      <x:c r="I24" s="1277"/>
      <x:c r="J24" s="1277"/>
      <x:c r="K24" s="1277"/>
      <x:c r="L24" s="1277"/>
      <x:c r="M24" s="1277"/>
      <x:c r="N24" s="1277"/>
    </x:row>
    <x:row r="25">
      <x:c r="A25" s="1309" t="str">
        <x:v>CARDINALIDAD DE DISEÑO: Planificación 1:N Asignaciones; Asignación 1:N UnidadesPlanificadas. Una UnidadPlanificada puede terminar en 0..N UnidadesEjecución según no-realización, cortes de TipoParte, continuidad entre turnos o desvíos. Por eso el vínculo previsto→real es explícito y auditable, no una FK 1:1 asumida.</x:v>
      </x:c>
      <x:c r="B25" s="1309"/>
      <x:c r="C25" s="1309"/>
      <x:c r="D25" s="1309"/>
      <x:c r="E25" s="1309"/>
      <x:c r="F25" s="1309"/>
      <x:c r="G25" s="1309"/>
      <x:c r="H25" s="1309"/>
      <x:c r="I25" s="1309"/>
      <x:c r="J25" s="1309"/>
      <x:c r="K25" s="1309"/>
      <x:c r="L25" s="1309"/>
      <x:c r="M25" s="1309"/>
      <x:c r="N25" s="1309"/>
    </x:row>
    <x:row r="26">
      <x:c r="A26" s="1309"/>
      <x:c r="B26" s="1309"/>
      <x:c r="C26" s="1309"/>
      <x:c r="D26" s="1309"/>
      <x:c r="E26" s="1309"/>
      <x:c r="F26" s="1309"/>
      <x:c r="G26" s="1309"/>
      <x:c r="H26" s="1309"/>
      <x:c r="I26" s="1309"/>
      <x:c r="J26" s="1309"/>
      <x:c r="K26" s="1309"/>
      <x:c r="L26" s="1309"/>
      <x:c r="M26" s="1309"/>
      <x:c r="N26" s="1309"/>
    </x:row>
    <x:row r="27">
      <x:c r="A27" s="1309"/>
      <x:c r="B27" s="1309"/>
      <x:c r="C27" s="1309"/>
      <x:c r="D27" s="1309"/>
      <x:c r="E27" s="1309"/>
      <x:c r="F27" s="1309"/>
      <x:c r="G27" s="1309"/>
      <x:c r="H27" s="1309"/>
      <x:c r="I27" s="1309"/>
      <x:c r="J27" s="1309"/>
      <x:c r="K27" s="1309"/>
      <x:c r="L27" s="1309"/>
      <x:c r="M27" s="1309"/>
      <x:c r="N27" s="1309"/>
    </x:row>
    <x:row r="28">
      <x:c r="A28" s="1277"/>
      <x:c r="B28" s="1277"/>
      <x:c r="C28" s="1277"/>
      <x:c r="D28" s="1277"/>
      <x:c r="E28" s="1277"/>
      <x:c r="F28" s="1277"/>
      <x:c r="G28" s="1277"/>
      <x:c r="H28" s="1277"/>
      <x:c r="I28" s="1277"/>
      <x:c r="J28" s="1277"/>
      <x:c r="K28" s="1277"/>
      <x:c r="L28" s="1277"/>
      <x:c r="M28" s="1277"/>
      <x:c r="N28" s="1277"/>
    </x:row>
    <x:row r="29">
      <x:c r="A29" s="1330" t="str">
        <x:v>03 — PAYLOAD MÍNIMO DE INTERFACE A · QUÉ CRUZA HACIA EJECUCIÓN</x:v>
      </x:c>
      <x:c r="B29" s="1330"/>
      <x:c r="C29" s="1330"/>
      <x:c r="D29" s="1330"/>
      <x:c r="E29" s="1330"/>
      <x:c r="F29" s="1330"/>
      <x:c r="G29" s="1330"/>
      <x:c r="H29" s="1330"/>
      <x:c r="I29" s="1330"/>
      <x:c r="J29" s="1330"/>
      <x:c r="K29" s="1330"/>
      <x:c r="L29" s="1330"/>
      <x:c r="M29" s="1330"/>
      <x:c r="N29" s="1330"/>
    </x:row>
    <x:row r="30">
      <x:c r="A30" s="1310" t="str">
        <x:v>Grupo</x:v>
      </x:c>
      <x:c r="B30" s="1311" t="str">
        <x:v>Dato lógico</x:v>
      </x:c>
      <x:c r="C30" s="1311" t="str">
        <x:v>Nivel</x:v>
      </x:c>
      <x:c r="D30" s="1311" t="str">
        <x:v>¿Antes de confirmar?</x:v>
      </x:c>
      <x:c r="E30" s="1311" t="str">
        <x:v>Fuente ideal</x:v>
      </x:c>
      <x:c r="F30" s="1311" t="str">
        <x:v>Modo</x:v>
      </x:c>
      <x:c r="G30" s="1311" t="str">
        <x:v>Si falta</x:v>
      </x:c>
      <x:c r="H30" s="1311"/>
      <x:c r="I30" s="1311"/>
      <x:c r="J30" s="1311"/>
      <x:c r="K30" s="1311" t="str">
        <x:v>Uso en Ejecución</x:v>
      </x:c>
      <x:c r="L30" s="1311"/>
      <x:c r="M30" s="1311"/>
      <x:c r="N30" s="1312"/>
    </x:row>
    <x:row r="31" ht="46" customHeight="1">
      <x:c r="A31" s="1313" t="str">
        <x:v>Identidad</x:v>
      </x:c>
      <x:c r="B31" s="1314" t="str">
        <x:v>planificacion_id + version</x:v>
      </x:c>
      <x:c r="C31" s="1314" t="str">
        <x:v>Planificación</x:v>
      </x:c>
      <x:c r="D31" s="1314" t="str">
        <x:v>Sí</x:v>
      </x:c>
      <x:c r="E31" s="1314" t="str">
        <x:v>Sistema</x:v>
      </x:c>
      <x:c r="F31" s="1314" t="str">
        <x:v>Generado</x:v>
      </x:c>
      <x:c r="G31" s="1314" t="str">
        <x:v>No puede despacharse</x:v>
      </x:c>
      <x:c r="H31" s="1314"/>
      <x:c r="I31" s="1314"/>
      <x:c r="J31" s="1314"/>
      <x:c r="K31" s="1314" t="str">
        <x:v>Trazabilidad y snapshot</x:v>
      </x:c>
      <x:c r="L31" s="1314"/>
      <x:c r="M31" s="1314"/>
      <x:c r="N31" s="1315"/>
    </x:row>
    <x:row r="32" ht="46" customHeight="1">
      <x:c r="A32" s="1313" t="str">
        <x:v>Temporal</x:v>
      </x:c>
      <x:c r="B32" s="1314" t="str">
        <x:v>ventana prevista / turno</x:v>
      </x:c>
      <x:c r="C32" s="1314" t="str">
        <x:v>Asignación</x:v>
      </x:c>
      <x:c r="D32" s="1314" t="str">
        <x:v>Sí</x:v>
      </x:c>
      <x:c r="E32" s="1314" t="str">
        <x:v>Planificación</x:v>
      </x:c>
      <x:c r="F32" s="1314" t="str">
        <x:v>Planificado</x:v>
      </x:c>
      <x:c r="G32" s="1314" t="str">
        <x:v>Gate P1</x:v>
      </x:c>
      <x:c r="H32" s="1314"/>
      <x:c r="I32" s="1314"/>
      <x:c r="J32" s="1314"/>
      <x:c r="K32" s="1314" t="str">
        <x:v>Prepara agenda, habilitaciones y reglas de corte</x:v>
      </x:c>
      <x:c r="L32" s="1314"/>
      <x:c r="M32" s="1314"/>
      <x:c r="N32" s="1315"/>
    </x:row>
    <x:row r="33" ht="46" customHeight="1">
      <x:c r="A33" s="1313" t="str">
        <x:v>Comercial</x:v>
      </x:c>
      <x:c r="B33" s="1314" t="str">
        <x:v>cliente/contexto</x:v>
      </x:c>
      <x:c r="C33" s="1314" t="str">
        <x:v>Asignación</x:v>
      </x:c>
      <x:c r="D33" s="1314" t="str">
        <x:v>Sí</x:v>
      </x:c>
      <x:c r="E33" s="1314" t="str">
        <x:v>ContratoServicio / Planificación</x:v>
      </x:c>
      <x:c r="F33" s="1314" t="str">
        <x:v>Derivado/heredado</x:v>
      </x:c>
      <x:c r="G33" s="1314" t="str">
        <x:v>Gate P0/P1</x:v>
      </x:c>
      <x:c r="H33" s="1314"/>
      <x:c r="I33" s="1314"/>
      <x:c r="J33" s="1314"/>
      <x:c r="K33" s="1314" t="str">
        <x:v>Ruteo y reglas contractuales</x:v>
      </x:c>
      <x:c r="L33" s="1314"/>
      <x:c r="M33" s="1314"/>
      <x:c r="N33" s="1315"/>
    </x:row>
    <x:row r="34" ht="46" customHeight="1">
      <x:c r="A34" s="1313" t="str">
        <x:v>Operación</x:v>
      </x:c>
      <x:c r="B34" s="1314" t="str">
        <x:v>servicio + tarea prevista</x:v>
      </x:c>
      <x:c r="C34" s="1314" t="str">
        <x:v>UnidadPlanificada</x:v>
      </x:c>
      <x:c r="D34" s="1314" t="str">
        <x:v>Sí</x:v>
      </x:c>
      <x:c r="E34" s="1314" t="str">
        <x:v>Planificación / catálogo</x:v>
      </x:c>
      <x:c r="F34" s="1314" t="str">
        <x:v>Selección estructurada</x:v>
      </x:c>
      <x:c r="G34" s="1314" t="str">
        <x:v>Gate P1</x:v>
      </x:c>
      <x:c r="H34" s="1314"/>
      <x:c r="I34" s="1314"/>
      <x:c r="J34" s="1314"/>
      <x:c r="K34" s="1314" t="str">
        <x:v>Ruteo, componentes, permisos, medición</x:v>
      </x:c>
      <x:c r="L34" s="1314"/>
      <x:c r="M34" s="1314"/>
      <x:c r="N34" s="1315"/>
    </x:row>
    <x:row r="35" ht="46" customHeight="1">
      <x:c r="A35" s="1313" t="str">
        <x:v>Ubicación</x:v>
      </x:c>
      <x:c r="B35" s="1314" t="str">
        <x:v>ubicación(es) prevista(s) + rol</x:v>
      </x:c>
      <x:c r="C35" s="1314" t="str">
        <x:v>UnidadPlanificada</x:v>
      </x:c>
      <x:c r="D35" s="1314" t="str">
        <x:v>Sí</x:v>
      </x:c>
      <x:c r="E35" s="1314" t="str">
        <x:v>Planificación / UbicacionTecnica</x:v>
      </x:c>
      <x:c r="F35" s="1314" t="str">
        <x:v>Selección estructurada</x:v>
      </x:c>
      <x:c r="G35" s="1314" t="str">
        <x:v>Gate P1</x:v>
      </x:c>
      <x:c r="H35" s="1314"/>
      <x:c r="I35" s="1314"/>
      <x:c r="J35" s="1314"/>
      <x:c r="K35" s="1314" t="str">
        <x:v>Deriva área/operadora/contexto y carga UI</x:v>
      </x:c>
      <x:c r="L35" s="1314"/>
      <x:c r="M35" s="1314"/>
      <x:c r="N35" s="1315"/>
    </x:row>
    <x:row r="36" ht="46" customHeight="1">
      <x:c r="A36" s="1313" t="str">
        <x:v>Contractual</x:v>
      </x:c>
      <x:c r="B36" s="1314" t="str">
        <x:v>ContratoServicio / CentroCosto</x:v>
      </x:c>
      <x:c r="C36" s="1314" t="str">
        <x:v>Unidad/Asignación</x:v>
      </x:c>
      <x:c r="D36" s="1314" t="str">
        <x:v>Debe resolverse o quedar explícitamente controlado</x:v>
      </x:c>
      <x:c r="E36" s="1314" t="str">
        <x:v>Motor contractual</x:v>
      </x:c>
      <x:c r="F36" s="1314" t="str">
        <x:v>Derivado</x:v>
      </x:c>
      <x:c r="G36" s="1314" t="str">
        <x:v>Gate P0</x:v>
      </x:c>
      <x:c r="H36" s="1314"/>
      <x:c r="I36" s="1314"/>
      <x:c r="J36" s="1314"/>
      <x:c r="K36" s="1314" t="str">
        <x:v>Determina medición/evidencia/cadencias</x:v>
      </x:c>
      <x:c r="L36" s="1314"/>
      <x:c r="M36" s="1314"/>
      <x:c r="N36" s="1315"/>
    </x:row>
    <x:row r="37" ht="46" customHeight="1">
      <x:c r="A37" s="1313" t="str">
        <x:v>Contractual</x:v>
      </x:c>
      <x:c r="B37" s="1314" t="str">
        <x:v>ItemContrato / regla medición</x:v>
      </x:c>
      <x:c r="C37" s="1314" t="str">
        <x:v>UnidadPlanificada</x:v>
      </x:c>
      <x:c r="D37" s="1314" t="str">
        <x:v>Condicional</x:v>
      </x:c>
      <x:c r="E37" s="1314" t="str">
        <x:v>Motor contractual</x:v>
      </x:c>
      <x:c r="F37" s="1314" t="str">
        <x:v>Derivado</x:v>
      </x:c>
      <x:c r="G37" s="1314" t="str">
        <x:v>Bloqueo o resolución posterior controlada</x:v>
      </x:c>
      <x:c r="H37" s="1314"/>
      <x:c r="I37" s="1314"/>
      <x:c r="J37" s="1314"/>
      <x:c r="K37" s="1314" t="str">
        <x:v>Activa campos requeridos en Parte</x:v>
      </x:c>
      <x:c r="L37" s="1314"/>
      <x:c r="M37" s="1314"/>
      <x:c r="N37" s="1315"/>
    </x:row>
    <x:row r="38" ht="46" customHeight="1">
      <x:c r="A38" s="1313" t="str">
        <x:v>Personas</x:v>
      </x:c>
      <x:c r="B38" s="1314" t="str">
        <x:v>personas/perfiles previstos</x:v>
      </x:c>
      <x:c r="C38" s="1314" t="str">
        <x:v>Asignación</x:v>
      </x:c>
      <x:c r="D38" s="1314" t="str">
        <x:v>Según servicio</x:v>
      </x:c>
      <x:c r="E38" s="1314" t="str">
        <x:v>Planificación / RRHH</x:v>
      </x:c>
      <x:c r="F38" s="1314" t="str">
        <x:v>Asignado</x:v>
      </x:c>
      <x:c r="G38" s="1314" t="str">
        <x:v>Gate P2 o alerta</x:v>
      </x:c>
      <x:c r="H38" s="1314"/>
      <x:c r="I38" s="1314"/>
      <x:c r="J38" s="1314"/>
      <x:c r="K38" s="1314" t="str">
        <x:v>Pre-check documental y ruta</x:v>
      </x:c>
      <x:c r="L38" s="1314"/>
      <x:c r="M38" s="1314"/>
      <x:c r="N38" s="1315"/>
    </x:row>
    <x:row r="39" ht="46" customHeight="1">
      <x:c r="A39" s="1313" t="str">
        <x:v>Recursos</x:v>
      </x:c>
      <x:c r="B39" s="1314" t="str">
        <x:v>recursos/tipos previstos</x:v>
      </x:c>
      <x:c r="C39" s="1314" t="str">
        <x:v>Asignación/Unidad</x:v>
      </x:c>
      <x:c r="D39" s="1314" t="str">
        <x:v>Según servicio</x:v>
      </x:c>
      <x:c r="E39" s="1314" t="str">
        <x:v>Planificación / flota</x:v>
      </x:c>
      <x:c r="F39" s="1314" t="str">
        <x:v>Asignado</x:v>
      </x:c>
      <x:c r="G39" s="1314" t="str">
        <x:v>Gate P2 o alerta</x:v>
      </x:c>
      <x:c r="H39" s="1314"/>
      <x:c r="I39" s="1314"/>
      <x:c r="J39" s="1314"/>
      <x:c r="K39" s="1314" t="str">
        <x:v>Pre-check, compatibilidad y precarga</x:v>
      </x:c>
      <x:c r="L39" s="1314"/>
      <x:c r="M39" s="1314"/>
      <x:c r="N39" s="1315"/>
    </x:row>
    <x:row r="40" ht="46" customHeight="1">
      <x:c r="A40" s="1313" t="str">
        <x:v>Gobernanza</x:v>
      </x:c>
      <x:c r="B40" s="1314" t="str">
        <x:v>prioridad/urgencia</x:v>
      </x:c>
      <x:c r="C40" s="1314" t="str">
        <x:v>Asignación</x:v>
      </x:c>
      <x:c r="D40" s="1314" t="str">
        <x:v>Condicional</x:v>
      </x:c>
      <x:c r="E40" s="1314" t="str">
        <x:v>Planificación</x:v>
      </x:c>
      <x:c r="F40" s="1314" t="str">
        <x:v>Selección/derivado</x:v>
      </x:c>
      <x:c r="G40" s="1314" t="str">
        <x:v>Advertencia</x:v>
      </x:c>
      <x:c r="H40" s="1314"/>
      <x:c r="I40" s="1314"/>
      <x:c r="J40" s="1314"/>
      <x:c r="K40" s="1314" t="str">
        <x:v>Ordena y permite replanificación</x:v>
      </x:c>
      <x:c r="L40" s="1314"/>
      <x:c r="M40" s="1314"/>
      <x:c r="N40" s="1315"/>
    </x:row>
    <x:row r="41" ht="46" customHeight="1">
      <x:c r="A41" s="1313" t="str">
        <x:v>Ruteo</x:v>
      </x:c>
      <x:c r="B41" s="1314" t="str">
        <x:v>tipo_parte_previsto_id</x:v>
      </x:c>
      <x:c r="C41" s="1314" t="str">
        <x:v>Asignación</x:v>
      </x:c>
      <x:c r="D41" s="1314" t="str">
        <x:v>Calculado, no manual</x:v>
      </x:c>
      <x:c r="E41" s="1314" t="str">
        <x:v>MotorEnrutamiento</x:v>
      </x:c>
      <x:c r="F41" s="1314" t="str">
        <x:v>Derivado</x:v>
      </x:c>
      <x:c r="G41" s="1314" t="str">
        <x:v>Gate P3 si ambiguo</x:v>
      </x:c>
      <x:c r="H41" s="1314"/>
      <x:c r="I41" s="1314"/>
      <x:c r="J41" s="1314"/>
      <x:c r="K41" s="1314" t="str">
        <x:v>Preview; se revalida al inicio</x:v>
      </x:c>
      <x:c r="L41" s="1314"/>
      <x:c r="M41" s="1314"/>
      <x:c r="N41" s="1315"/>
    </x:row>
    <x:row r="42" ht="46" customHeight="1">
      <x:c r="A42" s="1313" t="str">
        <x:v>Habilita</x:v>
      </x:c>
      <x:c r="B42" s="1314" t="str">
        <x:v>permisos esperables</x:v>
      </x:c>
      <x:c r="C42" s="1314" t="str">
        <x:v>UnidadPlanificada</x:v>
      </x:c>
      <x:c r="D42" s="1314" t="str">
        <x:v>Derivado</x:v>
      </x:c>
      <x:c r="E42" s="1314" t="str">
        <x:v>Servicio/tarea + reglas Habilita</x:v>
      </x:c>
      <x:c r="F42" s="1314" t="str">
        <x:v>Derivado</x:v>
      </x:c>
      <x:c r="G42" s="1314" t="str">
        <x:v>No bloquea por sí solo en plan</x:v>
      </x:c>
      <x:c r="H42" s="1314"/>
      <x:c r="I42" s="1314"/>
      <x:c r="J42" s="1314"/>
      <x:c r="K42" s="1314" t="str">
        <x:v>Prepara Gate de Permiso en campo</x:v>
      </x:c>
      <x:c r="L42" s="1314"/>
      <x:c r="M42" s="1314"/>
      <x:c r="N42" s="1315"/>
    </x:row>
    <x:row r="43" ht="46" customHeight="1">
      <x:c r="A43" s="1313" t="str">
        <x:v>Documental</x:v>
      </x:c>
      <x:c r="B43" s="1314" t="str">
        <x:v>resultado_precheck_planificacion</x:v>
      </x:c>
      <x:c r="C43" s="1314" t="str">
        <x:v>Asignación</x:v>
      </x:c>
      <x:c r="D43" s="1314" t="str">
        <x:v>Sí para despacho</x:v>
      </x:c>
      <x:c r="E43" s="1314" t="str">
        <x:v>Motor habilitaciones</x:v>
      </x:c>
      <x:c r="F43" s="1314" t="str">
        <x:v>Calculado</x:v>
      </x:c>
      <x:c r="G43" s="1314" t="str">
        <x:v>advierte / override / bloquea</x:v>
      </x:c>
      <x:c r="H43" s="1314"/>
      <x:c r="I43" s="1314"/>
      <x:c r="J43" s="1314"/>
      <x:c r="K43" s="1314" t="str">
        <x:v>Evita enviar recursos no habilitados</x:v>
      </x:c>
      <x:c r="L43" s="1314"/>
      <x:c r="M43" s="1314"/>
      <x:c r="N43" s="1315"/>
    </x:row>
    <x:row r="44">
      <x:c r="A44" s="1277"/>
      <x:c r="B44" s="1277"/>
      <x:c r="C44" s="1277"/>
      <x:c r="D44" s="1277"/>
      <x:c r="E44" s="1277"/>
      <x:c r="F44" s="1277"/>
      <x:c r="G44" s="1277"/>
      <x:c r="H44" s="1277"/>
      <x:c r="I44" s="1277"/>
      <x:c r="J44" s="1277"/>
      <x:c r="K44" s="1277"/>
      <x:c r="L44" s="1277"/>
      <x:c r="M44" s="1277"/>
      <x:c r="N44" s="1277"/>
    </x:row>
    <x:row r="45">
      <x:c r="A45" s="1277"/>
      <x:c r="B45" s="1277"/>
      <x:c r="C45" s="1277"/>
      <x:c r="D45" s="1277"/>
      <x:c r="E45" s="1277"/>
      <x:c r="F45" s="1277"/>
      <x:c r="G45" s="1277"/>
      <x:c r="H45" s="1277"/>
      <x:c r="I45" s="1277"/>
      <x:c r="J45" s="1277"/>
      <x:c r="K45" s="1277"/>
      <x:c r="L45" s="1277"/>
      <x:c r="M45" s="1277"/>
      <x:c r="N45" s="1277"/>
    </x:row>
    <x:row r="46">
      <x:c r="A46" s="1330" t="str">
        <x:v>04 — COMPUERTAS DE PLANIFICACIÓN · ANTES DE ENTREGAR INTERFACE A</x:v>
      </x:c>
      <x:c r="B46" s="1330"/>
      <x:c r="C46" s="1330"/>
      <x:c r="D46" s="1330"/>
      <x:c r="E46" s="1330"/>
      <x:c r="F46" s="1330"/>
      <x:c r="G46" s="1330"/>
      <x:c r="H46" s="1330"/>
      <x:c r="I46" s="1330"/>
      <x:c r="J46" s="1330"/>
      <x:c r="K46" s="1330"/>
      <x:c r="L46" s="1330"/>
      <x:c r="M46" s="1330"/>
      <x:c r="N46" s="1330"/>
    </x:row>
    <x:row r="47">
      <x:c r="A47" s="1277"/>
      <x:c r="B47" s="1277"/>
      <x:c r="C47" s="1277"/>
      <x:c r="D47" s="1277"/>
      <x:c r="E47" s="1277"/>
      <x:c r="F47" s="1277"/>
      <x:c r="G47" s="1277"/>
      <x:c r="H47" s="1277"/>
      <x:c r="I47" s="1277"/>
      <x:c r="J47" s="1277"/>
      <x:c r="K47" s="1277"/>
      <x:c r="L47" s="1277"/>
      <x:c r="M47" s="1277"/>
      <x:c r="N47" s="1277"/>
    </x:row>
    <x:row r="48">
      <x:c r="A48" s="1316" t="str">
        <x:v>GATE P0
CONTRACTUAL
¿Cliente/Servicio/fecha resuelven a un contexto contractual suficiente?
ContratoServicio · CentroCosto · reglas
Hard block si la ambigüedad impide capturar lo necesario.</x:v>
      </x:c>
      <x:c r="B48" s="1317"/>
      <x:c r="C48" s="1318"/>
      <x:c r="D48" s="1316" t="str">
        <x:v>GATE P1
CONTEXTO
¿Existe información operativa mínima?
qué · dónde · cuándo · para quién
Sin esto no existe asignación despachable.</x:v>
      </x:c>
      <x:c r="E48" s="1317"/>
      <x:c r="F48" s="1318"/>
      <x:c r="G48" s="1316" t="str">
        <x:v>GATE P2
RECURSOS
¿Personas/recursos previstos son aptos para la fecha?
pre-check futuro
Habilita · advierte · bloquea según requisito.</x:v>
      </x:c>
      <x:c r="H48" s="1317"/>
      <x:c r="I48" s="1318"/>
      <x:c r="J48" s="1316" t="str">
        <x:v>GATE P3
RUTEO
¿Perfil + asignación + contexto permiten predecir TipoParte sin ambigüedad crítica?
No se pide al usuario que elija un Parte.</x:v>
      </x:c>
      <x:c r="K48" s="1317"/>
      <x:c r="L48" s="1318"/>
      <x:c r="M48" s="1316" t="str">
        <x:v>GATE P4
DESPACHO
¿P0–P3 permiten confirmar y generar snapshot?
Emite Interface A v0.</x:v>
      </x:c>
      <x:c r="N48" s="1318"/>
    </x:row>
    <x:row r="49">
      <x:c r="A49" s="1319"/>
      <x:c r="B49" s="1320"/>
      <x:c r="C49" s="1321"/>
      <x:c r="D49" s="1319"/>
      <x:c r="E49" s="1320"/>
      <x:c r="F49" s="1321"/>
      <x:c r="G49" s="1319"/>
      <x:c r="H49" s="1320"/>
      <x:c r="I49" s="1321"/>
      <x:c r="J49" s="1319"/>
      <x:c r="K49" s="1320"/>
      <x:c r="L49" s="1321"/>
      <x:c r="M49" s="1319"/>
      <x:c r="N49" s="1321"/>
    </x:row>
    <x:row r="50">
      <x:c r="A50" s="1319"/>
      <x:c r="B50" s="1320"/>
      <x:c r="C50" s="1321"/>
      <x:c r="D50" s="1319"/>
      <x:c r="E50" s="1320"/>
      <x:c r="F50" s="1321"/>
      <x:c r="G50" s="1319"/>
      <x:c r="H50" s="1320"/>
      <x:c r="I50" s="1321"/>
      <x:c r="J50" s="1319"/>
      <x:c r="K50" s="1320"/>
      <x:c r="L50" s="1321"/>
      <x:c r="M50" s="1319"/>
      <x:c r="N50" s="1321"/>
    </x:row>
    <x:row r="51">
      <x:c r="A51" s="1319"/>
      <x:c r="B51" s="1320"/>
      <x:c r="C51" s="1321"/>
      <x:c r="D51" s="1319"/>
      <x:c r="E51" s="1320"/>
      <x:c r="F51" s="1321"/>
      <x:c r="G51" s="1319"/>
      <x:c r="H51" s="1320"/>
      <x:c r="I51" s="1321"/>
      <x:c r="J51" s="1319"/>
      <x:c r="K51" s="1320"/>
      <x:c r="L51" s="1321"/>
      <x:c r="M51" s="1319"/>
      <x:c r="N51" s="1321"/>
    </x:row>
    <x:row r="52">
      <x:c r="A52" s="1322"/>
      <x:c r="B52" s="1323"/>
      <x:c r="C52" s="1324"/>
      <x:c r="D52" s="1322"/>
      <x:c r="E52" s="1323"/>
      <x:c r="F52" s="1324"/>
      <x:c r="G52" s="1322"/>
      <x:c r="H52" s="1323"/>
      <x:c r="I52" s="1324"/>
      <x:c r="J52" s="1322"/>
      <x:c r="K52" s="1323"/>
      <x:c r="L52" s="1324"/>
      <x:c r="M52" s="1322"/>
      <x:c r="N52" s="1324"/>
    </x:row>
    <x:row r="53">
      <x:c r="A53" s="1277"/>
      <x:c r="B53" s="1277"/>
      <x:c r="C53" s="1277"/>
      <x:c r="D53" s="1277"/>
      <x:c r="E53" s="1277"/>
      <x:c r="F53" s="1277"/>
      <x:c r="G53" s="1277"/>
      <x:c r="H53" s="1277"/>
      <x:c r="I53" s="1277"/>
      <x:c r="J53" s="1277"/>
      <x:c r="K53" s="1277"/>
      <x:c r="L53" s="1277"/>
      <x:c r="M53" s="1277"/>
      <x:c r="N53" s="1277"/>
    </x:row>
    <x:row r="54">
      <x:c r="A54" s="1277"/>
      <x:c r="B54" s="1277"/>
      <x:c r="C54" s="1277"/>
      <x:c r="D54" s="1277"/>
      <x:c r="E54" s="1277"/>
      <x:c r="F54" s="1277"/>
      <x:c r="G54" s="1277"/>
      <x:c r="H54" s="1277"/>
      <x:c r="I54" s="1277"/>
      <x:c r="J54" s="1277"/>
      <x:c r="K54" s="1277"/>
      <x:c r="L54" s="1277"/>
      <x:c r="M54" s="1277"/>
      <x:c r="N54" s="1277"/>
    </x:row>
    <x:row r="55">
      <x:c r="A55" s="1330" t="str">
        <x:v>05 — DERIVACIÓN PREVIA · PLANIFICACIÓN PREPARA, EJECUCIÓN REVALIDA</x:v>
      </x:c>
      <x:c r="B55" s="1330"/>
      <x:c r="C55" s="1330"/>
      <x:c r="D55" s="1330"/>
      <x:c r="E55" s="1330"/>
      <x:c r="F55" s="1330"/>
      <x:c r="G55" s="1330"/>
      <x:c r="H55" s="1330"/>
      <x:c r="I55" s="1330"/>
      <x:c r="J55" s="1330"/>
      <x:c r="K55" s="1330"/>
      <x:c r="L55" s="1330"/>
      <x:c r="M55" s="1330"/>
      <x:c r="N55" s="1330"/>
    </x:row>
    <x:row r="56">
      <x:c r="A56" s="1277"/>
      <x:c r="B56" s="1277"/>
      <x:c r="C56" s="1277"/>
      <x:c r="D56" s="1277"/>
      <x:c r="E56" s="1277"/>
      <x:c r="F56" s="1277"/>
      <x:c r="G56" s="1277"/>
      <x:c r="H56" s="1277"/>
      <x:c r="I56" s="1277"/>
      <x:c r="J56" s="1277"/>
      <x:c r="K56" s="1277"/>
      <x:c r="L56" s="1277"/>
      <x:c r="M56" s="1277"/>
      <x:c r="N56" s="1277"/>
    </x:row>
    <x:row r="57">
      <x:c r="A57" s="1282" t="str">
        <x:v>USUARIO /
PERFIL</x:v>
      </x:c>
      <x:c r="B57" s="1284"/>
      <x:c r="C57" s="1277"/>
      <x:c r="D57" s="1282" t="str">
        <x:v>ASIGNACIÓN
PLANIFICADA</x:v>
      </x:c>
      <x:c r="E57" s="1284"/>
      <x:c r="F57" s="1277"/>
      <x:c r="G57" s="1282" t="str">
        <x:v>SERVICIO +
UBICACIÓN</x:v>
      </x:c>
      <x:c r="H57" s="1284"/>
      <x:c r="I57" s="1277"/>
      <x:c r="J57" s="1279" t="str">
        <x:v>CONTEXTO
CONTRACTUAL</x:v>
      </x:c>
      <x:c r="K57" s="1281"/>
      <x:c r="L57" s="1277"/>
      <x:c r="M57" s="1316" t="str">
        <x:v>ƒ TIPO PARTE
PREVISTO</x:v>
      </x:c>
      <x:c r="N57" s="1318"/>
    </x:row>
    <x:row r="58">
      <x:c r="A58" s="1291"/>
      <x:c r="B58" s="1293"/>
      <x:c r="C58" s="1297" t="str">
        <x:v>→</x:v>
      </x:c>
      <x:c r="D58" s="1291"/>
      <x:c r="E58" s="1293"/>
      <x:c r="F58" s="1297" t="str">
        <x:v>→</x:v>
      </x:c>
      <x:c r="G58" s="1291"/>
      <x:c r="H58" s="1293"/>
      <x:c r="I58" s="1297" t="str">
        <x:v>→</x:v>
      </x:c>
      <x:c r="J58" s="1288"/>
      <x:c r="K58" s="1290"/>
      <x:c r="L58" s="1297" t="str">
        <x:v>→</x:v>
      </x:c>
      <x:c r="M58" s="1319"/>
      <x:c r="N58" s="1321"/>
    </x:row>
    <x:row r="59">
      <x:c r="A59" s="1291"/>
      <x:c r="B59" s="1293"/>
      <x:c r="C59" s="1277"/>
      <x:c r="D59" s="1291"/>
      <x:c r="E59" s="1293"/>
      <x:c r="F59" s="1277"/>
      <x:c r="G59" s="1291"/>
      <x:c r="H59" s="1293"/>
      <x:c r="I59" s="1277"/>
      <x:c r="J59" s="1288"/>
      <x:c r="K59" s="1290"/>
      <x:c r="L59" s="1277"/>
      <x:c r="M59" s="1319"/>
      <x:c r="N59" s="1321"/>
    </x:row>
    <x:row r="60">
      <x:c r="A60" s="1301"/>
      <x:c r="B60" s="1303"/>
      <x:c r="C60" s="1277"/>
      <x:c r="D60" s="1301"/>
      <x:c r="E60" s="1303"/>
      <x:c r="F60" s="1277"/>
      <x:c r="G60" s="1301"/>
      <x:c r="H60" s="1303"/>
      <x:c r="I60" s="1277"/>
      <x:c r="J60" s="1298"/>
      <x:c r="K60" s="1300"/>
      <x:c r="L60" s="1277"/>
      <x:c r="M60" s="1322"/>
      <x:c r="N60" s="1324"/>
    </x:row>
    <x:row r="61">
      <x:c r="A61" s="1277"/>
      <x:c r="B61" s="1277"/>
      <x:c r="C61" s="1277"/>
      <x:c r="D61" s="1277"/>
      <x:c r="E61" s="1277"/>
      <x:c r="F61" s="1277"/>
      <x:c r="G61" s="1277"/>
      <x:c r="H61" s="1277"/>
      <x:c r="I61" s="1277"/>
      <x:c r="J61" s="1277"/>
      <x:c r="K61" s="1277"/>
      <x:c r="L61" s="1277"/>
      <x:c r="M61" s="1277"/>
      <x:c r="N61" s="1277"/>
    </x:row>
    <x:row r="62">
      <x:c r="A62" s="1325" t="str">
        <x:v>REGLA: tipo_parte_previsto_id es una predicción de ruteo, no una selección ni una verdad congelada. Al iniciar la ejecución, el motor vuelve a evaluar persona real + asignación + servicio/contexto real. Si cambió algo que afecta la ruta, se aplica la regla de corte/ruteo del TipoParte correspondiente.</x:v>
      </x:c>
      <x:c r="B62" s="1325"/>
      <x:c r="C62" s="1325"/>
      <x:c r="D62" s="1325"/>
      <x:c r="E62" s="1325"/>
      <x:c r="F62" s="1325"/>
      <x:c r="G62" s="1325"/>
      <x:c r="H62" s="1325"/>
      <x:c r="I62" s="1325"/>
      <x:c r="J62" s="1325"/>
      <x:c r="K62" s="1325"/>
      <x:c r="L62" s="1325"/>
      <x:c r="M62" s="1325"/>
      <x:c r="N62" s="1325"/>
    </x:row>
    <x:row r="63">
      <x:c r="A63" s="1325"/>
      <x:c r="B63" s="1325"/>
      <x:c r="C63" s="1325"/>
      <x:c r="D63" s="1325"/>
      <x:c r="E63" s="1325"/>
      <x:c r="F63" s="1325"/>
      <x:c r="G63" s="1325"/>
      <x:c r="H63" s="1325"/>
      <x:c r="I63" s="1325"/>
      <x:c r="J63" s="1325"/>
      <x:c r="K63" s="1325"/>
      <x:c r="L63" s="1325"/>
      <x:c r="M63" s="1325"/>
      <x:c r="N63" s="1325"/>
    </x:row>
    <x:row r="64">
      <x:c r="A64" s="1325"/>
      <x:c r="B64" s="1325"/>
      <x:c r="C64" s="1325"/>
      <x:c r="D64" s="1325"/>
      <x:c r="E64" s="1325"/>
      <x:c r="F64" s="1325"/>
      <x:c r="G64" s="1325"/>
      <x:c r="H64" s="1325"/>
      <x:c r="I64" s="1325"/>
      <x:c r="J64" s="1325"/>
      <x:c r="K64" s="1325"/>
      <x:c r="L64" s="1325"/>
      <x:c r="M64" s="1325"/>
      <x:c r="N64" s="1325"/>
    </x:row>
    <x:row r="65">
      <x:c r="A65" s="1277"/>
      <x:c r="B65" s="1277"/>
      <x:c r="C65" s="1277"/>
      <x:c r="D65" s="1277"/>
      <x:c r="E65" s="1277"/>
      <x:c r="F65" s="1277"/>
      <x:c r="G65" s="1277"/>
      <x:c r="H65" s="1277"/>
      <x:c r="I65" s="1277"/>
      <x:c r="J65" s="1277"/>
      <x:c r="K65" s="1277"/>
      <x:c r="L65" s="1277"/>
      <x:c r="M65" s="1277"/>
      <x:c r="N65" s="1277"/>
    </x:row>
    <x:row r="66">
      <x:c r="A66" s="1330" t="str">
        <x:v>06 — VERSIONADO / REPLANIFICACIÓN · NO PISAR LA INTENCIÓN HISTÓRICA</x:v>
      </x:c>
      <x:c r="B66" s="1330"/>
      <x:c r="C66" s="1330"/>
      <x:c r="D66" s="1330"/>
      <x:c r="E66" s="1330"/>
      <x:c r="F66" s="1330"/>
      <x:c r="G66" s="1330"/>
      <x:c r="H66" s="1330"/>
      <x:c r="I66" s="1330"/>
      <x:c r="J66" s="1330"/>
      <x:c r="K66" s="1330"/>
      <x:c r="L66" s="1330"/>
      <x:c r="M66" s="1330"/>
      <x:c r="N66" s="1330"/>
    </x:row>
    <x:row r="67">
      <x:c r="A67" s="1326" t="str">
        <x:v>Momento</x:v>
      </x:c>
      <x:c r="B67" s="1326" t="str">
        <x:v>Qué puede cambiar</x:v>
      </x:c>
      <x:c r="C67" s="1326" t="str">
        <x:v>Tratamiento</x:v>
      </x:c>
      <x:c r="D67" s="1326" t="str">
        <x:v>¿Nueva versión?</x:v>
      </x:c>
      <x:c r="E67" s="1326" t="str">
        <x:v>Impacto en Parte</x:v>
      </x:c>
      <x:c r="F67" s="1326" t="str">
        <x:v>Trazabilidad</x:v>
      </x:c>
      <x:c r="G67" s="1277"/>
      <x:c r="H67" s="1307" t="str">
        <x:v>PRINCIPIO DE AUDITORÍA
El Parte nunca debe mirar 'la planificación actual' para explicar el pasado. Debe poder recuperar el snapshot/version exacta que recibió al momento de iniciar. Así podemos comparar PLANIFICADO vs REAL sin que una replanificación posterior reescriba la historia.</x:v>
      </x:c>
      <x:c r="I67" s="1307"/>
      <x:c r="J67" s="1307"/>
      <x:c r="K67" s="1307"/>
      <x:c r="L67" s="1307"/>
      <x:c r="M67" s="1307"/>
      <x:c r="N67" s="1307"/>
    </x:row>
    <x:row r="68" ht="52" customHeight="1">
      <x:c r="A68" s="1327" t="str">
        <x:v>Borrador</x:v>
      </x:c>
      <x:c r="B68" s="1327" t="str">
        <x:v>Todo el contexto</x:v>
      </x:c>
      <x:c r="C68" s="1327" t="str">
        <x:v>Edición normal</x:v>
      </x:c>
      <x:c r="D68" s="1327" t="str">
        <x:v>No necesariamente</x:v>
      </x:c>
      <x:c r="E68" s="1327" t="str">
        <x:v>Ninguno</x:v>
      </x:c>
      <x:c r="F68" s="1327" t="str">
        <x:v>Historial liviano opcional</x:v>
      </x:c>
      <x:c r="G68" s="1277"/>
      <x:c r="H68" s="1307"/>
      <x:c r="I68" s="1307"/>
      <x:c r="J68" s="1307"/>
      <x:c r="K68" s="1307"/>
      <x:c r="L68" s="1307"/>
      <x:c r="M68" s="1307"/>
      <x:c r="N68" s="1307"/>
    </x:row>
    <x:row r="69" ht="52" customHeight="1">
      <x:c r="A69" s="1327" t="str">
        <x:v>Confirmada / no iniciada</x:v>
      </x:c>
      <x:c r="B69" s="1327" t="str">
        <x:v>Servicio, ubicación, fecha, personas, recursos, prioridad</x:v>
      </x:c>
      <x:c r="C69" s="1327" t="str">
        <x:v>Replanificación controlada + rerun P0–P4</x:v>
      </x:c>
      <x:c r="D69" s="1327" t="str">
        <x:v>Sí si cambia payload confirmado</x:v>
      </x:c>
      <x:c r="E69" s="1327" t="str">
        <x:v>Actualizar snapshot despachable</x:v>
      </x:c>
      <x:c r="F69" s="1327" t="str">
        <x:v>Actor + antes/después + motivo</x:v>
      </x:c>
      <x:c r="G69" s="1277"/>
      <x:c r="H69" s="1307"/>
      <x:c r="I69" s="1307"/>
      <x:c r="J69" s="1307"/>
      <x:c r="K69" s="1307"/>
      <x:c r="L69" s="1307"/>
      <x:c r="M69" s="1307"/>
      <x:c r="N69" s="1307"/>
    </x:row>
    <x:row r="70" ht="52" customHeight="1">
      <x:c r="A70" s="1327" t="str">
        <x:v>Ejecución iniciada</x:v>
      </x:c>
      <x:c r="B70" s="1327" t="str">
        <x:v>No sobrescribir lo que ya recibió campo</x:v>
      </x:c>
      <x:c r="C70" s="1327" t="str">
        <x:v>Cambio se registra como nueva versión + EventoOperativo</x:v>
      </x:c>
      <x:c r="D70" s="1327" t="str">
        <x:v>Sí</x:v>
      </x:c>
      <x:c r="E70" s="1327" t="str">
        <x:v>Parte conserva plan original y registra realidad</x:v>
      </x:c>
      <x:c r="F70" s="1327" t="str">
        <x:v>Append-only</x:v>
      </x:c>
      <x:c r="G70" s="1277"/>
      <x:c r="H70" s="1307"/>
      <x:c r="I70" s="1307"/>
      <x:c r="J70" s="1307"/>
      <x:c r="K70" s="1307"/>
      <x:c r="L70" s="1307"/>
      <x:c r="M70" s="1307"/>
      <x:c r="N70" s="1307"/>
    </x:row>
    <x:row r="71" ht="52" customHeight="1">
      <x:c r="A71" s="1327" t="str">
        <x:v>Cancelada</x:v>
      </x:c>
      <x:c r="B71" s="1327" t="str">
        <x:v>Motivo cancelación</x:v>
      </x:c>
      <x:c r="C71" s="1327" t="str">
        <x:v>Cerrar asignación</x:v>
      </x:c>
      <x:c r="D71" s="1327" t="str">
        <x:v>No/según política</x:v>
      </x:c>
      <x:c r="E71" s="1327" t="str">
        <x:v>No debe crear ejecución nueva</x:v>
      </x:c>
      <x:c r="F71" s="1327" t="str">
        <x:v>Evento cancelación</x:v>
      </x:c>
      <x:c r="G71" s="1277"/>
      <x:c r="H71" s="1307"/>
      <x:c r="I71" s="1307"/>
      <x:c r="J71" s="1307"/>
      <x:c r="K71" s="1307"/>
      <x:c r="L71" s="1307"/>
      <x:c r="M71" s="1307"/>
      <x:c r="N71" s="1307"/>
    </x:row>
    <x:row r="72">
      <x:c r="A72" s="1277"/>
      <x:c r="B72" s="1277"/>
      <x:c r="C72" s="1277"/>
      <x:c r="D72" s="1277"/>
      <x:c r="E72" s="1277"/>
      <x:c r="F72" s="1277"/>
      <x:c r="G72" s="1277"/>
      <x:c r="H72" s="1277"/>
      <x:c r="I72" s="1277"/>
      <x:c r="J72" s="1277"/>
      <x:c r="K72" s="1277"/>
      <x:c r="L72" s="1277"/>
      <x:c r="M72" s="1277"/>
      <x:c r="N72" s="1277"/>
    </x:row>
    <x:row r="73">
      <x:c r="A73" s="1330" t="str">
        <x:v>07 — PLANIFICADO VS REAL · DOS VERDADES RELACIONADAS, NO DOS COPIAS DEL MISMO DATO</x:v>
      </x:c>
      <x:c r="B73" s="1330"/>
      <x:c r="C73" s="1330"/>
      <x:c r="D73" s="1330"/>
      <x:c r="E73" s="1330"/>
      <x:c r="F73" s="1330"/>
      <x:c r="G73" s="1330"/>
      <x:c r="H73" s="1330"/>
      <x:c r="I73" s="1330"/>
      <x:c r="J73" s="1330"/>
      <x:c r="K73" s="1330"/>
      <x:c r="L73" s="1330"/>
      <x:c r="M73" s="1330"/>
      <x:c r="N73" s="1330"/>
    </x:row>
    <x:row r="74">
      <x:c r="A74" s="1326" t="str">
        <x:v>Dimensión</x:v>
      </x:c>
      <x:c r="B74" s="1326" t="str">
        <x:v>Planificación</x:v>
      </x:c>
      <x:c r="C74" s="1326" t="str">
        <x:v>Ejecución</x:v>
      </x:c>
      <x:c r="D74" s="1326" t="str">
        <x:v>Si coincide</x:v>
      </x:c>
      <x:c r="E74" s="1326" t="str">
        <x:v>Si cambia</x:v>
      </x:c>
      <x:c r="F74" s="1277"/>
      <x:c r="G74" s="1307" t="str">
        <x:v>RESULTADO
El dato planificado no se duplica dentro del Parte salvo que haga falta un snapshot técnico para offline/auditoría. La interfaz entrega referencias + snapshot; el Parte registra solo la realidad y los eventos de diferencia. Esto evita tener dos campos editables llamados, por ejemplo, 'ubicación planificada' y 'ubicación real' compitiendo en la misma pantalla.</x:v>
      </x:c>
      <x:c r="H74" s="1307"/>
      <x:c r="I74" s="1307"/>
      <x:c r="J74" s="1307"/>
      <x:c r="K74" s="1307"/>
      <x:c r="L74" s="1307"/>
      <x:c r="M74" s="1307"/>
      <x:c r="N74" s="1307"/>
    </x:row>
    <x:row r="75" ht="46" customHeight="1">
      <x:c r="A75" s="1327" t="str">
        <x:v>Servicio</x:v>
      </x:c>
      <x:c r="B75" s="1327" t="str">
        <x:v>servicio previsto</x:v>
      </x:c>
      <x:c r="C75" s="1327" t="str">
        <x:v>servicio real</x:v>
      </x:c>
      <x:c r="D75" s="1327" t="str">
        <x:v>Se confirma sin input extra</x:v>
      </x:c>
      <x:c r="E75" s="1327" t="str">
        <x:v>Evento/desvío + posible reruteo/corte</x:v>
      </x:c>
      <x:c r="F75" s="1277"/>
      <x:c r="G75" s="1307"/>
      <x:c r="H75" s="1307"/>
      <x:c r="I75" s="1307"/>
      <x:c r="J75" s="1307"/>
      <x:c r="K75" s="1307"/>
      <x:c r="L75" s="1307"/>
      <x:c r="M75" s="1307"/>
      <x:c r="N75" s="1307"/>
    </x:row>
    <x:row r="76" ht="46" customHeight="1">
      <x:c r="A76" s="1327" t="str">
        <x:v>Ubicación</x:v>
      </x:c>
      <x:c r="B76" s="1327" t="str">
        <x:v>ubicación prevista</x:v>
      </x:c>
      <x:c r="C76" s="1327" t="str">
        <x:v>ubicación real</x:v>
      </x:c>
      <x:c r="D76" s="1327" t="str">
        <x:v>Confirmación/auto</x:v>
      </x:c>
      <x:c r="E76" s="1327" t="str">
        <x:v>Evento cambio ubicación</x:v>
      </x:c>
      <x:c r="F76" s="1277"/>
      <x:c r="G76" s="1307"/>
      <x:c r="H76" s="1307"/>
      <x:c r="I76" s="1307"/>
      <x:c r="J76" s="1307"/>
      <x:c r="K76" s="1307"/>
      <x:c r="L76" s="1307"/>
      <x:c r="M76" s="1307"/>
      <x:c r="N76" s="1307"/>
    </x:row>
    <x:row r="77" ht="46" customHeight="1">
      <x:c r="A77" s="1327" t="str">
        <x:v>Persona</x:v>
      </x:c>
      <x:c r="B77" s="1327" t="str">
        <x:v>persona prevista</x:v>
      </x:c>
      <x:c r="C77" s="1327" t="str">
        <x:v>persona real</x:v>
      </x:c>
      <x:c r="D77" s="1327" t="str">
        <x:v>Auto por sesión/asignación</x:v>
      </x:c>
      <x:c r="E77" s="1327" t="str">
        <x:v>Revalidar habilitación + evento</x:v>
      </x:c>
      <x:c r="F77" s="1277"/>
      <x:c r="G77" s="1307"/>
      <x:c r="H77" s="1307"/>
      <x:c r="I77" s="1307"/>
      <x:c r="J77" s="1307"/>
      <x:c r="K77" s="1307"/>
      <x:c r="L77" s="1307"/>
      <x:c r="M77" s="1307"/>
      <x:c r="N77" s="1307"/>
    </x:row>
    <x:row r="78" ht="46" customHeight="1">
      <x:c r="A78" s="1327" t="str">
        <x:v>Recurso</x:v>
      </x:c>
      <x:c r="B78" s="1327" t="str">
        <x:v>recurso previsto</x:v>
      </x:c>
      <x:c r="C78" s="1327" t="str">
        <x:v>recurso real</x:v>
      </x:c>
      <x:c r="D78" s="1327" t="str">
        <x:v>Confirmación</x:v>
      </x:c>
      <x:c r="E78" s="1327" t="str">
        <x:v>Revalidar + regla de corte del TipoParte</x:v>
      </x:c>
      <x:c r="F78" s="1277"/>
      <x:c r="G78" s="1307"/>
      <x:c r="H78" s="1307"/>
      <x:c r="I78" s="1307"/>
      <x:c r="J78" s="1307"/>
      <x:c r="K78" s="1307"/>
      <x:c r="L78" s="1307"/>
      <x:c r="M78" s="1307"/>
      <x:c r="N78" s="1307"/>
    </x:row>
    <x:row r="79" ht="46" customHeight="1">
      <x:c r="A79" s="1327" t="str">
        <x:v>Tiempo</x:v>
      </x:c>
      <x:c r="B79" s="1327" t="str">
        <x:v>ventana prevista</x:v>
      </x:c>
      <x:c r="C79" s="1327" t="str">
        <x:v>timestamps reales</x:v>
      </x:c>
      <x:c r="D79" s="1327" t="str">
        <x:v>Solo referencia</x:v>
      </x:c>
      <x:c r="E79" s="1327" t="str">
        <x:v>No se sobrescribe; se mide desvío</x:v>
      </x:c>
      <x:c r="F79" s="1277"/>
      <x:c r="G79" s="1307"/>
      <x:c r="H79" s="1307"/>
      <x:c r="I79" s="1307"/>
      <x:c r="J79" s="1307"/>
      <x:c r="K79" s="1307"/>
      <x:c r="L79" s="1307"/>
      <x:c r="M79" s="1307"/>
      <x:c r="N79" s="1307"/>
    </x:row>
    <x:row r="80" ht="46" customHeight="1">
      <x:c r="A80" s="1327" t="str">
        <x:v>Imputación</x:v>
      </x:c>
      <x:c r="B80" s="1327" t="str">
        <x:v>prevista/derivada</x:v>
      </x:c>
      <x:c r="C80" s="1327" t="str">
        <x:v>real aplicable</x:v>
      </x:c>
      <x:c r="D80" s="1327" t="str">
        <x:v>Se hereda</x:v>
      </x:c>
      <x:c r="E80" s="1327" t="str">
        <x:v>Excepción controlada + trazabilidad</x:v>
      </x:c>
      <x:c r="F80" s="1277"/>
      <x:c r="G80" s="1307"/>
      <x:c r="H80" s="1307"/>
      <x:c r="I80" s="1307"/>
      <x:c r="J80" s="1307"/>
      <x:c r="K80" s="1307"/>
      <x:c r="L80" s="1307"/>
      <x:c r="M80" s="1307"/>
      <x:c r="N80" s="1307"/>
    </x:row>
    <x:row r="81" ht="46" customHeight="1">
      <x:c r="A81" s="1327" t="str">
        <x:v>TipoParte</x:v>
      </x:c>
      <x:c r="B81" s="1327" t="str">
        <x:v>previsto</x:v>
      </x:c>
      <x:c r="C81" s="1327" t="str">
        <x:v>resuelto al inicio</x:v>
      </x:c>
      <x:c r="D81" s="1327" t="str">
        <x:v>Misma ruta</x:v>
      </x:c>
      <x:c r="E81" s="1327" t="str">
        <x:v>Reruteo por motor, no selector manual</x:v>
      </x:c>
      <x:c r="F81" s="1277"/>
      <x:c r="G81" s="1307"/>
      <x:c r="H81" s="1307"/>
      <x:c r="I81" s="1307"/>
      <x:c r="J81" s="1307"/>
      <x:c r="K81" s="1307"/>
      <x:c r="L81" s="1307"/>
      <x:c r="M81" s="1307"/>
      <x:c r="N81" s="1307"/>
    </x:row>
    <x:row r="82">
      <x:c r="A82" s="1277"/>
      <x:c r="B82" s="1277"/>
      <x:c r="C82" s="1277"/>
      <x:c r="D82" s="1277"/>
      <x:c r="E82" s="1277"/>
      <x:c r="F82" s="1277"/>
      <x:c r="G82" s="1277"/>
      <x:c r="H82" s="1277"/>
      <x:c r="I82" s="1277"/>
      <x:c r="J82" s="1277"/>
      <x:c r="K82" s="1277"/>
      <x:c r="L82" s="1277"/>
      <x:c r="M82" s="1277"/>
      <x:c r="N82" s="1277"/>
    </x:row>
    <x:row r="83">
      <x:c r="A83" s="1330" t="str">
        <x:v>08 — FUERA DE PLANIFICACIÓN · MISMA INTELIGENCIA, SIN INVENTAR UN PLAN FALSO</x:v>
      </x:c>
      <x:c r="B83" s="1330"/>
      <x:c r="C83" s="1330"/>
      <x:c r="D83" s="1330"/>
      <x:c r="E83" s="1330"/>
      <x:c r="F83" s="1330"/>
      <x:c r="G83" s="1330"/>
      <x:c r="H83" s="1330"/>
      <x:c r="I83" s="1330"/>
      <x:c r="J83" s="1330"/>
      <x:c r="K83" s="1330"/>
      <x:c r="L83" s="1330"/>
      <x:c r="M83" s="1330"/>
      <x:c r="N83" s="1330"/>
    </x:row>
    <x:row r="84">
      <x:c r="A84" s="1277"/>
      <x:c r="B84" s="1277"/>
      <x:c r="C84" s="1277"/>
      <x:c r="D84" s="1277"/>
      <x:c r="E84" s="1277"/>
      <x:c r="F84" s="1277"/>
      <x:c r="G84" s="1277"/>
      <x:c r="H84" s="1277"/>
      <x:c r="I84" s="1277"/>
      <x:c r="J84" s="1277"/>
      <x:c r="K84" s="1277"/>
      <x:c r="L84" s="1277"/>
      <x:c r="M84" s="1277"/>
      <x:c r="N84" s="1277"/>
    </x:row>
    <x:row r="85">
      <x:c r="A85" s="1279" t="str">
        <x:v>TRABAJO
EMERGENTE
planificacion_id = null</x:v>
      </x:c>
      <x:c r="B85" s="1280"/>
      <x:c r="C85" s="1281"/>
      <x:c r="D85" s="1277"/>
      <x:c r="E85" s="1282" t="str">
        <x:v>MOTIVO
ESTRUCTURADO
urgencia · adicional · otro</x:v>
      </x:c>
      <x:c r="F85" s="1283"/>
      <x:c r="G85" s="1284"/>
      <x:c r="H85" s="1277"/>
      <x:c r="I85" s="1282" t="str">
        <x:v>CAPTURAR CONTEXTO
MÍNIMO
qué · dónde · cliente</x:v>
      </x:c>
      <x:c r="J85" s="1283"/>
      <x:c r="K85" s="1284"/>
      <x:c r="L85" s="1277"/>
      <x:c r="M85" s="1316" t="str">
        <x:v>P0–P3
+ MOTOR
RUTEO</x:v>
      </x:c>
      <x:c r="N85" s="1318"/>
    </x:row>
    <x:row r="86">
      <x:c r="A86" s="1288"/>
      <x:c r="B86" s="1289"/>
      <x:c r="C86" s="1290"/>
      <x:c r="D86" s="1277"/>
      <x:c r="E86" s="1291"/>
      <x:c r="F86" s="1292"/>
      <x:c r="G86" s="1293"/>
      <x:c r="H86" s="1277"/>
      <x:c r="I86" s="1291"/>
      <x:c r="J86" s="1292"/>
      <x:c r="K86" s="1293"/>
      <x:c r="L86" s="1277"/>
      <x:c r="M86" s="1319"/>
      <x:c r="N86" s="1321"/>
    </x:row>
    <x:row r="87">
      <x:c r="A87" s="1288"/>
      <x:c r="B87" s="1289"/>
      <x:c r="C87" s="1290"/>
      <x:c r="D87" s="1297" t="str">
        <x:v>→</x:v>
      </x:c>
      <x:c r="E87" s="1291"/>
      <x:c r="F87" s="1292"/>
      <x:c r="G87" s="1293"/>
      <x:c r="H87" s="1297" t="str">
        <x:v>→</x:v>
      </x:c>
      <x:c r="I87" s="1291"/>
      <x:c r="J87" s="1292"/>
      <x:c r="K87" s="1293"/>
      <x:c r="L87" s="1297" t="str">
        <x:v>→</x:v>
      </x:c>
      <x:c r="M87" s="1319"/>
      <x:c r="N87" s="1321"/>
    </x:row>
    <x:row r="88">
      <x:c r="A88" s="1288"/>
      <x:c r="B88" s="1289"/>
      <x:c r="C88" s="1290"/>
      <x:c r="D88" s="1277"/>
      <x:c r="E88" s="1291"/>
      <x:c r="F88" s="1292"/>
      <x:c r="G88" s="1293"/>
      <x:c r="H88" s="1277"/>
      <x:c r="I88" s="1291"/>
      <x:c r="J88" s="1292"/>
      <x:c r="K88" s="1293"/>
      <x:c r="L88" s="1277"/>
      <x:c r="M88" s="1319"/>
      <x:c r="N88" s="1321"/>
    </x:row>
    <x:row r="89">
      <x:c r="A89" s="1298"/>
      <x:c r="B89" s="1299"/>
      <x:c r="C89" s="1300"/>
      <x:c r="D89" s="1277"/>
      <x:c r="E89" s="1301"/>
      <x:c r="F89" s="1302"/>
      <x:c r="G89" s="1303"/>
      <x:c r="H89" s="1277"/>
      <x:c r="I89" s="1301"/>
      <x:c r="J89" s="1302"/>
      <x:c r="K89" s="1303"/>
      <x:c r="L89" s="1277"/>
      <x:c r="M89" s="1322"/>
      <x:c r="N89" s="1324"/>
    </x:row>
    <x:row r="90">
      <x:c r="A90" s="1277"/>
      <x:c r="B90" s="1277"/>
      <x:c r="C90" s="1277"/>
      <x:c r="D90" s="1277"/>
      <x:c r="E90" s="1277"/>
      <x:c r="F90" s="1277"/>
      <x:c r="G90" s="1277"/>
      <x:c r="H90" s="1277"/>
      <x:c r="I90" s="1277"/>
      <x:c r="J90" s="1277"/>
      <x:c r="K90" s="1277"/>
      <x:c r="L90" s="1277"/>
      <x:c r="M90" s="1277"/>
      <x:c r="N90" s="1277"/>
    </x:row>
    <x:row r="91">
      <x:c r="A91" s="1309" t="str">
        <x:v>El fallback emergente NO debe abrir un catálogo libre de Tipos de Parte. El usuario informa el contexto mínimo y el motivo; el sistema intenta resolver ContratoServicio/CC, valida habilitaciones y deriva TipoParte. Si el contexto contractual es ambiguo, la política final podrá bloquear o permitir ejecución con pendiente de oficina; esa decisión sigue abierta.</x:v>
      </x:c>
      <x:c r="B91" s="1309"/>
      <x:c r="C91" s="1309"/>
      <x:c r="D91" s="1309"/>
      <x:c r="E91" s="1309"/>
      <x:c r="F91" s="1309"/>
      <x:c r="G91" s="1309"/>
      <x:c r="H91" s="1309"/>
      <x:c r="I91" s="1309"/>
      <x:c r="J91" s="1309"/>
      <x:c r="K91" s="1309"/>
      <x:c r="L91" s="1309"/>
      <x:c r="M91" s="1309"/>
      <x:c r="N91" s="1309"/>
    </x:row>
    <x:row r="92">
      <x:c r="A92" s="1309"/>
      <x:c r="B92" s="1309"/>
      <x:c r="C92" s="1309"/>
      <x:c r="D92" s="1309"/>
      <x:c r="E92" s="1309"/>
      <x:c r="F92" s="1309"/>
      <x:c r="G92" s="1309"/>
      <x:c r="H92" s="1309"/>
      <x:c r="I92" s="1309"/>
      <x:c r="J92" s="1309"/>
      <x:c r="K92" s="1309"/>
      <x:c r="L92" s="1309"/>
      <x:c r="M92" s="1309"/>
      <x:c r="N92" s="1309"/>
    </x:row>
    <x:row r="93">
      <x:c r="A93" s="1309"/>
      <x:c r="B93" s="1309"/>
      <x:c r="C93" s="1309"/>
      <x:c r="D93" s="1309"/>
      <x:c r="E93" s="1309"/>
      <x:c r="F93" s="1309"/>
      <x:c r="G93" s="1309"/>
      <x:c r="H93" s="1309"/>
      <x:c r="I93" s="1309"/>
      <x:c r="J93" s="1309"/>
      <x:c r="K93" s="1309"/>
      <x:c r="L93" s="1309"/>
      <x:c r="M93" s="1309"/>
      <x:c r="N93" s="1309"/>
    </x:row>
    <x:row r="94">
      <x:c r="A94" s="1309"/>
      <x:c r="B94" s="1309"/>
      <x:c r="C94" s="1309"/>
      <x:c r="D94" s="1309"/>
      <x:c r="E94" s="1309"/>
      <x:c r="F94" s="1309"/>
      <x:c r="G94" s="1309"/>
      <x:c r="H94" s="1309"/>
      <x:c r="I94" s="1309"/>
      <x:c r="J94" s="1309"/>
      <x:c r="K94" s="1309"/>
      <x:c r="L94" s="1309"/>
      <x:c r="M94" s="1309"/>
      <x:c r="N94" s="1309"/>
    </x:row>
    <x:row r="95">
      <x:c r="A95" s="1277"/>
      <x:c r="B95" s="1277"/>
      <x:c r="C95" s="1277"/>
      <x:c r="D95" s="1277"/>
      <x:c r="E95" s="1277"/>
      <x:c r="F95" s="1277"/>
      <x:c r="G95" s="1277"/>
      <x:c r="H95" s="1277"/>
      <x:c r="I95" s="1277"/>
      <x:c r="J95" s="1277"/>
      <x:c r="K95" s="1277"/>
      <x:c r="L95" s="1277"/>
      <x:c r="M95" s="1277"/>
      <x:c r="N95" s="1277"/>
    </x:row>
    <x:row r="96">
      <x:c r="A96" s="1330" t="str">
        <x:v>09 — MÁQUINA DE ESTADOS DE PLANIFICACIÓN · PROPUESTA PARA TENSIONAR DESPUÉS</x:v>
      </x:c>
      <x:c r="B96" s="1330"/>
      <x:c r="C96" s="1330"/>
      <x:c r="D96" s="1330"/>
      <x:c r="E96" s="1330"/>
      <x:c r="F96" s="1330"/>
      <x:c r="G96" s="1330"/>
      <x:c r="H96" s="1330"/>
      <x:c r="I96" s="1330"/>
      <x:c r="J96" s="1330"/>
      <x:c r="K96" s="1330"/>
      <x:c r="L96" s="1330"/>
      <x:c r="M96" s="1330"/>
      <x:c r="N96" s="1330"/>
    </x:row>
    <x:row r="97">
      <x:c r="A97" s="1277"/>
      <x:c r="B97" s="1277"/>
      <x:c r="C97" s="1277"/>
      <x:c r="D97" s="1277"/>
      <x:c r="E97" s="1277"/>
      <x:c r="F97" s="1277"/>
      <x:c r="G97" s="1277"/>
      <x:c r="H97" s="1277"/>
      <x:c r="I97" s="1277"/>
      <x:c r="J97" s="1277"/>
      <x:c r="K97" s="1277"/>
      <x:c r="L97" s="1277"/>
      <x:c r="M97" s="1277"/>
      <x:c r="N97" s="1277"/>
    </x:row>
    <x:row r="98">
      <x:c r="A98" s="1282" t="str">
        <x:v>BORRADOR</x:v>
      </x:c>
      <x:c r="B98" s="1284"/>
      <x:c r="C98" s="1277"/>
      <x:c r="D98" s="1282" t="str">
        <x:v>EN
VALIDACIÓN</x:v>
      </x:c>
      <x:c r="E98" s="1284"/>
      <x:c r="F98" s="1277"/>
      <x:c r="G98" s="1282" t="str">
        <x:v>CONFIRMADA</x:v>
      </x:c>
      <x:c r="H98" s="1284"/>
      <x:c r="I98" s="1277"/>
      <x:c r="J98" s="1282" t="str">
        <x:v>DESPACHADA /
LISTA</x:v>
      </x:c>
      <x:c r="K98" s="1284"/>
      <x:c r="L98" s="1277"/>
      <x:c r="M98" s="1282" t="str">
        <x:v>EJECUTADA /
CERRADA</x:v>
      </x:c>
      <x:c r="N98" s="1284"/>
    </x:row>
    <x:row r="99">
      <x:c r="A99" s="1291"/>
      <x:c r="B99" s="1293"/>
      <x:c r="C99" s="1297" t="str">
        <x:v>→</x:v>
      </x:c>
      <x:c r="D99" s="1291"/>
      <x:c r="E99" s="1293"/>
      <x:c r="F99" s="1297" t="str">
        <x:v>→</x:v>
      </x:c>
      <x:c r="G99" s="1291"/>
      <x:c r="H99" s="1293"/>
      <x:c r="I99" s="1297" t="str">
        <x:v>→</x:v>
      </x:c>
      <x:c r="J99" s="1291"/>
      <x:c r="K99" s="1293"/>
      <x:c r="L99" s="1297" t="str">
        <x:v>→</x:v>
      </x:c>
      <x:c r="M99" s="1291"/>
      <x:c r="N99" s="1293"/>
    </x:row>
    <x:row r="100">
      <x:c r="A100" s="1291"/>
      <x:c r="B100" s="1293"/>
      <x:c r="C100" s="1277"/>
      <x:c r="D100" s="1291"/>
      <x:c r="E100" s="1293"/>
      <x:c r="F100" s="1277"/>
      <x:c r="G100" s="1291"/>
      <x:c r="H100" s="1293"/>
      <x:c r="I100" s="1277"/>
      <x:c r="J100" s="1291"/>
      <x:c r="K100" s="1293"/>
      <x:c r="L100" s="1277"/>
      <x:c r="M100" s="1291"/>
      <x:c r="N100" s="1293"/>
    </x:row>
    <x:row r="101">
      <x:c r="A101" s="1301"/>
      <x:c r="B101" s="1303"/>
      <x:c r="C101" s="1277"/>
      <x:c r="D101" s="1301"/>
      <x:c r="E101" s="1303"/>
      <x:c r="F101" s="1277"/>
      <x:c r="G101" s="1301"/>
      <x:c r="H101" s="1303"/>
      <x:c r="I101" s="1277"/>
      <x:c r="J101" s="1301"/>
      <x:c r="K101" s="1303"/>
      <x:c r="L101" s="1277"/>
      <x:c r="M101" s="1301"/>
      <x:c r="N101" s="1303"/>
    </x:row>
    <x:row r="102">
      <x:c r="A102" s="1277"/>
      <x:c r="B102" s="1277"/>
      <x:c r="C102" s="1277"/>
      <x:c r="D102" s="1277"/>
      <x:c r="E102" s="1277"/>
      <x:c r="F102" s="1277"/>
      <x:c r="G102" s="1277"/>
      <x:c r="H102" s="1277"/>
      <x:c r="I102" s="1277"/>
      <x:c r="J102" s="1277"/>
      <x:c r="K102" s="1277"/>
      <x:c r="L102" s="1277"/>
      <x:c r="M102" s="1277"/>
      <x:c r="N102" s="1277"/>
    </x:row>
    <x:row r="103">
      <x:c r="A103" s="1277"/>
      <x:c r="B103" s="1277"/>
      <x:c r="C103" s="1277"/>
      <x:c r="D103" s="1328" t="str">
        <x:v>RAMAS PROVISIONALES
cancelada · replanificada
No las congelamos todavía: primero necesitamos validar cómo trabaja realmente el equipo de Planificación.</x:v>
      </x:c>
      <x:c r="E103" s="1328"/>
      <x:c r="F103" s="1328"/>
      <x:c r="G103" s="1328"/>
      <x:c r="H103" s="1328"/>
      <x:c r="I103" s="1328"/>
      <x:c r="J103" s="1328"/>
      <x:c r="K103" s="1328"/>
      <x:c r="L103" s="1277"/>
      <x:c r="M103" s="1277"/>
      <x:c r="N103" s="1277"/>
    </x:row>
    <x:row r="104">
      <x:c r="A104" s="1277"/>
      <x:c r="B104" s="1277"/>
      <x:c r="C104" s="1277"/>
      <x:c r="D104" s="1328"/>
      <x:c r="E104" s="1328"/>
      <x:c r="F104" s="1328"/>
      <x:c r="G104" s="1328"/>
      <x:c r="H104" s="1328"/>
      <x:c r="I104" s="1328"/>
      <x:c r="J104" s="1328"/>
      <x:c r="K104" s="1328"/>
      <x:c r="L104" s="1277"/>
      <x:c r="M104" s="1277"/>
      <x:c r="N104" s="1277"/>
    </x:row>
    <x:row r="105">
      <x:c r="A105" s="1277"/>
      <x:c r="B105" s="1277"/>
      <x:c r="C105" s="1277"/>
      <x:c r="D105" s="1328"/>
      <x:c r="E105" s="1328"/>
      <x:c r="F105" s="1328"/>
      <x:c r="G105" s="1328"/>
      <x:c r="H105" s="1328"/>
      <x:c r="I105" s="1328"/>
      <x:c r="J105" s="1328"/>
      <x:c r="K105" s="1328"/>
      <x:c r="L105" s="1277"/>
      <x:c r="M105" s="1277"/>
      <x:c r="N105" s="1277"/>
    </x:row>
    <x:row r="106">
      <x:c r="A106" s="1277"/>
      <x:c r="B106" s="1277"/>
      <x:c r="C106" s="1277"/>
      <x:c r="D106" s="1277"/>
      <x:c r="E106" s="1277"/>
      <x:c r="F106" s="1277"/>
      <x:c r="G106" s="1277"/>
      <x:c r="H106" s="1277"/>
      <x:c r="I106" s="1277"/>
      <x:c r="J106" s="1277"/>
      <x:c r="K106" s="1277"/>
      <x:c r="L106" s="1277"/>
      <x:c r="M106" s="1277"/>
      <x:c r="N106" s="1277"/>
    </x:row>
    <x:row r="107">
      <x:c r="A107" s="1330" t="str">
        <x:v>10 — RESULTADO DE INTERFACE A v0 · QUÉ RECIBE EL MOTOR DE PARTES</x:v>
      </x:c>
      <x:c r="B107" s="1330"/>
      <x:c r="C107" s="1330"/>
      <x:c r="D107" s="1330"/>
      <x:c r="E107" s="1330"/>
      <x:c r="F107" s="1330"/>
      <x:c r="G107" s="1330"/>
      <x:c r="H107" s="1330"/>
      <x:c r="I107" s="1330"/>
      <x:c r="J107" s="1330"/>
      <x:c r="K107" s="1330"/>
      <x:c r="L107" s="1330"/>
      <x:c r="M107" s="1330"/>
      <x:c r="N107" s="1330"/>
    </x:row>
    <x:row r="108">
      <x:c r="A108" s="1326" t="str">
        <x:v>Objeto entregado</x:v>
      </x:c>
      <x:c r="B108" s="1326" t="str">
        <x:v>Contenido</x:v>
      </x:c>
      <x:c r="C108" s="1326" t="str">
        <x:v>Mutable desde Ejecución</x:v>
      </x:c>
      <x:c r="D108" s="1326" t="str">
        <x:v>Revalidación</x:v>
      </x:c>
      <x:c r="E108" s="1326" t="str">
        <x:v>Persistencia conceptual</x:v>
      </x:c>
      <x:c r="F108" s="1326" t="str">
        <x:v>Función</x:v>
      </x:c>
      <x:c r="G108" s="1277"/>
      <x:c r="H108" s="1307" t="str">
        <x:v>DECISIÓN v0.6
La Interface A no 'crea el Parte' directamente. Entrega una intención confirmada y trazable al Motor de Ejecución. El motor revalida contexto real, resuelve TipoParte y aplica sus reglas de corte para construir 0..N Partes/Unidades.
Esto mantiene a Planificación integrada pero independiente, exactamente como definimos al comienzo.</x:v>
      </x:c>
      <x:c r="I108" s="1307"/>
      <x:c r="J108" s="1307"/>
      <x:c r="K108" s="1307"/>
      <x:c r="L108" s="1307"/>
      <x:c r="M108" s="1307"/>
      <x:c r="N108" s="1307"/>
    </x:row>
    <x:row r="109" ht="46" customHeight="1">
      <x:c r="A109" s="1327" t="str">
        <x:v>PlanificacionVersion aprobada / Snapshot lógico</x:v>
      </x:c>
      <x:c r="B109" s="1327" t="str">
        <x:v>versión + contexto + referencias</x:v>
      </x:c>
      <x:c r="C109" s="1327" t="str">
        <x:v>No</x:v>
      </x:c>
      <x:c r="D109" s="1327" t="str">
        <x:v>No</x:v>
      </x:c>
      <x:c r="E109" s="1327" t="str">
        <x:v>Inmutable por versión; tabla snapshot separada no obligatoria</x:v>
      </x:c>
      <x:c r="F109" s="1327" t="str">
        <x:v>Explicar exactamente qué recibió Ejecución</x:v>
      </x:c>
      <x:c r="G109" s="1277"/>
      <x:c r="H109" s="1307"/>
      <x:c r="I109" s="1307"/>
      <x:c r="J109" s="1307"/>
      <x:c r="K109" s="1307"/>
      <x:c r="L109" s="1307"/>
      <x:c r="M109" s="1307"/>
      <x:c r="N109" s="1307"/>
    </x:row>
    <x:row r="110" ht="46" customHeight="1">
      <x:c r="A110" s="1327" t="str">
        <x:v>AsignacionPlanificada</x:v>
      </x:c>
      <x:c r="B110" s="1327" t="str">
        <x:v>ventana + cliente + prioridad + previstos</x:v>
      </x:c>
      <x:c r="C110" s="1327" t="str">
        <x:v>No directamente</x:v>
      </x:c>
      <x:c r="D110" s="1327" t="str">
        <x:v>Sí al inicio</x:v>
      </x:c>
      <x:c r="E110" s="1327" t="str">
        <x:v>Referencia upstream</x:v>
      </x:c>
      <x:c r="F110" s="1327" t="str">
        <x:v>Contexto de ruteo</x:v>
      </x:c>
      <x:c r="G110" s="1277"/>
      <x:c r="H110" s="1307"/>
      <x:c r="I110" s="1307"/>
      <x:c r="J110" s="1307"/>
      <x:c r="K110" s="1307"/>
      <x:c r="L110" s="1307"/>
      <x:c r="M110" s="1307"/>
      <x:c r="N110" s="1307"/>
    </x:row>
    <x:row r="111" ht="46" customHeight="1">
      <x:c r="A111" s="1327" t="str">
        <x:v>UnidadPlanificada [N]</x:v>
      </x:c>
      <x:c r="B111" s="1327" t="str">
        <x:v>servicio + tarea + ubicación + contractual</x:v>
      </x:c>
      <x:c r="C111" s="1327" t="str">
        <x:v>No directamente</x:v>
      </x:c>
      <x:c r="D111" s="1327" t="str">
        <x:v>Sí por unidad</x:v>
      </x:c>
      <x:c r="E111" s="1327" t="str">
        <x:v>Referencia upstream</x:v>
      </x:c>
      <x:c r="F111" s="1327" t="str">
        <x:v>Semilla de UnidadEjecución</x:v>
      </x:c>
      <x:c r="G111" s="1277"/>
      <x:c r="H111" s="1307"/>
      <x:c r="I111" s="1307"/>
      <x:c r="J111" s="1307"/>
      <x:c r="K111" s="1307"/>
      <x:c r="L111" s="1307"/>
      <x:c r="M111" s="1307"/>
      <x:c r="N111" s="1307"/>
    </x:row>
    <x:row r="112" ht="46" customHeight="1">
      <x:c r="A112" s="1327" t="str">
        <x:v>Precheck</x:v>
      </x:c>
      <x:c r="B112" s="1327" t="str">
        <x:v>resultado + causas + severidad</x:v>
      </x:c>
      <x:c r="C112" s="1327" t="str">
        <x:v>No</x:v>
      </x:c>
      <x:c r="D112" s="1327" t="str">
        <x:v>Sí, contra momento real</x:v>
      </x:c>
      <x:c r="E112" s="1327" t="str">
        <x:v>Snapshot auditable</x:v>
      </x:c>
      <x:c r="F112" s="1327" t="str">
        <x:v>Anticipar bloqueos</x:v>
      </x:c>
      <x:c r="G112" s="1277"/>
      <x:c r="H112" s="1307"/>
      <x:c r="I112" s="1307"/>
      <x:c r="J112" s="1307"/>
      <x:c r="K112" s="1307"/>
      <x:c r="L112" s="1307"/>
      <x:c r="M112" s="1307"/>
      <x:c r="N112" s="1307"/>
    </x:row>
    <x:row r="113" ht="46" customHeight="1">
      <x:c r="A113" s="1327" t="str">
        <x:v>TipoParte previsto</x:v>
      </x:c>
      <x:c r="B113" s="1327" t="str">
        <x:v>preview de ruta</x:v>
      </x:c>
      <x:c r="C113" s="1327" t="str">
        <x:v>No</x:v>
      </x:c>
      <x:c r="D113" s="1327" t="str">
        <x:v>Sí</x:v>
      </x:c>
      <x:c r="E113" s="1327" t="str">
        <x:v>Derivado / opcional persistir</x:v>
      </x:c>
      <x:c r="F113" s="1327" t="str">
        <x:v>Precargar experiencia</x:v>
      </x:c>
      <x:c r="G113" s="1277"/>
      <x:c r="H113" s="1307"/>
      <x:c r="I113" s="1307"/>
      <x:c r="J113" s="1307"/>
      <x:c r="K113" s="1307"/>
      <x:c r="L113" s="1307"/>
      <x:c r="M113" s="1307"/>
      <x:c r="N113" s="1307"/>
    </x:row>
    <x:row r="114" ht="54" customHeight="1">
      <x:c r="A114" s="1327" t="str">
        <x:v>ExecutionContextBundle</x:v>
      </x:c>
      <x:c r="B114" s="1327" t="str">
        <x:v>proyección offline: asignaciones + personas/recursos/ubicaciones relevantes + reglas mínimas</x:v>
      </x:c>
      <x:c r="C114" s="1327" t="str">
        <x:v>No como verdad de negocio</x:v>
      </x:c>
      <x:c r="D114" s="1327" t="str">
        <x:v>Sí por versión/TTL</x:v>
      </x:c>
      <x:c r="E114" s="1327" t="str">
        <x:v>Cache/proyección versionada</x:v>
      </x:c>
      <x:c r="F114" s="1327" t="str">
        <x:v>Permitir ruteo/gates críticos sin descargar toda la capa maestra</x:v>
      </x:c>
      <x:c r="G114" s="1277"/>
      <x:c r="H114" s="1277"/>
      <x:c r="I114" s="1277"/>
      <x:c r="J114" s="1277"/>
      <x:c r="K114" s="1277"/>
      <x:c r="L114" s="1277"/>
      <x:c r="M114" s="1277"/>
      <x:c r="N114" s="1277"/>
    </x:row>
    <x:row r="115">
      <x:c r="A115" s="1330" t="str">
        <x:v>11 — VALIDACIONES ABIERTAS · SOLO LAS QUE PUEDEN CAMBIAR INTERFACE A</x:v>
      </x:c>
      <x:c r="B115" s="1330"/>
      <x:c r="C115" s="1330"/>
      <x:c r="D115" s="1330"/>
      <x:c r="E115" s="1330"/>
      <x:c r="F115" s="1330"/>
      <x:c r="G115" s="1330"/>
      <x:c r="H115" s="1330"/>
      <x:c r="I115" s="1330"/>
      <x:c r="J115" s="1330"/>
      <x:c r="K115" s="1330"/>
      <x:c r="L115" s="1330"/>
      <x:c r="M115" s="1330"/>
      <x:c r="N115" s="1330"/>
    </x:row>
    <x:row r="116">
      <x:c r="A116" s="1326" t="str">
        <x:v>ID</x:v>
      </x:c>
      <x:c r="B116" s="1326" t="str">
        <x:v>Tema</x:v>
      </x:c>
      <x:c r="C116" s="1326" t="str">
        <x:v>Pregunta</x:v>
      </x:c>
      <x:c r="D116" s="1326" t="str">
        <x:v>Quién</x:v>
      </x:c>
      <x:c r="E116" s="1326" t="str">
        <x:v>Prioridad</x:v>
      </x:c>
      <x:c r="F116" s="1326" t="str">
        <x:v>Impacto</x:v>
      </x:c>
      <x:c r="G116" s="1277"/>
      <x:c r="H116" s="1277"/>
      <x:c r="I116" s="1277"/>
      <x:c r="J116" s="1277"/>
      <x:c r="K116" s="1277"/>
      <x:c r="L116" s="1277"/>
      <x:c r="M116" s="1277"/>
      <x:c r="N116" s="1277"/>
    </x:row>
    <x:row r="117" ht="44" customHeight="1">
      <x:c r="A117" s="1327" t="str">
        <x:v>V37</x:v>
      </x:c>
      <x:c r="B117" s="1327" t="str">
        <x:v>Identidad Plan</x:v>
      </x:c>
      <x:c r="C117" s="1327" t="str">
        <x:v>¿Qué crea Planificación vs una nueva Asignación?</x:v>
      </x:c>
      <x:c r="D117" s="1327" t="str">
        <x:v>Planificación/Ops</x:v>
      </x:c>
      <x:c r="E117" s="1327" t="str">
        <x:v>Crítica</x:v>
      </x:c>
      <x:c r="F117" s="1327" t="str">
        <x:v>Cardinalidad</x:v>
      </x:c>
      <x:c r="G117" s="1277"/>
      <x:c r="H117" s="1277"/>
      <x:c r="I117" s="1277"/>
      <x:c r="J117" s="1277"/>
      <x:c r="K117" s="1277"/>
      <x:c r="L117" s="1277"/>
      <x:c r="M117" s="1277"/>
      <x:c r="N117" s="1277"/>
    </x:row>
    <x:row r="118" ht="44" customHeight="1">
      <x:c r="A118" s="1327" t="str">
        <x:v>V38</x:v>
      </x:c>
      <x:c r="B118" s="1327" t="str">
        <x:v>Payload mínimo</x:v>
      </x:c>
      <x:c r="C118" s="1327" t="str">
        <x:v>¿Qué debe existir sí o sí al confirmar?</x:v>
      </x:c>
      <x:c r="D118" s="1327" t="str">
        <x:v>Planificación/Ops</x:v>
      </x:c>
      <x:c r="E118" s="1327" t="str">
        <x:v>Crítica</x:v>
      </x:c>
      <x:c r="F118" s="1327" t="str">
        <x:v>Gate P1</x:v>
      </x:c>
      <x:c r="G118" s="1277"/>
      <x:c r="H118" s="1277"/>
      <x:c r="I118" s="1277"/>
      <x:c r="J118" s="1277"/>
      <x:c r="K118" s="1277"/>
      <x:c r="L118" s="1277"/>
      <x:c r="M118" s="1277"/>
      <x:c r="N118" s="1277"/>
    </x:row>
    <x:row r="119" ht="44" customHeight="1">
      <x:c r="A119" s="1327" t="str">
        <x:v>V39</x:v>
      </x:c>
      <x:c r="B119" s="1327" t="str">
        <x:v>Asignación recursos</x:v>
      </x:c>
      <x:c r="C119" s="1327" t="str">
        <x:v>¿Cuándo deben estar nominados antes del despacho?</x:v>
      </x:c>
      <x:c r="D119" s="1327" t="str">
        <x:v>Planificación/Ops</x:v>
      </x:c>
      <x:c r="E119" s="1327" t="str">
        <x:v>Alta</x:v>
      </x:c>
      <x:c r="F119" s="1327" t="str">
        <x:v>Gate P2</x:v>
      </x:c>
      <x:c r="G119" s="1277"/>
      <x:c r="H119" s="1277"/>
      <x:c r="I119" s="1277"/>
      <x:c r="J119" s="1277"/>
      <x:c r="K119" s="1277"/>
      <x:c r="L119" s="1277"/>
      <x:c r="M119" s="1277"/>
      <x:c r="N119" s="1277"/>
    </x:row>
    <x:row r="120" ht="44" customHeight="1">
      <x:c r="A120" s="1327" t="str">
        <x:v>V40</x:v>
      </x:c>
      <x:c r="B120" s="1327" t="str">
        <x:v>Contractual</x:v>
      </x:c>
      <x:c r="C120" s="1327" t="str">
        <x:v>¿Qué contexto contractual debe resolverse antes de confirmar?</x:v>
      </x:c>
      <x:c r="D120" s="1327" t="str">
        <x:v>Contratos/Planif.</x:v>
      </x:c>
      <x:c r="E120" s="1327" t="str">
        <x:v>Crítica</x:v>
      </x:c>
      <x:c r="F120" s="1327" t="str">
        <x:v>Gate P0</x:v>
      </x:c>
      <x:c r="G120" s="1277"/>
      <x:c r="H120" s="1277"/>
      <x:c r="I120" s="1277"/>
      <x:c r="J120" s="1277"/>
      <x:c r="K120" s="1277"/>
      <x:c r="L120" s="1277"/>
      <x:c r="M120" s="1277"/>
      <x:c r="N120" s="1277"/>
    </x:row>
    <x:row r="121" ht="44" customHeight="1">
      <x:c r="A121" s="1327" t="str">
        <x:v>V41</x:v>
      </x:c>
      <x:c r="B121" s="1327" t="str">
        <x:v>Versionado</x:v>
      </x:c>
      <x:c r="C121" s="1327" t="str">
        <x:v>¿Qué cambios confirmados generan nueva versión?</x:v>
      </x:c>
      <x:c r="D121" s="1327" t="str">
        <x:v>Planificación/Ops</x:v>
      </x:c>
      <x:c r="E121" s="1327" t="str">
        <x:v>Crítica</x:v>
      </x:c>
      <x:c r="F121" s="1327" t="str">
        <x:v>Auditoría</x:v>
      </x:c>
      <x:c r="G121" s="1277"/>
      <x:c r="H121" s="1277"/>
      <x:c r="I121" s="1277"/>
      <x:c r="J121" s="1277"/>
      <x:c r="K121" s="1277"/>
      <x:c r="L121" s="1277"/>
      <x:c r="M121" s="1277"/>
      <x:c r="N121" s="1277"/>
    </x:row>
    <x:row r="122" ht="44" customHeight="1">
      <x:c r="A122" s="1327" t="str">
        <x:v>V42</x:v>
      </x:c>
      <x:c r="B122" s="1327" t="str">
        <x:v>Emergente</x:v>
      </x:c>
      <x:c r="C122" s="1327" t="str">
        <x:v>¿Quién puede iniciar y bajo qué motivos?</x:v>
      </x:c>
      <x:c r="D122" s="1327" t="str">
        <x:v>Supervisión/Ops</x:v>
      </x:c>
      <x:c r="E122" s="1327" t="str">
        <x:v>Crítica</x:v>
      </x:c>
      <x:c r="F122" s="1327" t="str">
        <x:v>Fallback</x:v>
      </x:c>
      <x:c r="G122" s="1277"/>
      <x:c r="H122" s="1277"/>
      <x:c r="I122" s="1277"/>
      <x:c r="J122" s="1277"/>
      <x:c r="K122" s="1277"/>
      <x:c r="L122" s="1277"/>
      <x:c r="M122" s="1277"/>
      <x:c r="N122" s="1277"/>
    </x:row>
    <x:row r="123" ht="44" customHeight="1">
      <x:c r="A123" s="1327" t="str">
        <x:v>V43</x:v>
      </x:c>
      <x:c r="B123" s="1327" t="str">
        <x:v>Ambigüedad ruteo</x:v>
      </x:c>
      <x:c r="C123" s="1327" t="str">
        <x:v>¿Qué ambigüedades pueden quedar abiertas?</x:v>
      </x:c>
      <x:c r="D123" s="1327" t="str">
        <x:v>Ops/Diseño</x:v>
      </x:c>
      <x:c r="E123" s="1327" t="str">
        <x:v>Alta</x:v>
      </x:c>
      <x:c r="F123" s="1327" t="str">
        <x:v>Gate P3</x:v>
      </x:c>
      <x:c r="G123" s="1277"/>
      <x:c r="H123" s="1277"/>
      <x:c r="I123" s="1277"/>
      <x:c r="J123" s="1277"/>
      <x:c r="K123" s="1277"/>
      <x:c r="L123" s="1277"/>
      <x:c r="M123" s="1277"/>
      <x:c r="N123" s="1277"/>
    </x:row>
    <x:row r="124" ht="44" customHeight="1">
      <x:c r="A124" s="1327" t="str">
        <x:v>V44</x:v>
      </x:c>
      <x:c r="B124" s="1327" t="str">
        <x:v>Plan→Real</x:v>
      </x:c>
      <x:c r="C124" s="1327" t="str">
        <x:v>¿Cuándo una unidad planificada produce 0 o &gt;1 ejecución?</x:v>
      </x:c>
      <x:c r="D124" s="1327" t="str">
        <x:v>Operaciones</x:v>
      </x:c>
      <x:c r="E124" s="1327" t="str">
        <x:v>Alta</x:v>
      </x:c>
      <x:c r="F124" s="1327" t="str">
        <x:v>Vínculo</x:v>
      </x:c>
      <x:c r="G124" s="1277"/>
      <x:c r="H124" s="1277"/>
      <x:c r="I124" s="1277"/>
      <x:c r="J124" s="1277"/>
      <x:c r="K124" s="1277"/>
      <x:c r="L124" s="1277"/>
      <x:c r="M124" s="1277"/>
      <x:c r="N124" s="1277"/>
    </x:row>
  </x:sheetData>
  <x:mergeCells>
    <x:mergeCell ref="A1:N1"/>
    <x:mergeCell ref="A2:N2"/>
    <x:mergeCell ref="A4:N4"/>
    <x:mergeCell ref="A6:C10"/>
    <x:mergeCell ref="E6:G10"/>
    <x:mergeCell ref="I6:K10"/>
    <x:mergeCell ref="M6:N10"/>
    <x:mergeCell ref="A12:F15"/>
    <x:mergeCell ref="I12:N15"/>
    <x:mergeCell ref="A17:N17"/>
    <x:mergeCell ref="A19:C23"/>
    <x:mergeCell ref="E19:H23"/>
    <x:mergeCell ref="J19:N23"/>
    <x:mergeCell ref="A25:N27"/>
    <x:mergeCell ref="A29:N29"/>
    <x:mergeCell ref="G30:J30"/>
    <x:mergeCell ref="K30:N30"/>
    <x:mergeCell ref="G31:J31"/>
    <x:mergeCell ref="K31:N31"/>
    <x:mergeCell ref="G32:J32"/>
    <x:mergeCell ref="K32:N32"/>
    <x:mergeCell ref="G33:J33"/>
    <x:mergeCell ref="K33:N33"/>
    <x:mergeCell ref="G34:J34"/>
    <x:mergeCell ref="K34:N34"/>
    <x:mergeCell ref="G35:J35"/>
    <x:mergeCell ref="K35:N35"/>
    <x:mergeCell ref="G36:J36"/>
    <x:mergeCell ref="K36:N36"/>
    <x:mergeCell ref="G37:J37"/>
    <x:mergeCell ref="K37:N37"/>
    <x:mergeCell ref="G38:J38"/>
    <x:mergeCell ref="K38:N38"/>
    <x:mergeCell ref="G39:J39"/>
    <x:mergeCell ref="K39:N39"/>
    <x:mergeCell ref="G40:J40"/>
    <x:mergeCell ref="K40:N40"/>
    <x:mergeCell ref="G41:J41"/>
    <x:mergeCell ref="K41:N41"/>
    <x:mergeCell ref="G42:J42"/>
    <x:mergeCell ref="K42:N42"/>
    <x:mergeCell ref="G43:J43"/>
    <x:mergeCell ref="K43:N43"/>
    <x:mergeCell ref="A46:N46"/>
    <x:mergeCell ref="A48:C52"/>
    <x:mergeCell ref="D48:F52"/>
    <x:mergeCell ref="G48:I52"/>
    <x:mergeCell ref="J48:L52"/>
    <x:mergeCell ref="M48:N52"/>
    <x:mergeCell ref="A55:N55"/>
    <x:mergeCell ref="A57:B60"/>
    <x:mergeCell ref="D57:E60"/>
    <x:mergeCell ref="G57:H60"/>
    <x:mergeCell ref="J57:K60"/>
    <x:mergeCell ref="M57:N60"/>
    <x:mergeCell ref="A62:N64"/>
    <x:mergeCell ref="A66:N66"/>
    <x:mergeCell ref="H67:N71"/>
    <x:mergeCell ref="A73:N73"/>
    <x:mergeCell ref="G74:N81"/>
    <x:mergeCell ref="A83:N83"/>
    <x:mergeCell ref="A85:C89"/>
    <x:mergeCell ref="E85:G89"/>
    <x:mergeCell ref="I85:K89"/>
    <x:mergeCell ref="M85:N89"/>
    <x:mergeCell ref="A91:N94"/>
    <x:mergeCell ref="A96:N96"/>
    <x:mergeCell ref="A98:B101"/>
    <x:mergeCell ref="D98:E101"/>
    <x:mergeCell ref="G98:H101"/>
    <x:mergeCell ref="J98:K101"/>
    <x:mergeCell ref="M98:N101"/>
    <x:mergeCell ref="D103:K105"/>
    <x:mergeCell ref="A107:N107"/>
    <x:mergeCell ref="H108:N113"/>
    <x:mergeCell ref="A115:N115"/>
  </x:mergeCells>
  <x:pageMargins left="0.7" right="0.7" top="0.75" bottom="0.75" header="0.3" footer="0.3"/>
</x:worksheet>
</file>

<file path=xl/worksheets/sheet20.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x:c r="A1" s="1397" t="str">
        <x:v>ARQUITECTURA INTEGRAL VDS · REV D.1 · INTERFACE A PLANIFICACIÓN → PARTE</x:v>
      </x:c>
      <x:c r="B1" s="1397"/>
      <x:c r="C1" s="1397"/>
      <x:c r="D1" s="1397"/>
      <x:c r="E1" s="1397"/>
      <x:c r="F1" s="1397"/>
      <x:c r="G1" s="1397"/>
      <x:c r="H1" s="1397"/>
      <x:c r="I1" s="1397"/>
      <x:c r="J1" s="1397"/>
      <x:c r="K1" s="1397"/>
      <x:c r="L1" s="1397"/>
      <x:c r="M1" s="1397"/>
      <x:c r="N1" s="1397"/>
      <x:c r="O1" s="1397"/>
      <x:c r="P1" s="1397"/>
    </x:row>
    <x:row r="2">
      <x:c r="A2" s="1276" t="str">
        <x:v>REV D.1 incorpora el plano contractual v0 y cierra la frontera Planificación→Ejecución. Certificación/Facturación permanece como dominio conectado pero todavía resumido hasta construir Interface B.</x:v>
      </x:c>
      <x:c r="B2" s="1276"/>
      <x:c r="C2" s="1276"/>
      <x:c r="D2" s="1276"/>
      <x:c r="E2" s="1276"/>
      <x:c r="F2" s="1276"/>
      <x:c r="G2" s="1276"/>
      <x:c r="H2" s="1276"/>
      <x:c r="I2" s="1276"/>
      <x:c r="J2" s="1276"/>
      <x:c r="K2" s="1276"/>
      <x:c r="L2" s="1276"/>
      <x:c r="M2" s="1276"/>
      <x:c r="N2" s="1276"/>
      <x:c r="O2" s="1276"/>
      <x:c r="P2" s="1276"/>
    </x:row>
    <x:row r="3">
      <x:c r="A3" s="1277"/>
      <x:c r="B3" s="1277"/>
      <x:c r="C3" s="1277"/>
      <x:c r="D3" s="1277"/>
      <x:c r="E3" s="1277"/>
      <x:c r="F3" s="1277"/>
      <x:c r="G3" s="1277"/>
      <x:c r="H3" s="1277"/>
      <x:c r="I3" s="1277"/>
      <x:c r="J3" s="1277"/>
      <x:c r="K3" s="1277"/>
      <x:c r="L3" s="1277"/>
      <x:c r="M3" s="1277"/>
      <x:c r="N3" s="1277"/>
      <x:c r="O3" s="1277"/>
      <x:c r="P3" s="1277"/>
    </x:row>
    <x:row r="4">
      <x:c r="A4" s="1330" t="str">
        <x:v>00 — PLANO CONTRACTUAL / CONFIGURACIÓN DEL SISTEMA</x:v>
      </x:c>
      <x:c r="B4" s="1330"/>
      <x:c r="C4" s="1330"/>
      <x:c r="D4" s="1330"/>
      <x:c r="E4" s="1330"/>
      <x:c r="F4" s="1330"/>
      <x:c r="G4" s="1330"/>
      <x:c r="H4" s="1330"/>
      <x:c r="I4" s="1330"/>
      <x:c r="J4" s="1330"/>
      <x:c r="K4" s="1330"/>
      <x:c r="L4" s="1330"/>
      <x:c r="M4" s="1330"/>
      <x:c r="N4" s="1330"/>
      <x:c r="O4" s="1330"/>
      <x:c r="P4" s="1330"/>
    </x:row>
    <x:row r="5">
      <x:c r="A5" s="1277"/>
      <x:c r="B5" s="1277"/>
      <x:c r="C5" s="1277"/>
      <x:c r="D5" s="1277"/>
      <x:c r="E5" s="1277"/>
      <x:c r="F5" s="1277"/>
      <x:c r="G5" s="1277"/>
      <x:c r="H5" s="1277"/>
      <x:c r="I5" s="1277"/>
      <x:c r="J5" s="1277"/>
      <x:c r="K5" s="1277"/>
      <x:c r="L5" s="1277"/>
      <x:c r="M5" s="1277"/>
      <x:c r="N5" s="1277"/>
      <x:c r="O5" s="1277"/>
      <x:c r="P5" s="1277"/>
    </x:row>
    <x:row r="6">
      <x:c r="A6" s="1279" t="str">
        <x:v>CLIENTE
CONTRATO
VERSION</x:v>
      </x:c>
      <x:c r="B6" s="1280"/>
      <x:c r="C6" s="1281"/>
      <x:c r="D6" s="1277"/>
      <x:c r="E6" s="1316" t="str">
        <x:v>CONTRATO
SERVICIO</x:v>
      </x:c>
      <x:c r="F6" s="1317"/>
      <x:c r="G6" s="1318"/>
      <x:c r="H6" s="1277"/>
      <x:c r="I6" s="1282" t="str">
        <x:v>CENTRO COSTO
ITEM · UM
REGLA MEDICIÓN</x:v>
      </x:c>
      <x:c r="J6" s="1283"/>
      <x:c r="K6" s="1284"/>
      <x:c r="L6" s="1277"/>
      <x:c r="M6" s="1282" t="str">
        <x:v>REGLAS
planificación · ruteo
firma · agrupación · cadencias</x:v>
      </x:c>
      <x:c r="N6" s="1283"/>
      <x:c r="O6" s="1283"/>
      <x:c r="P6" s="1284"/>
    </x:row>
    <x:row r="7">
      <x:c r="A7" s="1288"/>
      <x:c r="B7" s="1289"/>
      <x:c r="C7" s="1290"/>
      <x:c r="D7" s="1297" t="str">
        <x:v>→</x:v>
      </x:c>
      <x:c r="E7" s="1319"/>
      <x:c r="F7" s="1320"/>
      <x:c r="G7" s="1321"/>
      <x:c r="H7" s="1297" t="str">
        <x:v>→</x:v>
      </x:c>
      <x:c r="I7" s="1291"/>
      <x:c r="J7" s="1292"/>
      <x:c r="K7" s="1293"/>
      <x:c r="L7" s="1297" t="str">
        <x:v>→</x:v>
      </x:c>
      <x:c r="M7" s="1291"/>
      <x:c r="N7" s="1292"/>
      <x:c r="O7" s="1292"/>
      <x:c r="P7" s="1293"/>
    </x:row>
    <x:row r="8">
      <x:c r="A8" s="1288"/>
      <x:c r="B8" s="1289"/>
      <x:c r="C8" s="1290"/>
      <x:c r="D8" s="1277"/>
      <x:c r="E8" s="1319"/>
      <x:c r="F8" s="1320"/>
      <x:c r="G8" s="1321"/>
      <x:c r="H8" s="1277"/>
      <x:c r="I8" s="1291"/>
      <x:c r="J8" s="1292"/>
      <x:c r="K8" s="1293"/>
      <x:c r="L8" s="1277"/>
      <x:c r="M8" s="1291"/>
      <x:c r="N8" s="1292"/>
      <x:c r="O8" s="1292"/>
      <x:c r="P8" s="1293"/>
    </x:row>
    <x:row r="9">
      <x:c r="A9" s="1298"/>
      <x:c r="B9" s="1299"/>
      <x:c r="C9" s="1300"/>
      <x:c r="D9" s="1277"/>
      <x:c r="E9" s="1322"/>
      <x:c r="F9" s="1323"/>
      <x:c r="G9" s="1324"/>
      <x:c r="H9" s="1277"/>
      <x:c r="I9" s="1301"/>
      <x:c r="J9" s="1302"/>
      <x:c r="K9" s="1303"/>
      <x:c r="L9" s="1277"/>
      <x:c r="M9" s="1301"/>
      <x:c r="N9" s="1302"/>
      <x:c r="O9" s="1302"/>
      <x:c r="P9" s="1303"/>
    </x:row>
    <x:row r="10">
      <x:c r="A10" s="1277"/>
      <x:c r="B10" s="1277"/>
      <x:c r="C10" s="1277"/>
      <x:c r="D10" s="1277"/>
      <x:c r="E10" s="1277"/>
      <x:c r="F10" s="1277"/>
      <x:c r="G10" s="1277"/>
      <x:c r="H10" s="1277"/>
      <x:c r="I10" s="1277"/>
      <x:c r="J10" s="1277"/>
      <x:c r="K10" s="1277"/>
      <x:c r="L10" s="1277"/>
      <x:c r="M10" s="1277"/>
      <x:c r="N10" s="1277"/>
      <x:c r="O10" s="1277"/>
      <x:c r="P10" s="1277"/>
    </x:row>
    <x:row r="11">
      <x:c r="A11" s="1277"/>
      <x:c r="B11" s="1277"/>
      <x:c r="C11" s="1277"/>
      <x:c r="D11" s="1277"/>
      <x:c r="E11" s="1277"/>
      <x:c r="F11" s="1277"/>
      <x:c r="G11" s="1277"/>
      <x:c r="H11" s="1277"/>
      <x:c r="I11" s="1277"/>
      <x:c r="J11" s="1277"/>
      <x:c r="K11" s="1277"/>
      <x:c r="L11" s="1277"/>
      <x:c r="M11" s="1277"/>
      <x:c r="N11" s="1277"/>
      <x:c r="O11" s="1277"/>
      <x:c r="P11" s="1277"/>
    </x:row>
    <x:row r="12">
      <x:c r="A12" s="1398" t="str">
        <x:v>01 — PLANIFICACIÓN · LO PREVISTO</x:v>
      </x:c>
      <x:c r="B12" s="1398"/>
      <x:c r="C12" s="1398"/>
      <x:c r="D12" s="1398"/>
      <x:c r="E12" s="1398"/>
      <x:c r="F12" s="1330" t="str">
        <x:v>02 — EJECUCIÓN / PARTES · LO REAL</x:v>
      </x:c>
      <x:c r="G12" s="1330"/>
      <x:c r="H12" s="1330"/>
      <x:c r="I12" s="1330"/>
      <x:c r="J12" s="1330"/>
      <x:c r="K12" s="1330"/>
      <x:c r="L12" s="1398" t="str">
        <x:v>03 — CERTIFICACIÓN / FACTURACIÓN · LO RECONOCIBLE</x:v>
      </x:c>
      <x:c r="M12" s="1398"/>
      <x:c r="N12" s="1398"/>
      <x:c r="O12" s="1398"/>
      <x:c r="P12" s="1398"/>
    </x:row>
    <x:row r="13">
      <x:c r="A13" s="1277"/>
      <x:c r="B13" s="1277"/>
      <x:c r="C13" s="1277"/>
      <x:c r="D13" s="1277"/>
      <x:c r="E13" s="1277"/>
      <x:c r="F13" s="1277"/>
      <x:c r="G13" s="1277"/>
      <x:c r="H13" s="1277"/>
      <x:c r="I13" s="1277"/>
      <x:c r="J13" s="1277"/>
      <x:c r="K13" s="1277"/>
      <x:c r="L13" s="1277"/>
      <x:c r="M13" s="1277"/>
      <x:c r="N13" s="1277"/>
      <x:c r="O13" s="1277"/>
      <x:c r="P13" s="1277"/>
    </x:row>
    <x:row r="14">
      <x:c r="A14" s="1282" t="str">
        <x:v>DEMANDA / NECESIDAD
operativa</x:v>
      </x:c>
      <x:c r="B14" s="1283"/>
      <x:c r="C14" s="1283"/>
      <x:c r="D14" s="1283"/>
      <x:c r="E14" s="1284"/>
      <x:c r="F14" s="1316" t="str">
        <x:v>ƒ MOTOR DE RUTEO REAL
perfil autenticado + snapshot
+ contexto real</x:v>
      </x:c>
      <x:c r="G14" s="1317"/>
      <x:c r="H14" s="1317"/>
      <x:c r="I14" s="1317"/>
      <x:c r="J14" s="1317"/>
      <x:c r="K14" s="1318"/>
      <x:c r="L14" s="1282" t="str">
        <x:v>RECIBIR VERDAD
OPERACIONAL
Parte / Unidad / Evidencia</x:v>
      </x:c>
      <x:c r="M14" s="1283"/>
      <x:c r="N14" s="1283"/>
      <x:c r="O14" s="1283"/>
      <x:c r="P14" s="1284"/>
    </x:row>
    <x:row r="15">
      <x:c r="A15" s="1291"/>
      <x:c r="B15" s="1292"/>
      <x:c r="C15" s="1292"/>
      <x:c r="D15" s="1292"/>
      <x:c r="E15" s="1293"/>
      <x:c r="F15" s="1319"/>
      <x:c r="G15" s="1320"/>
      <x:c r="H15" s="1320"/>
      <x:c r="I15" s="1320"/>
      <x:c r="J15" s="1320"/>
      <x:c r="K15" s="1321"/>
      <x:c r="L15" s="1291"/>
      <x:c r="M15" s="1292"/>
      <x:c r="N15" s="1292"/>
      <x:c r="O15" s="1292"/>
      <x:c r="P15" s="1293"/>
    </x:row>
    <x:row r="16">
      <x:c r="A16" s="1291"/>
      <x:c r="B16" s="1292"/>
      <x:c r="C16" s="1292"/>
      <x:c r="D16" s="1292"/>
      <x:c r="E16" s="1293"/>
      <x:c r="F16" s="1319"/>
      <x:c r="G16" s="1320"/>
      <x:c r="H16" s="1320"/>
      <x:c r="I16" s="1320"/>
      <x:c r="J16" s="1320"/>
      <x:c r="K16" s="1321"/>
      <x:c r="L16" s="1291"/>
      <x:c r="M16" s="1292"/>
      <x:c r="N16" s="1292"/>
      <x:c r="O16" s="1292"/>
      <x:c r="P16" s="1293"/>
    </x:row>
    <x:row r="17">
      <x:c r="A17" s="1301"/>
      <x:c r="B17" s="1302"/>
      <x:c r="C17" s="1302"/>
      <x:c r="D17" s="1302"/>
      <x:c r="E17" s="1303"/>
      <x:c r="F17" s="1319"/>
      <x:c r="G17" s="1320"/>
      <x:c r="H17" s="1320"/>
      <x:c r="I17" s="1320"/>
      <x:c r="J17" s="1320"/>
      <x:c r="K17" s="1321"/>
      <x:c r="L17" s="1291"/>
      <x:c r="M17" s="1292"/>
      <x:c r="N17" s="1292"/>
      <x:c r="O17" s="1292"/>
      <x:c r="P17" s="1293"/>
    </x:row>
    <x:row r="18">
      <x:c r="A18" s="1277"/>
      <x:c r="B18" s="1277"/>
      <x:c r="C18" s="1385" t="str">
        <x:v>↓</x:v>
      </x:c>
      <x:c r="D18" s="1277"/>
      <x:c r="E18" s="1277"/>
      <x:c r="F18" s="1322"/>
      <x:c r="G18" s="1323"/>
      <x:c r="H18" s="1323"/>
      <x:c r="I18" s="1323"/>
      <x:c r="J18" s="1323"/>
      <x:c r="K18" s="1324"/>
      <x:c r="L18" s="1301"/>
      <x:c r="M18" s="1302"/>
      <x:c r="N18" s="1302"/>
      <x:c r="O18" s="1302"/>
      <x:c r="P18" s="1303"/>
    </x:row>
    <x:row r="19">
      <x:c r="A19" s="1282" t="str">
        <x:v>PLANIFICACIÓN
↓
ASIGNACIÓN PLANIFICADA
↓
UNIDAD(ES) PLANIFICADAS</x:v>
      </x:c>
      <x:c r="B19" s="1283"/>
      <x:c r="C19" s="1283"/>
      <x:c r="D19" s="1283"/>
      <x:c r="E19" s="1284"/>
      <x:c r="F19" s="1277"/>
      <x:c r="G19" s="1277"/>
      <x:c r="H19" s="1385" t="str">
        <x:v>↓</x:v>
      </x:c>
      <x:c r="I19" s="1277"/>
      <x:c r="J19" s="1277"/>
      <x:c r="K19" s="1277"/>
      <x:c r="L19" s="1277"/>
      <x:c r="M19" s="1277"/>
      <x:c r="N19" s="1385" t="str">
        <x:v>↓</x:v>
      </x:c>
      <x:c r="O19" s="1277"/>
      <x:c r="P19" s="1277"/>
    </x:row>
    <x:row r="20">
      <x:c r="A20" s="1291"/>
      <x:c r="B20" s="1292"/>
      <x:c r="C20" s="1292"/>
      <x:c r="D20" s="1292"/>
      <x:c r="E20" s="1293"/>
      <x:c r="F20" s="1316" t="str">
        <x:v>E1 · REVALIDAR TIPO PARTE
NO selector manual</x:v>
      </x:c>
      <x:c r="G20" s="1317"/>
      <x:c r="H20" s="1317"/>
      <x:c r="I20" s="1317"/>
      <x:c r="J20" s="1317"/>
      <x:c r="K20" s="1318"/>
      <x:c r="L20" s="1279" t="str">
        <x:v>I-B · PENDIENTE DETALLE
Parte → Certificación</x:v>
      </x:c>
      <x:c r="M20" s="1280"/>
      <x:c r="N20" s="1280"/>
      <x:c r="O20" s="1280"/>
      <x:c r="P20" s="1281"/>
    </x:row>
    <x:row r="21">
      <x:c r="A21" s="1291"/>
      <x:c r="B21" s="1292"/>
      <x:c r="C21" s="1292"/>
      <x:c r="D21" s="1292"/>
      <x:c r="E21" s="1293"/>
      <x:c r="F21" s="1319"/>
      <x:c r="G21" s="1320"/>
      <x:c r="H21" s="1320"/>
      <x:c r="I21" s="1320"/>
      <x:c r="J21" s="1320"/>
      <x:c r="K21" s="1321"/>
      <x:c r="L21" s="1288"/>
      <x:c r="M21" s="1289"/>
      <x:c r="N21" s="1289"/>
      <x:c r="O21" s="1289"/>
      <x:c r="P21" s="1290"/>
    </x:row>
    <x:row r="22">
      <x:c r="A22" s="1291"/>
      <x:c r="B22" s="1292"/>
      <x:c r="C22" s="1292"/>
      <x:c r="D22" s="1292"/>
      <x:c r="E22" s="1293"/>
      <x:c r="F22" s="1319"/>
      <x:c r="G22" s="1320"/>
      <x:c r="H22" s="1320"/>
      <x:c r="I22" s="1320"/>
      <x:c r="J22" s="1320"/>
      <x:c r="K22" s="1321"/>
      <x:c r="L22" s="1288"/>
      <x:c r="M22" s="1289"/>
      <x:c r="N22" s="1289"/>
      <x:c r="O22" s="1289"/>
      <x:c r="P22" s="1290"/>
    </x:row>
    <x:row r="23">
      <x:c r="A23" s="1301"/>
      <x:c r="B23" s="1302"/>
      <x:c r="C23" s="1302"/>
      <x:c r="D23" s="1302"/>
      <x:c r="E23" s="1303"/>
      <x:c r="F23" s="1322"/>
      <x:c r="G23" s="1323"/>
      <x:c r="H23" s="1323"/>
      <x:c r="I23" s="1323"/>
      <x:c r="J23" s="1323"/>
      <x:c r="K23" s="1324"/>
      <x:c r="L23" s="1288"/>
      <x:c r="M23" s="1289"/>
      <x:c r="N23" s="1289"/>
      <x:c r="O23" s="1289"/>
      <x:c r="P23" s="1290"/>
    </x:row>
    <x:row r="24">
      <x:c r="A24" s="1277"/>
      <x:c r="B24" s="1277"/>
      <x:c r="C24" s="1385" t="str">
        <x:v>↓</x:v>
      </x:c>
      <x:c r="D24" s="1277"/>
      <x:c r="E24" s="1277"/>
      <x:c r="F24" s="1277"/>
      <x:c r="G24" s="1277"/>
      <x:c r="H24" s="1385" t="str">
        <x:v>↓</x:v>
      </x:c>
      <x:c r="I24" s="1277"/>
      <x:c r="J24" s="1277"/>
      <x:c r="K24" s="1277"/>
      <x:c r="L24" s="1298"/>
      <x:c r="M24" s="1299"/>
      <x:c r="N24" s="1299"/>
      <x:c r="O24" s="1299"/>
      <x:c r="P24" s="1300"/>
    </x:row>
    <x:row r="25">
      <x:c r="A25" s="1316" t="str">
        <x:v>GATE P0
CONTEXTUAL / CONTRACTUAL
ContratoServicio · CC · reglas</x:v>
      </x:c>
      <x:c r="B25" s="1317"/>
      <x:c r="C25" s="1317"/>
      <x:c r="D25" s="1317"/>
      <x:c r="E25" s="1318"/>
      <x:c r="F25" s="1316" t="str">
        <x:v>E2 · CONTROL DOCUMENTAL REAL
persona + recursos + contexto</x:v>
      </x:c>
      <x:c r="G25" s="1317"/>
      <x:c r="H25" s="1317"/>
      <x:c r="I25" s="1317"/>
      <x:c r="J25" s="1317"/>
      <x:c r="K25" s="1318"/>
      <x:c r="L25" s="1277"/>
      <x:c r="M25" s="1277"/>
      <x:c r="N25" s="1385" t="str">
        <x:v>↓</x:v>
      </x:c>
      <x:c r="O25" s="1277"/>
      <x:c r="P25" s="1277"/>
    </x:row>
    <x:row r="26">
      <x:c r="A26" s="1319"/>
      <x:c r="B26" s="1320"/>
      <x:c r="C26" s="1320"/>
      <x:c r="D26" s="1320"/>
      <x:c r="E26" s="1321"/>
      <x:c r="F26" s="1319"/>
      <x:c r="G26" s="1320"/>
      <x:c r="H26" s="1320"/>
      <x:c r="I26" s="1320"/>
      <x:c r="J26" s="1320"/>
      <x:c r="K26" s="1321"/>
      <x:c r="L26" s="1316" t="str">
        <x:v>ƒ AGRUPACIÓN CONTRACTUAL
pozo · período · ítem · CC · ?</x:v>
      </x:c>
      <x:c r="M26" s="1317"/>
      <x:c r="N26" s="1317"/>
      <x:c r="O26" s="1317"/>
      <x:c r="P26" s="1318"/>
    </x:row>
    <x:row r="27">
      <x:c r="A27" s="1319"/>
      <x:c r="B27" s="1320"/>
      <x:c r="C27" s="1320"/>
      <x:c r="D27" s="1320"/>
      <x:c r="E27" s="1321"/>
      <x:c r="F27" s="1319"/>
      <x:c r="G27" s="1320"/>
      <x:c r="H27" s="1320"/>
      <x:c r="I27" s="1320"/>
      <x:c r="J27" s="1320"/>
      <x:c r="K27" s="1321"/>
      <x:c r="L27" s="1319"/>
      <x:c r="M27" s="1320"/>
      <x:c r="N27" s="1320"/>
      <x:c r="O27" s="1320"/>
      <x:c r="P27" s="1321"/>
    </x:row>
    <x:row r="28">
      <x:c r="A28" s="1322"/>
      <x:c r="B28" s="1323"/>
      <x:c r="C28" s="1323"/>
      <x:c r="D28" s="1323"/>
      <x:c r="E28" s="1324"/>
      <x:c r="F28" s="1322"/>
      <x:c r="G28" s="1323"/>
      <x:c r="H28" s="1323"/>
      <x:c r="I28" s="1323"/>
      <x:c r="J28" s="1323"/>
      <x:c r="K28" s="1324"/>
      <x:c r="L28" s="1319"/>
      <x:c r="M28" s="1320"/>
      <x:c r="N28" s="1320"/>
      <x:c r="O28" s="1320"/>
      <x:c r="P28" s="1321"/>
    </x:row>
    <x:row r="29">
      <x:c r="A29" s="1277"/>
      <x:c r="B29" s="1277"/>
      <x:c r="C29" s="1385" t="str">
        <x:v>↓</x:v>
      </x:c>
      <x:c r="D29" s="1277"/>
      <x:c r="E29" s="1277"/>
      <x:c r="F29" s="1277"/>
      <x:c r="G29" s="1277"/>
      <x:c r="H29" s="1385" t="str">
        <x:v>↓</x:v>
      </x:c>
      <x:c r="I29" s="1277"/>
      <x:c r="J29" s="1277"/>
      <x:c r="K29" s="1277"/>
      <x:c r="L29" s="1319"/>
      <x:c r="M29" s="1320"/>
      <x:c r="N29" s="1320"/>
      <x:c r="O29" s="1320"/>
      <x:c r="P29" s="1321"/>
    </x:row>
    <x:row r="30">
      <x:c r="A30" s="1316" t="str">
        <x:v>GATE P1
CONTEXTO MÍNIMO
qué · dónde · cuándo · cliente</x:v>
      </x:c>
      <x:c r="B30" s="1317"/>
      <x:c r="C30" s="1317"/>
      <x:c r="D30" s="1317"/>
      <x:c r="E30" s="1318"/>
      <x:c r="F30" s="1316" t="str">
        <x:v>E3 · PERMISO TRABAJO
cuando la tarea lo exige</x:v>
      </x:c>
      <x:c r="G30" s="1317"/>
      <x:c r="H30" s="1317"/>
      <x:c r="I30" s="1317"/>
      <x:c r="J30" s="1317"/>
      <x:c r="K30" s="1318"/>
      <x:c r="L30" s="1322"/>
      <x:c r="M30" s="1323"/>
      <x:c r="N30" s="1323"/>
      <x:c r="O30" s="1323"/>
      <x:c r="P30" s="1324"/>
    </x:row>
    <x:row r="31">
      <x:c r="A31" s="1319"/>
      <x:c r="B31" s="1320"/>
      <x:c r="C31" s="1320"/>
      <x:c r="D31" s="1320"/>
      <x:c r="E31" s="1321"/>
      <x:c r="F31" s="1319"/>
      <x:c r="G31" s="1320"/>
      <x:c r="H31" s="1320"/>
      <x:c r="I31" s="1320"/>
      <x:c r="J31" s="1320"/>
      <x:c r="K31" s="1321"/>
      <x:c r="L31" s="1277"/>
      <x:c r="M31" s="1277"/>
      <x:c r="N31" s="1385" t="str">
        <x:v>↓</x:v>
      </x:c>
      <x:c r="O31" s="1277"/>
      <x:c r="P31" s="1277"/>
    </x:row>
    <x:row r="32">
      <x:c r="A32" s="1319"/>
      <x:c r="B32" s="1320"/>
      <x:c r="C32" s="1320"/>
      <x:c r="D32" s="1320"/>
      <x:c r="E32" s="1321"/>
      <x:c r="F32" s="1319"/>
      <x:c r="G32" s="1320"/>
      <x:c r="H32" s="1320"/>
      <x:c r="I32" s="1320"/>
      <x:c r="J32" s="1320"/>
      <x:c r="K32" s="1321"/>
      <x:c r="L32" s="1279" t="str">
        <x:v>PAQUETE CERTIFICACIÓN
[N:M por definir]</x:v>
      </x:c>
      <x:c r="M32" s="1280"/>
      <x:c r="N32" s="1280"/>
      <x:c r="O32" s="1280"/>
      <x:c r="P32" s="1281"/>
    </x:row>
    <x:row r="33">
      <x:c r="A33" s="1322"/>
      <x:c r="B33" s="1323"/>
      <x:c r="C33" s="1323"/>
      <x:c r="D33" s="1323"/>
      <x:c r="E33" s="1324"/>
      <x:c r="F33" s="1322"/>
      <x:c r="G33" s="1323"/>
      <x:c r="H33" s="1323"/>
      <x:c r="I33" s="1323"/>
      <x:c r="J33" s="1323"/>
      <x:c r="K33" s="1324"/>
      <x:c r="L33" s="1288"/>
      <x:c r="M33" s="1289"/>
      <x:c r="N33" s="1289"/>
      <x:c r="O33" s="1289"/>
      <x:c r="P33" s="1290"/>
    </x:row>
    <x:row r="34">
      <x:c r="A34" s="1277"/>
      <x:c r="B34" s="1277"/>
      <x:c r="C34" s="1385" t="str">
        <x:v>↓</x:v>
      </x:c>
      <x:c r="D34" s="1277"/>
      <x:c r="E34" s="1277"/>
      <x:c r="F34" s="1277"/>
      <x:c r="G34" s="1277"/>
      <x:c r="H34" s="1385" t="str">
        <x:v>↓</x:v>
      </x:c>
      <x:c r="I34" s="1277"/>
      <x:c r="J34" s="1277"/>
      <x:c r="K34" s="1277"/>
      <x:c r="L34" s="1288"/>
      <x:c r="M34" s="1289"/>
      <x:c r="N34" s="1289"/>
      <x:c r="O34" s="1289"/>
      <x:c r="P34" s="1290"/>
    </x:row>
    <x:row r="35">
      <x:c r="A35" s="1316" t="str">
        <x:v>GATE P2
PRE-CHECK DOCUMENTAL
personas · recursos · fecha prevista</x:v>
      </x:c>
      <x:c r="B35" s="1317"/>
      <x:c r="C35" s="1317"/>
      <x:c r="D35" s="1317"/>
      <x:c r="E35" s="1318"/>
      <x:c r="F35" s="1282" t="str">
        <x:v>PARTE + UNIDAD EJECUCIÓN [N]
tiempo real · ubicación real · recursos reales
medición · imputación · evidencia</x:v>
      </x:c>
      <x:c r="G35" s="1283"/>
      <x:c r="H35" s="1283"/>
      <x:c r="I35" s="1283"/>
      <x:c r="J35" s="1283"/>
      <x:c r="K35" s="1284"/>
      <x:c r="L35" s="1298"/>
      <x:c r="M35" s="1299"/>
      <x:c r="N35" s="1299"/>
      <x:c r="O35" s="1299"/>
      <x:c r="P35" s="1300"/>
    </x:row>
    <x:row r="36">
      <x:c r="A36" s="1319"/>
      <x:c r="B36" s="1320"/>
      <x:c r="C36" s="1320"/>
      <x:c r="D36" s="1320"/>
      <x:c r="E36" s="1321"/>
      <x:c r="F36" s="1291"/>
      <x:c r="G36" s="1292"/>
      <x:c r="H36" s="1292"/>
      <x:c r="I36" s="1292"/>
      <x:c r="J36" s="1292"/>
      <x:c r="K36" s="1293"/>
      <x:c r="L36" s="1277"/>
      <x:c r="M36" s="1277"/>
      <x:c r="N36" s="1385" t="str">
        <x:v>↓</x:v>
      </x:c>
      <x:c r="O36" s="1277"/>
      <x:c r="P36" s="1277"/>
    </x:row>
    <x:row r="37">
      <x:c r="A37" s="1319"/>
      <x:c r="B37" s="1320"/>
      <x:c r="C37" s="1320"/>
      <x:c r="D37" s="1320"/>
      <x:c r="E37" s="1321"/>
      <x:c r="F37" s="1291"/>
      <x:c r="G37" s="1292"/>
      <x:c r="H37" s="1292"/>
      <x:c r="I37" s="1292"/>
      <x:c r="J37" s="1292"/>
      <x:c r="K37" s="1293"/>
      <x:c r="L37" s="1282" t="str">
        <x:v>CERTIFICACIÓN
aprobada / observada</x:v>
      </x:c>
      <x:c r="M37" s="1283"/>
      <x:c r="N37" s="1283"/>
      <x:c r="O37" s="1283"/>
      <x:c r="P37" s="1284"/>
    </x:row>
    <x:row r="38">
      <x:c r="A38" s="1322"/>
      <x:c r="B38" s="1323"/>
      <x:c r="C38" s="1323"/>
      <x:c r="D38" s="1323"/>
      <x:c r="E38" s="1324"/>
      <x:c r="F38" s="1291"/>
      <x:c r="G38" s="1292"/>
      <x:c r="H38" s="1292"/>
      <x:c r="I38" s="1292"/>
      <x:c r="J38" s="1292"/>
      <x:c r="K38" s="1293"/>
      <x:c r="L38" s="1291"/>
      <x:c r="M38" s="1292"/>
      <x:c r="N38" s="1292"/>
      <x:c r="O38" s="1292"/>
      <x:c r="P38" s="1293"/>
    </x:row>
    <x:row r="39">
      <x:c r="A39" s="1277"/>
      <x:c r="B39" s="1277"/>
      <x:c r="C39" s="1385" t="str">
        <x:v>↓</x:v>
      </x:c>
      <x:c r="D39" s="1277"/>
      <x:c r="E39" s="1277"/>
      <x:c r="F39" s="1301"/>
      <x:c r="G39" s="1302"/>
      <x:c r="H39" s="1302"/>
      <x:c r="I39" s="1302"/>
      <x:c r="J39" s="1302"/>
      <x:c r="K39" s="1303"/>
      <x:c r="L39" s="1291"/>
      <x:c r="M39" s="1292"/>
      <x:c r="N39" s="1292"/>
      <x:c r="O39" s="1292"/>
      <x:c r="P39" s="1293"/>
    </x:row>
    <x:row r="40">
      <x:c r="A40" s="1316" t="str">
        <x:v>GATE P3
PRE-RUTEO
ƒ TipoParte previsto</x:v>
      </x:c>
      <x:c r="B40" s="1317"/>
      <x:c r="C40" s="1317"/>
      <x:c r="D40" s="1317"/>
      <x:c r="E40" s="1318"/>
      <x:c r="F40" s="1277"/>
      <x:c r="G40" s="1277"/>
      <x:c r="H40" s="1385" t="str">
        <x:v>↓</x:v>
      </x:c>
      <x:c r="I40" s="1277"/>
      <x:c r="J40" s="1277"/>
      <x:c r="K40" s="1277"/>
      <x:c r="L40" s="1301"/>
      <x:c r="M40" s="1302"/>
      <x:c r="N40" s="1302"/>
      <x:c r="O40" s="1302"/>
      <x:c r="P40" s="1303"/>
    </x:row>
    <x:row r="41">
      <x:c r="A41" s="1319"/>
      <x:c r="B41" s="1320"/>
      <x:c r="C41" s="1320"/>
      <x:c r="D41" s="1320"/>
      <x:c r="E41" s="1321"/>
      <x:c r="F41" s="1316" t="str">
        <x:v>E4 · REGLAS DE CORTE
TipoParte decide nuevo movimiento
nueva unidad o nuevo Parte</x:v>
      </x:c>
      <x:c r="G41" s="1317"/>
      <x:c r="H41" s="1317"/>
      <x:c r="I41" s="1317"/>
      <x:c r="J41" s="1317"/>
      <x:c r="K41" s="1318"/>
      <x:c r="L41" s="1277"/>
      <x:c r="M41" s="1277"/>
      <x:c r="N41" s="1385" t="str">
        <x:v>↓</x:v>
      </x:c>
      <x:c r="O41" s="1277"/>
      <x:c r="P41" s="1277"/>
    </x:row>
    <x:row r="42">
      <x:c r="A42" s="1319"/>
      <x:c r="B42" s="1320"/>
      <x:c r="C42" s="1320"/>
      <x:c r="D42" s="1320"/>
      <x:c r="E42" s="1321"/>
      <x:c r="F42" s="1319"/>
      <x:c r="G42" s="1320"/>
      <x:c r="H42" s="1320"/>
      <x:c r="I42" s="1320"/>
      <x:c r="J42" s="1320"/>
      <x:c r="K42" s="1321"/>
      <x:c r="L42" s="1282" t="str">
        <x:v>HABILITA FACTURACIÓN</x:v>
      </x:c>
      <x:c r="M42" s="1283"/>
      <x:c r="N42" s="1283"/>
      <x:c r="O42" s="1283"/>
      <x:c r="P42" s="1284"/>
    </x:row>
    <x:row r="43">
      <x:c r="A43" s="1322"/>
      <x:c r="B43" s="1323"/>
      <x:c r="C43" s="1323"/>
      <x:c r="D43" s="1323"/>
      <x:c r="E43" s="1324"/>
      <x:c r="F43" s="1319"/>
      <x:c r="G43" s="1320"/>
      <x:c r="H43" s="1320"/>
      <x:c r="I43" s="1320"/>
      <x:c r="J43" s="1320"/>
      <x:c r="K43" s="1321"/>
      <x:c r="L43" s="1291"/>
      <x:c r="M43" s="1292"/>
      <x:c r="N43" s="1292"/>
      <x:c r="O43" s="1292"/>
      <x:c r="P43" s="1293"/>
    </x:row>
    <x:row r="44">
      <x:c r="A44" s="1277"/>
      <x:c r="B44" s="1277"/>
      <x:c r="C44" s="1385" t="str">
        <x:v>↓</x:v>
      </x:c>
      <x:c r="D44" s="1277"/>
      <x:c r="E44" s="1277"/>
      <x:c r="F44" s="1322"/>
      <x:c r="G44" s="1323"/>
      <x:c r="H44" s="1323"/>
      <x:c r="I44" s="1323"/>
      <x:c r="J44" s="1323"/>
      <x:c r="K44" s="1324"/>
      <x:c r="L44" s="1291"/>
      <x:c r="M44" s="1292"/>
      <x:c r="N44" s="1292"/>
      <x:c r="O44" s="1292"/>
      <x:c r="P44" s="1293"/>
    </x:row>
    <x:row r="45">
      <x:c r="A45" s="1316" t="str">
        <x:v>GATE P4
CONFIRMAR / VERSIONAR
SnapshotPlanConfirmado</x:v>
      </x:c>
      <x:c r="B45" s="1317"/>
      <x:c r="C45" s="1317"/>
      <x:c r="D45" s="1317"/>
      <x:c r="E45" s="1318"/>
      <x:c r="F45" s="1277"/>
      <x:c r="G45" s="1277"/>
      <x:c r="H45" s="1385" t="str">
        <x:v>↓</x:v>
      </x:c>
      <x:c r="I45" s="1277"/>
      <x:c r="J45" s="1277"/>
      <x:c r="K45" s="1277"/>
      <x:c r="L45" s="1301"/>
      <x:c r="M45" s="1302"/>
      <x:c r="N45" s="1302"/>
      <x:c r="O45" s="1302"/>
      <x:c r="P45" s="1303"/>
    </x:row>
    <x:row r="46">
      <x:c r="A46" s="1319"/>
      <x:c r="B46" s="1320"/>
      <x:c r="C46" s="1320"/>
      <x:c r="D46" s="1320"/>
      <x:c r="E46" s="1321"/>
      <x:c r="F46" s="1316" t="str">
        <x:v>E5 · CIERRE OPERATIVO
trabajo resuelto
≠ conformidad/certificación</x:v>
      </x:c>
      <x:c r="G46" s="1317"/>
      <x:c r="H46" s="1317"/>
      <x:c r="I46" s="1317"/>
      <x:c r="J46" s="1317"/>
      <x:c r="K46" s="1318"/>
      <x:c r="L46" s="1277"/>
      <x:c r="M46" s="1277"/>
      <x:c r="N46" s="1277"/>
      <x:c r="O46" s="1277"/>
      <x:c r="P46" s="1277"/>
    </x:row>
    <x:row r="47">
      <x:c r="A47" s="1319"/>
      <x:c r="B47" s="1320"/>
      <x:c r="C47" s="1320"/>
      <x:c r="D47" s="1320"/>
      <x:c r="E47" s="1321"/>
      <x:c r="F47" s="1319"/>
      <x:c r="G47" s="1320"/>
      <x:c r="H47" s="1320"/>
      <x:c r="I47" s="1320"/>
      <x:c r="J47" s="1320"/>
      <x:c r="K47" s="1321"/>
      <x:c r="L47" s="1277"/>
      <x:c r="M47" s="1277"/>
      <x:c r="N47" s="1277"/>
      <x:c r="O47" s="1277"/>
      <x:c r="P47" s="1277"/>
    </x:row>
    <x:row r="48">
      <x:c r="A48" s="1322"/>
      <x:c r="B48" s="1323"/>
      <x:c r="C48" s="1323"/>
      <x:c r="D48" s="1323"/>
      <x:c r="E48" s="1324"/>
      <x:c r="F48" s="1319"/>
      <x:c r="G48" s="1320"/>
      <x:c r="H48" s="1320"/>
      <x:c r="I48" s="1320"/>
      <x:c r="J48" s="1320"/>
      <x:c r="K48" s="1321"/>
      <x:c r="L48" s="1277"/>
      <x:c r="M48" s="1277"/>
      <x:c r="N48" s="1277"/>
      <x:c r="O48" s="1277"/>
      <x:c r="P48" s="1277"/>
    </x:row>
    <x:row r="49">
      <x:c r="A49" s="1277"/>
      <x:c r="B49" s="1277"/>
      <x:c r="C49" s="1277"/>
      <x:c r="D49" s="1277"/>
      <x:c r="E49" s="1277"/>
      <x:c r="F49" s="1322"/>
      <x:c r="G49" s="1323"/>
      <x:c r="H49" s="1323"/>
      <x:c r="I49" s="1323"/>
      <x:c r="J49" s="1323"/>
      <x:c r="K49" s="1324"/>
      <x:c r="L49" s="1277"/>
      <x:c r="M49" s="1277"/>
      <x:c r="N49" s="1277"/>
      <x:c r="O49" s="1277"/>
      <x:c r="P49" s="1277"/>
    </x:row>
    <x:row r="50">
      <x:c r="A50" s="1277"/>
      <x:c r="B50" s="1277"/>
      <x:c r="C50" s="1277"/>
      <x:c r="D50" s="1277"/>
      <x:c r="E50" s="1277"/>
      <x:c r="F50" s="1277"/>
      <x:c r="G50" s="1277"/>
      <x:c r="H50" s="1277"/>
      <x:c r="I50" s="1277"/>
      <x:c r="J50" s="1277"/>
      <x:c r="K50" s="1277"/>
      <x:c r="L50" s="1277"/>
      <x:c r="M50" s="1277"/>
      <x:c r="N50" s="1277"/>
      <x:c r="O50" s="1277"/>
      <x:c r="P50" s="1277"/>
    </x:row>
    <x:row r="51">
      <x:c r="A51" s="1386" t="str">
        <x:v>I-A · INTERFACE A — SNAPSHOT PLANIFICADO / CONTRATO ENTRE DOMINIOS</x:v>
      </x:c>
      <x:c r="B51" s="1386"/>
      <x:c r="C51" s="1386"/>
      <x:c r="D51" s="1386"/>
      <x:c r="E51" s="1386"/>
      <x:c r="F51" s="1386"/>
      <x:c r="G51" s="1386"/>
      <x:c r="H51" s="1386"/>
      <x:c r="I51" s="1386"/>
      <x:c r="J51" s="1386"/>
      <x:c r="K51" s="1386"/>
      <x:c r="L51" s="1277"/>
      <x:c r="M51" s="1277"/>
      <x:c r="N51" s="1277"/>
      <x:c r="O51" s="1277"/>
      <x:c r="P51" s="1277"/>
    </x:row>
    <x:row r="52">
      <x:c r="A52" s="1387" t="str">
        <x:v>planificacion/version · asignación · unidades planificadas · ventana · cliente/contexto · servicio/tarea · ubicación · personas/recursos previstos · prioridad · ContratoServicio/CentroCosto/Item si resuelto · pre-check · TipoParte previsto</x:v>
      </x:c>
      <x:c r="B52" s="1387"/>
      <x:c r="C52" s="1387"/>
      <x:c r="D52" s="1387"/>
      <x:c r="E52" s="1387"/>
      <x:c r="F52" s="1387"/>
      <x:c r="G52" s="1387"/>
      <x:c r="H52" s="1387"/>
      <x:c r="I52" s="1387"/>
      <x:c r="J52" s="1387"/>
      <x:c r="K52" s="1387"/>
      <x:c r="L52" s="1277"/>
      <x:c r="M52" s="1277"/>
      <x:c r="N52" s="1277"/>
      <x:c r="O52" s="1277"/>
      <x:c r="P52" s="1277"/>
    </x:row>
    <x:row r="53">
      <x:c r="A53" s="1387"/>
      <x:c r="B53" s="1387"/>
      <x:c r="C53" s="1387"/>
      <x:c r="D53" s="1387"/>
      <x:c r="E53" s="1387"/>
      <x:c r="F53" s="1387"/>
      <x:c r="G53" s="1387"/>
      <x:c r="H53" s="1387"/>
      <x:c r="I53" s="1387"/>
      <x:c r="J53" s="1387"/>
      <x:c r="K53" s="1387"/>
      <x:c r="L53" s="1277"/>
      <x:c r="M53" s="1277"/>
      <x:c r="N53" s="1277"/>
      <x:c r="O53" s="1277"/>
      <x:c r="P53" s="1277"/>
    </x:row>
    <x:row r="54">
      <x:c r="A54" s="1387"/>
      <x:c r="B54" s="1387"/>
      <x:c r="C54" s="1387"/>
      <x:c r="D54" s="1387"/>
      <x:c r="E54" s="1387"/>
      <x:c r="F54" s="1387"/>
      <x:c r="G54" s="1387"/>
      <x:c r="H54" s="1387"/>
      <x:c r="I54" s="1387"/>
      <x:c r="J54" s="1387"/>
      <x:c r="K54" s="1387"/>
      <x:c r="L54" s="1277"/>
      <x:c r="M54" s="1277"/>
      <x:c r="N54" s="1277"/>
      <x:c r="O54" s="1277"/>
      <x:c r="P54" s="1277"/>
    </x:row>
    <x:row r="55">
      <x:c r="A55" s="1387"/>
      <x:c r="B55" s="1387"/>
      <x:c r="C55" s="1387"/>
      <x:c r="D55" s="1387"/>
      <x:c r="E55" s="1387"/>
      <x:c r="F55" s="1387"/>
      <x:c r="G55" s="1387"/>
      <x:c r="H55" s="1387"/>
      <x:c r="I55" s="1387"/>
      <x:c r="J55" s="1387"/>
      <x:c r="K55" s="1387"/>
      <x:c r="L55" s="1277"/>
      <x:c r="M55" s="1277"/>
      <x:c r="N55" s="1277"/>
      <x:c r="O55" s="1277"/>
      <x:c r="P55" s="1277"/>
    </x:row>
    <x:row r="56">
      <x:c r="A56" s="1277"/>
      <x:c r="B56" s="1277"/>
      <x:c r="C56" s="1277"/>
      <x:c r="D56" s="1277"/>
      <x:c r="E56" s="1277"/>
      <x:c r="F56" s="1277"/>
      <x:c r="G56" s="1277"/>
      <x:c r="H56" s="1277"/>
      <x:c r="I56" s="1277"/>
      <x:c r="J56" s="1277"/>
      <x:c r="K56" s="1277"/>
      <x:c r="L56" s="1277"/>
      <x:c r="M56" s="1277"/>
      <x:c r="N56" s="1277"/>
      <x:c r="O56" s="1277"/>
      <x:c r="P56" s="1277"/>
    </x:row>
    <x:row r="57">
      <x:c r="A57" s="1277"/>
      <x:c r="B57" s="1277"/>
      <x:c r="C57" s="1277"/>
      <x:c r="D57" s="1277"/>
      <x:c r="E57" s="1277"/>
      <x:c r="F57" s="1277"/>
      <x:c r="G57" s="1277"/>
      <x:c r="H57" s="1277"/>
      <x:c r="I57" s="1277"/>
      <x:c r="J57" s="1277"/>
      <x:c r="K57" s="1277"/>
      <x:c r="L57" s="1277"/>
      <x:c r="M57" s="1277"/>
      <x:c r="N57" s="1277"/>
      <x:c r="O57" s="1277"/>
      <x:c r="P57" s="1277"/>
    </x:row>
    <x:row r="58">
      <x:c r="A58" s="1330" t="str">
        <x:v>LÓGICAS DE EXCEPCIÓN / DIVERGENCIA</x:v>
      </x:c>
      <x:c r="B58" s="1330"/>
      <x:c r="C58" s="1330"/>
      <x:c r="D58" s="1330"/>
      <x:c r="E58" s="1330"/>
      <x:c r="F58" s="1330"/>
      <x:c r="G58" s="1330"/>
      <x:c r="H58" s="1330"/>
      <x:c r="I58" s="1330"/>
      <x:c r="J58" s="1330"/>
      <x:c r="K58" s="1330"/>
      <x:c r="L58" s="1330"/>
      <x:c r="M58" s="1330"/>
      <x:c r="N58" s="1330"/>
      <x:c r="O58" s="1330"/>
      <x:c r="P58" s="1330"/>
    </x:row>
    <x:row r="59">
      <x:c r="A59" s="1277"/>
      <x:c r="B59" s="1277"/>
      <x:c r="C59" s="1277"/>
      <x:c r="D59" s="1277"/>
      <x:c r="E59" s="1277"/>
      <x:c r="F59" s="1277"/>
      <x:c r="G59" s="1277"/>
      <x:c r="H59" s="1277"/>
      <x:c r="I59" s="1277"/>
      <x:c r="J59" s="1277"/>
      <x:c r="K59" s="1277"/>
      <x:c r="L59" s="1277"/>
      <x:c r="M59" s="1277"/>
      <x:c r="N59" s="1277"/>
      <x:c r="O59" s="1277"/>
      <x:c r="P59" s="1277"/>
    </x:row>
    <x:row r="60">
      <x:c r="A60" s="1388" t="str">
        <x:v>PLANIFICADO ≠ REAL
cambio persona/recurso/ubicación/servicio
→ EventoOperativo + trazabilidad
→ reruteo/corte si corresponde</x:v>
      </x:c>
      <x:c r="B60" s="1389"/>
      <x:c r="C60" s="1389"/>
      <x:c r="D60" s="1389"/>
      <x:c r="E60" s="1389"/>
      <x:c r="F60" s="1390"/>
      <x:c r="G60" s="1277"/>
      <x:c r="H60" s="1279" t="str">
        <x:v>FUERA DE PLANIFICACIÓN
planificacion_id = null
motivo estructurado + contexto mínimo
→ P0/P2/P3 + Motor</x:v>
      </x:c>
      <x:c r="I60" s="1280"/>
      <x:c r="J60" s="1280"/>
      <x:c r="K60" s="1280"/>
      <x:c r="L60" s="1280"/>
      <x:c r="M60" s="1281"/>
      <x:c r="N60" s="1277"/>
      <x:c r="O60" s="1316" t="str">
        <x:v>NO
MENÚ
LIBRE
DE PARTES</x:v>
      </x:c>
      <x:c r="P60" s="1318"/>
    </x:row>
    <x:row r="61">
      <x:c r="A61" s="1391"/>
      <x:c r="B61" s="1295"/>
      <x:c r="C61" s="1295"/>
      <x:c r="D61" s="1295"/>
      <x:c r="E61" s="1295"/>
      <x:c r="F61" s="1392"/>
      <x:c r="G61" s="1277"/>
      <x:c r="H61" s="1288"/>
      <x:c r="I61" s="1289"/>
      <x:c r="J61" s="1289"/>
      <x:c r="K61" s="1289"/>
      <x:c r="L61" s="1289"/>
      <x:c r="M61" s="1290"/>
      <x:c r="N61" s="1277"/>
      <x:c r="O61" s="1319"/>
      <x:c r="P61" s="1321"/>
    </x:row>
    <x:row r="62">
      <x:c r="A62" s="1391"/>
      <x:c r="B62" s="1295"/>
      <x:c r="C62" s="1295"/>
      <x:c r="D62" s="1295"/>
      <x:c r="E62" s="1295"/>
      <x:c r="F62" s="1392"/>
      <x:c r="G62" s="1277"/>
      <x:c r="H62" s="1288"/>
      <x:c r="I62" s="1289"/>
      <x:c r="J62" s="1289"/>
      <x:c r="K62" s="1289"/>
      <x:c r="L62" s="1289"/>
      <x:c r="M62" s="1290"/>
      <x:c r="N62" s="1277"/>
      <x:c r="O62" s="1319"/>
      <x:c r="P62" s="1321"/>
    </x:row>
    <x:row r="63">
      <x:c r="A63" s="1391"/>
      <x:c r="B63" s="1295"/>
      <x:c r="C63" s="1295"/>
      <x:c r="D63" s="1295"/>
      <x:c r="E63" s="1295"/>
      <x:c r="F63" s="1392"/>
      <x:c r="G63" s="1277"/>
      <x:c r="H63" s="1288"/>
      <x:c r="I63" s="1289"/>
      <x:c r="J63" s="1289"/>
      <x:c r="K63" s="1289"/>
      <x:c r="L63" s="1289"/>
      <x:c r="M63" s="1290"/>
      <x:c r="N63" s="1277"/>
      <x:c r="O63" s="1319"/>
      <x:c r="P63" s="1321"/>
    </x:row>
    <x:row r="64">
      <x:c r="A64" s="1393"/>
      <x:c r="B64" s="1394"/>
      <x:c r="C64" s="1394"/>
      <x:c r="D64" s="1394"/>
      <x:c r="E64" s="1394"/>
      <x:c r="F64" s="1395"/>
      <x:c r="G64" s="1277"/>
      <x:c r="H64" s="1298"/>
      <x:c r="I64" s="1299"/>
      <x:c r="J64" s="1299"/>
      <x:c r="K64" s="1299"/>
      <x:c r="L64" s="1299"/>
      <x:c r="M64" s="1300"/>
      <x:c r="N64" s="1277"/>
      <x:c r="O64" s="1322"/>
      <x:c r="P64" s="1324"/>
    </x:row>
    <x:row r="65">
      <x:c r="A65" s="1277"/>
      <x:c r="B65" s="1277"/>
      <x:c r="C65" s="1277"/>
      <x:c r="D65" s="1277"/>
      <x:c r="E65" s="1277"/>
      <x:c r="F65" s="1277"/>
      <x:c r="G65" s="1277"/>
      <x:c r="H65" s="1277"/>
      <x:c r="I65" s="1277"/>
      <x:c r="J65" s="1277"/>
      <x:c r="K65" s="1277"/>
      <x:c r="L65" s="1277"/>
      <x:c r="M65" s="1277"/>
      <x:c r="N65" s="1277"/>
      <x:c r="O65" s="1277"/>
      <x:c r="P65" s="1277"/>
    </x:row>
    <x:row r="66">
      <x:c r="A66" s="1277"/>
      <x:c r="B66" s="1277"/>
      <x:c r="C66" s="1277"/>
      <x:c r="D66" s="1277"/>
      <x:c r="E66" s="1277"/>
      <x:c r="F66" s="1277"/>
      <x:c r="G66" s="1277"/>
      <x:c r="H66" s="1277"/>
      <x:c r="I66" s="1277"/>
      <x:c r="J66" s="1277"/>
      <x:c r="K66" s="1277"/>
      <x:c r="L66" s="1277"/>
      <x:c r="M66" s="1277"/>
      <x:c r="N66" s="1277"/>
      <x:c r="O66" s="1277"/>
      <x:c r="P66" s="1277"/>
    </x:row>
    <x:row r="67">
      <x:c r="A67" s="1330" t="str">
        <x:v>RAILS TRANSVERSALES · PRESENTES DE PUNTA A PUNTA</x:v>
      </x:c>
      <x:c r="B67" s="1330"/>
      <x:c r="C67" s="1330"/>
      <x:c r="D67" s="1330"/>
      <x:c r="E67" s="1330"/>
      <x:c r="F67" s="1330"/>
      <x:c r="G67" s="1330"/>
      <x:c r="H67" s="1330"/>
      <x:c r="I67" s="1330"/>
      <x:c r="J67" s="1330"/>
      <x:c r="K67" s="1330"/>
      <x:c r="L67" s="1330"/>
      <x:c r="M67" s="1330"/>
      <x:c r="N67" s="1330"/>
      <x:c r="O67" s="1330"/>
      <x:c r="P67" s="1330"/>
    </x:row>
    <x:row r="68">
      <x:c r="A68" s="1277"/>
      <x:c r="B68" s="1277"/>
      <x:c r="C68" s="1277"/>
      <x:c r="D68" s="1277"/>
      <x:c r="E68" s="1277"/>
      <x:c r="F68" s="1277"/>
      <x:c r="G68" s="1277"/>
      <x:c r="H68" s="1277"/>
      <x:c r="I68" s="1277"/>
      <x:c r="J68" s="1277"/>
      <x:c r="K68" s="1277"/>
      <x:c r="L68" s="1277"/>
      <x:c r="M68" s="1277"/>
      <x:c r="N68" s="1277"/>
      <x:c r="O68" s="1277"/>
      <x:c r="P68" s="1277"/>
    </x:row>
    <x:row r="69">
      <x:c r="A69" s="1282" t="str">
        <x:v>R1 · CONTROL DOCUMENTAL
fecha futura + fecha real
personas · recursos · contexto</x:v>
      </x:c>
      <x:c r="B69" s="1283"/>
      <x:c r="C69" s="1283"/>
      <x:c r="D69" s="1284"/>
      <x:c r="E69" s="1282" t="str">
        <x:v>R2 · DERIVACIÓN AUTOMÁTICA
perfil · ubicación · servicio
ContratoServicio · TipoParte</x:v>
      </x:c>
      <x:c r="F69" s="1283"/>
      <x:c r="G69" s="1283"/>
      <x:c r="H69" s="1284"/>
      <x:c r="I69" s="1282" t="str">
        <x:v>R3 · ANTICIPACIÓN
vencimientos · faltantes
riesgo de evidencia/cadencias</x:v>
      </x:c>
      <x:c r="J69" s="1283"/>
      <x:c r="K69" s="1283"/>
      <x:c r="L69" s="1284"/>
      <x:c r="M69" s="1282" t="str">
        <x:v>R4 · TRAZABILIDAD
versiones · snapshot · eventos
previsto vs real · append-only</x:v>
      </x:c>
      <x:c r="N69" s="1283"/>
      <x:c r="O69" s="1283"/>
      <x:c r="P69" s="1284"/>
    </x:row>
    <x:row r="70">
      <x:c r="A70" s="1291"/>
      <x:c r="B70" s="1292"/>
      <x:c r="C70" s="1292"/>
      <x:c r="D70" s="1293"/>
      <x:c r="E70" s="1291"/>
      <x:c r="F70" s="1292"/>
      <x:c r="G70" s="1292"/>
      <x:c r="H70" s="1293"/>
      <x:c r="I70" s="1291"/>
      <x:c r="J70" s="1292"/>
      <x:c r="K70" s="1292"/>
      <x:c r="L70" s="1293"/>
      <x:c r="M70" s="1291"/>
      <x:c r="N70" s="1292"/>
      <x:c r="O70" s="1292"/>
      <x:c r="P70" s="1293"/>
    </x:row>
    <x:row r="71">
      <x:c r="A71" s="1291"/>
      <x:c r="B71" s="1292"/>
      <x:c r="C71" s="1292"/>
      <x:c r="D71" s="1293"/>
      <x:c r="E71" s="1291"/>
      <x:c r="F71" s="1292"/>
      <x:c r="G71" s="1292"/>
      <x:c r="H71" s="1293"/>
      <x:c r="I71" s="1291"/>
      <x:c r="J71" s="1292"/>
      <x:c r="K71" s="1292"/>
      <x:c r="L71" s="1293"/>
      <x:c r="M71" s="1291"/>
      <x:c r="N71" s="1292"/>
      <x:c r="O71" s="1292"/>
      <x:c r="P71" s="1293"/>
    </x:row>
    <x:row r="72">
      <x:c r="A72" s="1301"/>
      <x:c r="B72" s="1302"/>
      <x:c r="C72" s="1302"/>
      <x:c r="D72" s="1303"/>
      <x:c r="E72" s="1301"/>
      <x:c r="F72" s="1302"/>
      <x:c r="G72" s="1302"/>
      <x:c r="H72" s="1303"/>
      <x:c r="I72" s="1301"/>
      <x:c r="J72" s="1302"/>
      <x:c r="K72" s="1302"/>
      <x:c r="L72" s="1303"/>
      <x:c r="M72" s="1301"/>
      <x:c r="N72" s="1302"/>
      <x:c r="O72" s="1302"/>
      <x:c r="P72" s="1303"/>
    </x:row>
    <x:row r="73">
      <x:c r="A73" s="1277"/>
      <x:c r="B73" s="1277"/>
      <x:c r="C73" s="1277"/>
      <x:c r="D73" s="1277"/>
      <x:c r="E73" s="1277"/>
      <x:c r="F73" s="1277"/>
      <x:c r="G73" s="1277"/>
      <x:c r="H73" s="1277"/>
      <x:c r="I73" s="1277"/>
      <x:c r="J73" s="1277"/>
      <x:c r="K73" s="1277"/>
      <x:c r="L73" s="1277"/>
      <x:c r="M73" s="1277"/>
      <x:c r="N73" s="1277"/>
      <x:c r="O73" s="1277"/>
      <x:c r="P73" s="1277"/>
    </x:row>
    <x:row r="74">
      <x:c r="A74" s="1277"/>
      <x:c r="B74" s="1277"/>
      <x:c r="C74" s="1277"/>
      <x:c r="D74" s="1277"/>
      <x:c r="E74" s="1277"/>
      <x:c r="F74" s="1277"/>
      <x:c r="G74" s="1277"/>
      <x:c r="H74" s="1277"/>
      <x:c r="I74" s="1277"/>
      <x:c r="J74" s="1277"/>
      <x:c r="K74" s="1277"/>
      <x:c r="L74" s="1277"/>
      <x:c r="M74" s="1277"/>
      <x:c r="N74" s="1277"/>
      <x:c r="O74" s="1277"/>
      <x:c r="P74" s="1277"/>
    </x:row>
    <x:row r="75">
      <x:c r="A75" s="1384" t="str">
        <x:v>ESTADO REV D.1</x:v>
      </x:c>
      <x:c r="B75" s="1384"/>
      <x:c r="C75" s="1384"/>
      <x:c r="D75" s="1384"/>
      <x:c r="E75" s="1384"/>
      <x:c r="F75" s="1384"/>
      <x:c r="G75" s="1384"/>
      <x:c r="H75" s="1384"/>
      <x:c r="I75" s="1384"/>
      <x:c r="J75" s="1384"/>
      <x:c r="K75" s="1384"/>
      <x:c r="L75" s="1384"/>
      <x:c r="M75" s="1384"/>
      <x:c r="N75" s="1384"/>
      <x:c r="O75" s="1384"/>
      <x:c r="P75" s="1384"/>
    </x:row>
    <x:row r="76" ht="38" customHeight="1">
      <x:c r="A76" s="1396" t="str">
        <x:v>CERRADO v0</x:v>
      </x:c>
      <x:c r="B76" s="1327" t="str">
        <x:v>Interface A: Planificación entrega snapshot confirmado, no crea el Parte directamente.</x:v>
      </x:c>
      <x:c r="C76" s="1327"/>
      <x:c r="D76" s="1327"/>
      <x:c r="E76" s="1327"/>
      <x:c r="F76" s="1327"/>
      <x:c r="G76" s="1327"/>
      <x:c r="H76" s="1327"/>
      <x:c r="I76" s="1327"/>
      <x:c r="J76" s="1327"/>
      <x:c r="K76" s="1327"/>
      <x:c r="L76" s="1327"/>
      <x:c r="M76" s="1327"/>
      <x:c r="N76" s="1327"/>
      <x:c r="O76" s="1327"/>
      <x:c r="P76" s="1327"/>
    </x:row>
    <x:row r="77" ht="38" customHeight="1">
      <x:c r="A77" s="1396" t="str">
        <x:v>CERRADO v0</x:v>
      </x:c>
      <x:c r="B77" s="1327" t="str">
        <x:v>Motor de Ejecución revalida TipoParte, habilitaciones y realidad antes de iniciar.</x:v>
      </x:c>
      <x:c r="C77" s="1327"/>
      <x:c r="D77" s="1327"/>
      <x:c r="E77" s="1327"/>
      <x:c r="F77" s="1327"/>
      <x:c r="G77" s="1327"/>
      <x:c r="H77" s="1327"/>
      <x:c r="I77" s="1327"/>
      <x:c r="J77" s="1327"/>
      <x:c r="K77" s="1327"/>
      <x:c r="L77" s="1327"/>
      <x:c r="M77" s="1327"/>
      <x:c r="N77" s="1327"/>
      <x:c r="O77" s="1327"/>
      <x:c r="P77" s="1327"/>
    </x:row>
    <x:row r="78" ht="38" customHeight="1">
      <x:c r="A78" s="1396" t="str">
        <x:v>CERRADO v0</x:v>
      </x:c>
      <x:c r="B78" s="1327" t="str">
        <x:v>Trabajo emergente usa la misma inteligencia con planificacion_id nulo y motivo estructurado.</x:v>
      </x:c>
      <x:c r="C78" s="1327"/>
      <x:c r="D78" s="1327"/>
      <x:c r="E78" s="1327"/>
      <x:c r="F78" s="1327"/>
      <x:c r="G78" s="1327"/>
      <x:c r="H78" s="1327"/>
      <x:c r="I78" s="1327"/>
      <x:c r="J78" s="1327"/>
      <x:c r="K78" s="1327"/>
      <x:c r="L78" s="1327"/>
      <x:c r="M78" s="1327"/>
      <x:c r="N78" s="1327"/>
      <x:c r="O78" s="1327"/>
      <x:c r="P78" s="1327"/>
    </x:row>
    <x:row r="79" ht="38" customHeight="1">
      <x:c r="A79" s="1396" t="str">
        <x:v>SIGUIENTE</x:v>
      </x:c>
      <x:c r="B79" s="1327" t="str">
        <x:v>Construir Interface B Parte→Certificación y reemplazar el placeholder amarillo del dominio derecho.</x:v>
      </x:c>
      <x:c r="C79" s="1327"/>
      <x:c r="D79" s="1327"/>
      <x:c r="E79" s="1327"/>
      <x:c r="F79" s="1327"/>
      <x:c r="G79" s="1327"/>
      <x:c r="H79" s="1327"/>
      <x:c r="I79" s="1327"/>
      <x:c r="J79" s="1327"/>
      <x:c r="K79" s="1327"/>
      <x:c r="L79" s="1327"/>
      <x:c r="M79" s="1327"/>
      <x:c r="N79" s="1327"/>
      <x:c r="O79" s="1327"/>
      <x:c r="P79" s="1327"/>
    </x:row>
  </x:sheetData>
  <x:mergeCells>
    <x:mergeCell ref="A1:P1"/>
    <x:mergeCell ref="A2:P2"/>
    <x:mergeCell ref="A4:P4"/>
    <x:mergeCell ref="A6:C9"/>
    <x:mergeCell ref="E6:G9"/>
    <x:mergeCell ref="I6:K9"/>
    <x:mergeCell ref="M6:P9"/>
    <x:mergeCell ref="A12:E12"/>
    <x:mergeCell ref="F12:K12"/>
    <x:mergeCell ref="L12:P12"/>
    <x:mergeCell ref="A14:E17"/>
    <x:mergeCell ref="A19:E23"/>
    <x:mergeCell ref="A25:E28"/>
    <x:mergeCell ref="A30:E33"/>
    <x:mergeCell ref="A35:E38"/>
    <x:mergeCell ref="A40:E43"/>
    <x:mergeCell ref="A45:E48"/>
    <x:mergeCell ref="A51:K51"/>
    <x:mergeCell ref="A52:K55"/>
    <x:mergeCell ref="F14:K18"/>
    <x:mergeCell ref="F20:K23"/>
    <x:mergeCell ref="F25:K28"/>
    <x:mergeCell ref="F30:K33"/>
    <x:mergeCell ref="F35:K39"/>
    <x:mergeCell ref="F41:K44"/>
    <x:mergeCell ref="F46:K49"/>
    <x:mergeCell ref="L14:P18"/>
    <x:mergeCell ref="L20:P24"/>
    <x:mergeCell ref="L26:P30"/>
    <x:mergeCell ref="L32:P35"/>
    <x:mergeCell ref="L37:P40"/>
    <x:mergeCell ref="L42:P45"/>
    <x:mergeCell ref="A58:P58"/>
    <x:mergeCell ref="A60:F64"/>
    <x:mergeCell ref="H60:M64"/>
    <x:mergeCell ref="O60:P64"/>
    <x:mergeCell ref="A67:P67"/>
    <x:mergeCell ref="A69:D72"/>
    <x:mergeCell ref="E69:H72"/>
    <x:mergeCell ref="I69:L72"/>
    <x:mergeCell ref="M69:P72"/>
    <x:mergeCell ref="A75:P75"/>
    <x:mergeCell ref="B76:P76"/>
    <x:mergeCell ref="B77:P77"/>
    <x:mergeCell ref="B78:P78"/>
    <x:mergeCell ref="B79:P79"/>
  </x:mergeCells>
  <x:pageMargins left="0.7" right="0.7" top="0.75" bottom="0.75" header="0.3" footer="0.3"/>
</x:worksheet>
</file>

<file path=xl/worksheets/sheet21.xml><?xml version="1.0" encoding="utf-8"?>
<x:worksheet xmlns:x="http://schemas.openxmlformats.org/spreadsheetml/2006/main">
  <x:sheetFormatPr defaultRowHeight="15"/>
  <x:cols>
    <x:col min="1" max="1" width="15" hidden="0" customWidth="1"/>
    <x:col min="2" max="2" width="23" hidden="0" customWidth="1"/>
    <x:col min="3" max="3" width="23" hidden="0" customWidth="1"/>
    <x:col min="4" max="4" width="23" hidden="0" customWidth="1"/>
    <x:col min="5" max="5" width="23" hidden="0" customWidth="1"/>
    <x:col min="6" max="6" width="23" hidden="0" customWidth="1"/>
    <x:col min="7" max="7" width="4" hidden="0" customWidth="1"/>
    <x:col min="8" max="8" width="17"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s>
  <x:sheetData>
    <x:row r="1">
      <x:c r="A1" s="1653" t="str">
        <x:v>LÓGICA INTERNA DE PLANIFICACIÓN v0 · WORK PREPARATION + SCHEDULING + READINESS + DISPATCH</x:v>
      </x:c>
      <x:c r="B1" s="1653"/>
      <x:c r="C1" s="1653"/>
      <x:c r="D1" s="1653"/>
      <x:c r="E1" s="1653"/>
      <x:c r="F1" s="1653"/>
      <x:c r="G1" s="1653"/>
      <x:c r="H1" s="1653"/>
      <x:c r="I1" s="1653"/>
      <x:c r="J1" s="1653"/>
      <x:c r="K1" s="1653"/>
      <x:c r="L1" s="1653"/>
      <x:c r="M1" s="1653"/>
      <x:c r="N1" s="1653"/>
    </x:row>
    <x:row r="2">
      <x:c r="A2" s="1617" t="str">
        <x:v>Planificación no es un calendario ni un formulario previo: es el motor que transforma una necesidad de trabajo en una asignación ejecutable, contractualmente válida, operativamente factible y documentalmente preparada.</x:v>
      </x:c>
      <x:c r="B2" s="1617"/>
      <x:c r="C2" s="1617"/>
      <x:c r="D2" s="1617"/>
      <x:c r="E2" s="1617"/>
      <x:c r="F2" s="1617"/>
      <x:c r="G2" s="1617"/>
      <x:c r="H2" s="1617"/>
      <x:c r="I2" s="1617"/>
      <x:c r="J2" s="1617"/>
      <x:c r="K2" s="1617"/>
      <x:c r="L2" s="1617"/>
      <x:c r="M2" s="1617"/>
      <x:c r="N2" s="1617"/>
    </x:row>
    <x:row r="3">
      <x:c r="A3" s="1277"/>
      <x:c r="B3" s="1277"/>
      <x:c r="C3" s="1277"/>
      <x:c r="D3" s="1277"/>
      <x:c r="E3" s="1277"/>
      <x:c r="F3" s="1277"/>
      <x:c r="G3" s="1277"/>
      <x:c r="H3" s="1277"/>
      <x:c r="I3" s="1277"/>
      <x:c r="J3" s="1277"/>
      <x:c r="K3" s="1277"/>
      <x:c r="L3" s="1277"/>
      <x:c r="M3" s="1277"/>
      <x:c r="N3" s="1277"/>
    </x:row>
    <x:row r="4">
      <x:c r="A4" s="1654" t="str">
        <x:v>01 — PRINCIPIO OPERATIVO · PLANIFICAR = PREPARAR TRABAJO EJECUTABLE, NO PROMETER QUE OCURRIRÁ</x:v>
      </x:c>
      <x:c r="B4" s="1654"/>
      <x:c r="C4" s="1654"/>
      <x:c r="D4" s="1654"/>
      <x:c r="E4" s="1654"/>
      <x:c r="F4" s="1654"/>
      <x:c r="G4" s="1654"/>
      <x:c r="H4" s="1654"/>
      <x:c r="I4" s="1654"/>
      <x:c r="J4" s="1654"/>
      <x:c r="K4" s="1654"/>
      <x:c r="L4" s="1654"/>
      <x:c r="M4" s="1654"/>
      <x:c r="N4" s="1654"/>
    </x:row>
    <x:row r="5">
      <x:c r="A5" s="1277"/>
      <x:c r="B5" s="1277"/>
      <x:c r="C5" s="1277"/>
      <x:c r="D5" s="1277"/>
      <x:c r="E5" s="1277"/>
      <x:c r="F5" s="1277"/>
      <x:c r="G5" s="1277"/>
      <x:c r="H5" s="1277"/>
      <x:c r="I5" s="1277"/>
      <x:c r="J5" s="1277"/>
      <x:c r="K5" s="1277"/>
      <x:c r="L5" s="1277"/>
      <x:c r="M5" s="1277"/>
      <x:c r="N5" s="1277"/>
    </x:row>
    <x:row r="6">
      <x:c r="A6" s="1619" t="str">
        <x:v>DEMANDA
¿qué necesita
resolverse?</x:v>
      </x:c>
      <x:c r="B6" s="1620"/>
      <x:c r="C6" s="1621"/>
      <x:c r="D6" s="1277"/>
      <x:c r="E6" s="1622" t="str">
        <x:v>CALIFICACIÓN
¿corresponde?
¿bajo qué contexto?</x:v>
      </x:c>
      <x:c r="F6" s="1623"/>
      <x:c r="G6" s="1624"/>
      <x:c r="H6" s="1277"/>
      <x:c r="I6" s="1619" t="str">
        <x:v>PLAN / SCHEDULE
¿cuándo?
¿con qué capacidad?</x:v>
      </x:c>
      <x:c r="J6" s="1620"/>
      <x:c r="K6" s="1621"/>
      <x:c r="L6" s="1277"/>
      <x:c r="M6" s="1622" t="str">
        <x:v>READINESS /
DISPATCH
¿está listo?</x:v>
      </x:c>
      <x:c r="N6" s="1624"/>
    </x:row>
    <x:row r="7">
      <x:c r="A7" s="1625"/>
      <x:c r="B7" s="1626"/>
      <x:c r="C7" s="1627"/>
      <x:c r="D7" s="1277"/>
      <x:c r="E7" s="1628"/>
      <x:c r="F7" s="1629"/>
      <x:c r="G7" s="1630"/>
      <x:c r="H7" s="1277"/>
      <x:c r="I7" s="1625"/>
      <x:c r="J7" s="1626"/>
      <x:c r="K7" s="1627"/>
      <x:c r="L7" s="1277"/>
      <x:c r="M7" s="1628"/>
      <x:c r="N7" s="1630"/>
    </x:row>
    <x:row r="8">
      <x:c r="A8" s="1625"/>
      <x:c r="B8" s="1626"/>
      <x:c r="C8" s="1627"/>
      <x:c r="D8" s="1297" t="str">
        <x:v>→</x:v>
      </x:c>
      <x:c r="E8" s="1628"/>
      <x:c r="F8" s="1629"/>
      <x:c r="G8" s="1630"/>
      <x:c r="H8" s="1297" t="str">
        <x:v>→</x:v>
      </x:c>
      <x:c r="I8" s="1625"/>
      <x:c r="J8" s="1626"/>
      <x:c r="K8" s="1627"/>
      <x:c r="L8" s="1297" t="str">
        <x:v>→</x:v>
      </x:c>
      <x:c r="M8" s="1628"/>
      <x:c r="N8" s="1630"/>
    </x:row>
    <x:row r="9">
      <x:c r="A9" s="1625"/>
      <x:c r="B9" s="1626"/>
      <x:c r="C9" s="1627"/>
      <x:c r="D9" s="1277"/>
      <x:c r="E9" s="1628"/>
      <x:c r="F9" s="1629"/>
      <x:c r="G9" s="1630"/>
      <x:c r="H9" s="1277"/>
      <x:c r="I9" s="1625"/>
      <x:c r="J9" s="1626"/>
      <x:c r="K9" s="1627"/>
      <x:c r="L9" s="1277"/>
      <x:c r="M9" s="1628"/>
      <x:c r="N9" s="1630"/>
    </x:row>
    <x:row r="10">
      <x:c r="A10" s="1631"/>
      <x:c r="B10" s="1632"/>
      <x:c r="C10" s="1633"/>
      <x:c r="D10" s="1277"/>
      <x:c r="E10" s="1634"/>
      <x:c r="F10" s="1635"/>
      <x:c r="G10" s="1636"/>
      <x:c r="H10" s="1277"/>
      <x:c r="I10" s="1631"/>
      <x:c r="J10" s="1632"/>
      <x:c r="K10" s="1633"/>
      <x:c r="L10" s="1277"/>
      <x:c r="M10" s="1634"/>
      <x:c r="N10" s="1636"/>
    </x:row>
    <x:row r="11">
      <x:c r="A11" s="1277"/>
      <x:c r="B11" s="1277"/>
      <x:c r="C11" s="1277"/>
      <x:c r="D11" s="1277"/>
      <x:c r="E11" s="1277"/>
      <x:c r="F11" s="1277"/>
      <x:c r="G11" s="1277"/>
      <x:c r="H11" s="1277"/>
      <x:c r="I11" s="1277"/>
      <x:c r="J11" s="1277"/>
      <x:c r="K11" s="1277"/>
      <x:c r="L11" s="1277"/>
      <x:c r="M11" s="1277"/>
      <x:c r="N11" s="1277"/>
    </x:row>
    <x:row r="12">
      <x:c r="A12" s="1637" t="str">
        <x:v>DEFINICIÓN v0: una Planificación queda 'lista' cuando el sistema puede explicar qué se pretende hacer, dónde/cuándo, para qué cliente/contexto contractual, qué capacidad requiere y qué riesgos/documentación/prerrequisitos deben estar resueltos. Eso no significa que la ejecución ya ocurrió.</x:v>
      </x:c>
      <x:c r="B12" s="1637"/>
      <x:c r="C12" s="1637"/>
      <x:c r="D12" s="1637"/>
      <x:c r="E12" s="1637"/>
      <x:c r="F12" s="1637"/>
      <x:c r="G12" s="1637"/>
      <x:c r="H12" s="1637"/>
      <x:c r="I12" s="1637"/>
      <x:c r="J12" s="1637"/>
      <x:c r="K12" s="1637"/>
      <x:c r="L12" s="1637"/>
      <x:c r="M12" s="1637"/>
      <x:c r="N12" s="1637"/>
    </x:row>
    <x:row r="13">
      <x:c r="A13" s="1637"/>
      <x:c r="B13" s="1637"/>
      <x:c r="C13" s="1637"/>
      <x:c r="D13" s="1637"/>
      <x:c r="E13" s="1637"/>
      <x:c r="F13" s="1637"/>
      <x:c r="G13" s="1637"/>
      <x:c r="H13" s="1637"/>
      <x:c r="I13" s="1637"/>
      <x:c r="J13" s="1637"/>
      <x:c r="K13" s="1637"/>
      <x:c r="L13" s="1637"/>
      <x:c r="M13" s="1637"/>
      <x:c r="N13" s="1637"/>
    </x:row>
    <x:row r="14">
      <x:c r="A14" s="1637"/>
      <x:c r="B14" s="1637"/>
      <x:c r="C14" s="1637"/>
      <x:c r="D14" s="1637"/>
      <x:c r="E14" s="1637"/>
      <x:c r="F14" s="1637"/>
      <x:c r="G14" s="1637"/>
      <x:c r="H14" s="1637"/>
      <x:c r="I14" s="1637"/>
      <x:c r="J14" s="1637"/>
      <x:c r="K14" s="1637"/>
      <x:c r="L14" s="1637"/>
      <x:c r="M14" s="1637"/>
      <x:c r="N14" s="1637"/>
    </x:row>
    <x:row r="15">
      <x:c r="A15" s="1637"/>
      <x:c r="B15" s="1637"/>
      <x:c r="C15" s="1637"/>
      <x:c r="D15" s="1637"/>
      <x:c r="E15" s="1637"/>
      <x:c r="F15" s="1637"/>
      <x:c r="G15" s="1637"/>
      <x:c r="H15" s="1637"/>
      <x:c r="I15" s="1637"/>
      <x:c r="J15" s="1637"/>
      <x:c r="K15" s="1637"/>
      <x:c r="L15" s="1637"/>
      <x:c r="M15" s="1637"/>
      <x:c r="N15" s="1637"/>
    </x:row>
    <x:row r="16">
      <x:c r="A16" s="1277"/>
      <x:c r="B16" s="1277"/>
      <x:c r="C16" s="1277"/>
      <x:c r="D16" s="1277"/>
      <x:c r="E16" s="1277"/>
      <x:c r="F16" s="1277"/>
      <x:c r="G16" s="1277"/>
      <x:c r="H16" s="1277"/>
      <x:c r="I16" s="1277"/>
      <x:c r="J16" s="1277"/>
      <x:c r="K16" s="1277"/>
      <x:c r="L16" s="1277"/>
      <x:c r="M16" s="1277"/>
      <x:c r="N16" s="1277"/>
    </x:row>
    <x:row r="17">
      <x:c r="A17" s="1654" t="str">
        <x:v>02 — OBJETOS DEL DOMINIO · SEPARAR BACKLOG, PLAN, ASIGNACIÓN Y TRABAJO PREVISTO</x:v>
      </x:c>
      <x:c r="B17" s="1654"/>
      <x:c r="C17" s="1654"/>
      <x:c r="D17" s="1654"/>
      <x:c r="E17" s="1654"/>
      <x:c r="F17" s="1654"/>
      <x:c r="G17" s="1654"/>
      <x:c r="H17" s="1654"/>
      <x:c r="I17" s="1654"/>
      <x:c r="J17" s="1654"/>
      <x:c r="K17" s="1654"/>
      <x:c r="L17" s="1654"/>
      <x:c r="M17" s="1654"/>
      <x:c r="N17" s="1654"/>
    </x:row>
    <x:row r="18">
      <x:c r="A18" s="1277"/>
      <x:c r="B18" s="1277"/>
      <x:c r="C18" s="1277"/>
      <x:c r="D18" s="1277"/>
      <x:c r="E18" s="1277"/>
      <x:c r="F18" s="1277"/>
      <x:c r="G18" s="1277"/>
      <x:c r="H18" s="1277"/>
      <x:c r="I18" s="1277"/>
      <x:c r="J18" s="1277"/>
      <x:c r="K18" s="1277"/>
      <x:c r="L18" s="1277"/>
      <x:c r="M18" s="1277"/>
      <x:c r="N18" s="1277"/>
    </x:row>
    <x:row r="19">
      <x:c r="A19" s="1619" t="str">
        <x:v>DEMANDA
OPERATIVA
pedido / necesidad
backlog</x:v>
      </x:c>
      <x:c r="B19" s="1620"/>
      <x:c r="C19" s="1621"/>
      <x:c r="D19" s="1277"/>
      <x:c r="E19" s="1619" t="str">
        <x:v>PLANIFICACIÓN
marco de trabajo
+ versión</x:v>
      </x:c>
      <x:c r="F19" s="1620"/>
      <x:c r="G19" s="1621"/>
      <x:c r="H19" s="1277"/>
      <x:c r="I19" s="1619" t="str">
        <x:v>ASIGNACIÓN
PLANIFICADA
paquete despachable
cuadrilla/ventana</x:v>
      </x:c>
      <x:c r="J19" s="1620"/>
      <x:c r="K19" s="1621"/>
      <x:c r="L19" s="1277"/>
      <x:c r="M19" s="1619" t="str">
        <x:v>UNIDAD
PLANIFICADA
tarea/servicio
ubicación</x:v>
      </x:c>
      <x:c r="N19" s="1621"/>
    </x:row>
    <x:row r="20">
      <x:c r="A20" s="1625"/>
      <x:c r="B20" s="1626"/>
      <x:c r="C20" s="1627"/>
      <x:c r="D20" s="1277"/>
      <x:c r="E20" s="1625"/>
      <x:c r="F20" s="1626"/>
      <x:c r="G20" s="1627"/>
      <x:c r="H20" s="1277"/>
      <x:c r="I20" s="1625"/>
      <x:c r="J20" s="1626"/>
      <x:c r="K20" s="1627"/>
      <x:c r="L20" s="1277"/>
      <x:c r="M20" s="1625"/>
      <x:c r="N20" s="1627"/>
    </x:row>
    <x:row r="21">
      <x:c r="A21" s="1625"/>
      <x:c r="B21" s="1626"/>
      <x:c r="C21" s="1627"/>
      <x:c r="D21" s="1297" t="str">
        <x:v>→</x:v>
      </x:c>
      <x:c r="E21" s="1625"/>
      <x:c r="F21" s="1626"/>
      <x:c r="G21" s="1627"/>
      <x:c r="H21" s="1297" t="str">
        <x:v>→</x:v>
      </x:c>
      <x:c r="I21" s="1625"/>
      <x:c r="J21" s="1626"/>
      <x:c r="K21" s="1627"/>
      <x:c r="L21" s="1297" t="str">
        <x:v>→</x:v>
      </x:c>
      <x:c r="M21" s="1625"/>
      <x:c r="N21" s="1627"/>
    </x:row>
    <x:row r="22">
      <x:c r="A22" s="1625"/>
      <x:c r="B22" s="1626"/>
      <x:c r="C22" s="1627"/>
      <x:c r="D22" s="1277"/>
      <x:c r="E22" s="1625"/>
      <x:c r="F22" s="1626"/>
      <x:c r="G22" s="1627"/>
      <x:c r="H22" s="1277"/>
      <x:c r="I22" s="1625"/>
      <x:c r="J22" s="1626"/>
      <x:c r="K22" s="1627"/>
      <x:c r="L22" s="1277"/>
      <x:c r="M22" s="1625"/>
      <x:c r="N22" s="1627"/>
    </x:row>
    <x:row r="23">
      <x:c r="A23" s="1631"/>
      <x:c r="B23" s="1632"/>
      <x:c r="C23" s="1633"/>
      <x:c r="D23" s="1277"/>
      <x:c r="E23" s="1631"/>
      <x:c r="F23" s="1632"/>
      <x:c r="G23" s="1633"/>
      <x:c r="H23" s="1277"/>
      <x:c r="I23" s="1631"/>
      <x:c r="J23" s="1632"/>
      <x:c r="K23" s="1633"/>
      <x:c r="L23" s="1277"/>
      <x:c r="M23" s="1631"/>
      <x:c r="N23" s="1633"/>
    </x:row>
    <x:row r="24">
      <x:c r="A24" s="1277"/>
      <x:c r="B24" s="1277"/>
      <x:c r="C24" s="1277"/>
      <x:c r="D24" s="1277"/>
      <x:c r="E24" s="1277"/>
      <x:c r="F24" s="1277"/>
      <x:c r="G24" s="1277"/>
      <x:c r="H24" s="1277"/>
      <x:c r="I24" s="1277"/>
      <x:c r="J24" s="1277"/>
      <x:c r="K24" s="1277"/>
      <x:c r="L24" s="1277"/>
      <x:c r="M24" s="1277"/>
      <x:c r="N24" s="1277"/>
    </x:row>
    <x:row r="25">
      <x:c r="A25" s="1638" t="str">
        <x:v>Lectura industrial: la demanda entra al backlog; Planificación la califica y la descompone; una AsignaciónPlanificada empaqueta trabajo para una ventana/capacidad concreta; las UnidadesPlanificadas describen lo que se espera ejecutar. El Parte aparece recién del otro lado de Interface A.</x:v>
      </x:c>
      <x:c r="B25" s="1638"/>
      <x:c r="C25" s="1638"/>
      <x:c r="D25" s="1638"/>
      <x:c r="E25" s="1638"/>
      <x:c r="F25" s="1638"/>
      <x:c r="G25" s="1638"/>
      <x:c r="H25" s="1638"/>
      <x:c r="I25" s="1638"/>
      <x:c r="J25" s="1638"/>
      <x:c r="K25" s="1638"/>
      <x:c r="L25" s="1638"/>
      <x:c r="M25" s="1638"/>
      <x:c r="N25" s="1638"/>
    </x:row>
    <x:row r="26">
      <x:c r="A26" s="1638"/>
      <x:c r="B26" s="1638"/>
      <x:c r="C26" s="1638"/>
      <x:c r="D26" s="1638"/>
      <x:c r="E26" s="1638"/>
      <x:c r="F26" s="1638"/>
      <x:c r="G26" s="1638"/>
      <x:c r="H26" s="1638"/>
      <x:c r="I26" s="1638"/>
      <x:c r="J26" s="1638"/>
      <x:c r="K26" s="1638"/>
      <x:c r="L26" s="1638"/>
      <x:c r="M26" s="1638"/>
      <x:c r="N26" s="1638"/>
    </x:row>
    <x:row r="27">
      <x:c r="A27" s="1638"/>
      <x:c r="B27" s="1638"/>
      <x:c r="C27" s="1638"/>
      <x:c r="D27" s="1638"/>
      <x:c r="E27" s="1638"/>
      <x:c r="F27" s="1638"/>
      <x:c r="G27" s="1638"/>
      <x:c r="H27" s="1638"/>
      <x:c r="I27" s="1638"/>
      <x:c r="J27" s="1638"/>
      <x:c r="K27" s="1638"/>
      <x:c r="L27" s="1638"/>
      <x:c r="M27" s="1638"/>
      <x:c r="N27" s="1638"/>
    </x:row>
    <x:row r="28">
      <x:c r="A28" s="1638"/>
      <x:c r="B28" s="1638"/>
      <x:c r="C28" s="1638"/>
      <x:c r="D28" s="1638"/>
      <x:c r="E28" s="1638"/>
      <x:c r="F28" s="1638"/>
      <x:c r="G28" s="1638"/>
      <x:c r="H28" s="1638"/>
      <x:c r="I28" s="1638"/>
      <x:c r="J28" s="1638"/>
      <x:c r="K28" s="1638"/>
      <x:c r="L28" s="1638"/>
      <x:c r="M28" s="1638"/>
      <x:c r="N28" s="1638"/>
    </x:row>
    <x:row r="29">
      <x:c r="A29" s="1277"/>
      <x:c r="B29" s="1277"/>
      <x:c r="C29" s="1277"/>
      <x:c r="D29" s="1277"/>
      <x:c r="E29" s="1277"/>
      <x:c r="F29" s="1277"/>
      <x:c r="G29" s="1277"/>
      <x:c r="H29" s="1277"/>
      <x:c r="I29" s="1277"/>
      <x:c r="J29" s="1277"/>
      <x:c r="K29" s="1277"/>
      <x:c r="L29" s="1277"/>
      <x:c r="M29" s="1277"/>
      <x:c r="N29" s="1277"/>
    </x:row>
    <x:row r="30">
      <x:c r="A30" s="1654" t="str">
        <x:v>03 — FLUJO INTERNO DE PLANIFICACIÓN · 7 ETAPAS</x:v>
      </x:c>
      <x:c r="B30" s="1654"/>
      <x:c r="C30" s="1654"/>
      <x:c r="D30" s="1654"/>
      <x:c r="E30" s="1654"/>
      <x:c r="F30" s="1654"/>
      <x:c r="G30" s="1654"/>
      <x:c r="H30" s="1654"/>
      <x:c r="I30" s="1654"/>
      <x:c r="J30" s="1654"/>
      <x:c r="K30" s="1654"/>
      <x:c r="L30" s="1654"/>
      <x:c r="M30" s="1654"/>
      <x:c r="N30" s="1654"/>
    </x:row>
    <x:row r="31">
      <x:c r="A31" s="1639" t="str">
        <x:v>Etapa</x:v>
      </x:c>
      <x:c r="B31" s="1639" t="str">
        <x:v>Pregunta que responde</x:v>
      </x:c>
      <x:c r="C31" s="1639" t="str">
        <x:v>Objeto principal</x:v>
      </x:c>
      <x:c r="D31" s="1639" t="str">
        <x:v>Inputs mínimos</x:v>
      </x:c>
      <x:c r="E31" s="1639" t="str">
        <x:v>Derivaciones</x:v>
      </x:c>
      <x:c r="F31" s="1639" t="str">
        <x:v>Gate / salida</x:v>
      </x:c>
      <x:c r="G31" s="1277"/>
      <x:c r="H31" s="1277"/>
      <x:c r="I31" s="1277"/>
      <x:c r="J31" s="1277"/>
      <x:c r="K31" s="1277"/>
      <x:c r="L31" s="1277"/>
      <x:c r="M31" s="1277"/>
      <x:c r="N31" s="1277"/>
    </x:row>
    <x:row r="32" ht="58" customHeight="1">
      <x:c r="A32" s="1327" t="str">
        <x:v>P-01 · Ingreso demanda</x:v>
      </x:c>
      <x:c r="B32" s="1327" t="str">
        <x:v>¿Qué trabajo necesita VDS resolver y para cuándo?</x:v>
      </x:c>
      <x:c r="C32" s="1327" t="str">
        <x:v>DemandaOperativa</x:v>
      </x:c>
      <x:c r="D32" s="1327" t="str">
        <x:v>solicitante/origen · necesidad · ubicación/activo si conocida · fecha objetivo</x:v>
      </x:c>
      <x:c r="E32" s="1327" t="str">
        <x:v>cliente/servicio tentativo</x:v>
      </x:c>
      <x:c r="F32" s="1327" t="str">
        <x:v>Demanda creada</x:v>
      </x:c>
      <x:c r="G32" s="1277"/>
      <x:c r="H32" s="1277"/>
      <x:c r="I32" s="1277"/>
      <x:c r="J32" s="1277"/>
      <x:c r="K32" s="1277"/>
      <x:c r="L32" s="1277"/>
      <x:c r="M32" s="1277"/>
      <x:c r="N32" s="1277"/>
    </x:row>
    <x:row r="33" ht="58" customHeight="1">
      <x:c r="A33" s="1327" t="str">
        <x:v>P-02 · Calificación</x:v>
      </x:c>
      <x:c r="B33" s="1327" t="str">
        <x:v>¿La demanda es válida, está dentro de alcance y bajo qué contexto?</x:v>
      </x:c>
      <x:c r="C33" s="1327" t="str">
        <x:v>Demanda + ContratoServicio</x:v>
      </x:c>
      <x:c r="D33" s="1327" t="str">
        <x:v>cliente · servicio · vigencia · CentroCosto/contexto</x:v>
      </x:c>
      <x:c r="E33" s="1327" t="str">
        <x:v>ContratoServicio · reglas aplicables</x:v>
      </x:c>
      <x:c r="F33" s="1327" t="str">
        <x:v>P0 contractual</x:v>
      </x:c>
      <x:c r="G33" s="1277"/>
      <x:c r="H33" s="1277"/>
      <x:c r="I33" s="1277"/>
      <x:c r="J33" s="1277"/>
      <x:c r="K33" s="1277"/>
      <x:c r="L33" s="1277"/>
      <x:c r="M33" s="1277"/>
      <x:c r="N33" s="1277"/>
    </x:row>
    <x:row r="34" ht="58" customHeight="1">
      <x:c r="A34" s="1327" t="str">
        <x:v>P-03 · Definir alcance</x:v>
      </x:c>
      <x:c r="B34" s="1327" t="str">
        <x:v>¿Qué unidades de trabajo deben ejecutarse?</x:v>
      </x:c>
      <x:c r="C34" s="1327" t="str">
        <x:v>UnidadPlanificada</x:v>
      </x:c>
      <x:c r="D34" s="1327" t="str">
        <x:v>servicio · tarea · ubicación · resultado esperado</x:v>
      </x:c>
      <x:c r="E34" s="1327" t="str">
        <x:v>TipoParte previsto · permisos/requisitos</x:v>
      </x:c>
      <x:c r="F34" s="1327" t="str">
        <x:v>P1 contexto</x:v>
      </x:c>
      <x:c r="G34" s="1277"/>
      <x:c r="H34" s="1277"/>
      <x:c r="I34" s="1277"/>
      <x:c r="J34" s="1277"/>
      <x:c r="K34" s="1277"/>
      <x:c r="L34" s="1277"/>
      <x:c r="M34" s="1277"/>
      <x:c r="N34" s="1277"/>
    </x:row>
    <x:row r="35" ht="58" customHeight="1">
      <x:c r="A35" s="1327" t="str">
        <x:v>P-04 · Dimensionar capacidad</x:v>
      </x:c>
      <x:c r="B35" s="1327" t="str">
        <x:v>¿Qué capacidades hacen falta, sin nominar aún de más?</x:v>
      </x:c>
      <x:c r="C35" s="1327" t="str">
        <x:v>RequerimientoRecurso / Competencia</x:v>
      </x:c>
      <x:c r="D35" s="1327" t="str">
        <x:v>tipo/cantidad recursos · roles/competencias</x:v>
      </x:c>
      <x:c r="E35" s="1327" t="str">
        <x:v>elegibilidad de recursos/personas</x:v>
      </x:c>
      <x:c r="F35" s="1327" t="str">
        <x:v>Demanda de capacidad completa</x:v>
      </x:c>
      <x:c r="G35" s="1277"/>
      <x:c r="H35" s="1277"/>
      <x:c r="I35" s="1277"/>
      <x:c r="J35" s="1277"/>
      <x:c r="K35" s="1277"/>
      <x:c r="L35" s="1277"/>
      <x:c r="M35" s="1277"/>
      <x:c r="N35" s="1277"/>
    </x:row>
    <x:row r="36" ht="58" customHeight="1">
      <x:c r="A36" s="1327" t="str">
        <x:v>P-05 · Programar</x:v>
      </x:c>
      <x:c r="B36" s="1327" t="str">
        <x:v>¿Cuándo y en qué secuencia conviene ejecutar?</x:v>
      </x:c>
      <x:c r="C36" s="1327" t="str">
        <x:v>AsignacionPlanificada</x:v>
      </x:c>
      <x:c r="D36" s="1327" t="str">
        <x:v>fecha/turno/ventana · prioridad · duración estimada</x:v>
      </x:c>
      <x:c r="E36" s="1327" t="str">
        <x:v>conflictos de agenda · orden de ruta</x:v>
      </x:c>
      <x:c r="F36" s="1327" t="str">
        <x:v>Asignación programada</x:v>
      </x:c>
      <x:c r="G36" s="1277"/>
      <x:c r="H36" s="1277"/>
      <x:c r="I36" s="1277"/>
      <x:c r="J36" s="1277"/>
      <x:c r="K36" s="1277"/>
      <x:c r="L36" s="1277"/>
      <x:c r="M36" s="1277"/>
      <x:c r="N36" s="1277"/>
    </x:row>
    <x:row r="37" ht="58" customHeight="1">
      <x:c r="A37" s="1327" t="str">
        <x:v>P-06 · Resolver readiness</x:v>
      </x:c>
      <x:c r="B37" s="1327" t="str">
        <x:v>¿Lo programado puede salir al campo de manera confiable?</x:v>
      </x:c>
      <x:c r="C37" s="1327" t="str">
        <x:v>EvaluacionPlanificacion</x:v>
      </x:c>
      <x:c r="D37" s="1327" t="str">
        <x:v>recursos/personas nominados cuando aplique · habilitaciones · prerrequisitos</x:v>
      </x:c>
      <x:c r="E37" s="1327" t="str">
        <x:v>alertas · bloqueos · overrides</x:v>
      </x:c>
      <x:c r="F37" s="1327" t="str">
        <x:v>P2/P3 readiness</x:v>
      </x:c>
      <x:c r="G37" s="1277"/>
      <x:c r="H37" s="1277"/>
      <x:c r="I37" s="1277"/>
      <x:c r="J37" s="1277"/>
      <x:c r="K37" s="1277"/>
      <x:c r="L37" s="1277"/>
      <x:c r="M37" s="1277"/>
      <x:c r="N37" s="1277"/>
    </x:row>
    <x:row r="38" ht="58" customHeight="1">
      <x:c r="A38" s="1327" t="str">
        <x:v>P-07 · Confirmar/Despachar</x:v>
      </x:c>
      <x:c r="B38" s="1327" t="str">
        <x:v>¿Qué snapshot exacto recibe Ejecución?</x:v>
      </x:c>
      <x:c r="C38" s="1327" t="str">
        <x:v>SnapshotPlanConfirmado</x:v>
      </x:c>
      <x:c r="D38" s="1327" t="str">
        <x:v>payload validado + versión</x:v>
      </x:c>
      <x:c r="E38" s="1327" t="str">
        <x:v>Interface A</x:v>
      </x:c>
      <x:c r="F38" s="1327" t="str">
        <x:v>P4 despacho</x:v>
      </x:c>
      <x:c r="G38" s="1277"/>
      <x:c r="H38" s="1277"/>
      <x:c r="I38" s="1277"/>
      <x:c r="J38" s="1277"/>
      <x:c r="K38" s="1277"/>
      <x:c r="L38" s="1277"/>
      <x:c r="M38" s="1277"/>
      <x:c r="N38" s="1277"/>
    </x:row>
    <x:row r="39">
      <x:c r="A39" s="1277"/>
      <x:c r="B39" s="1277"/>
      <x:c r="C39" s="1277"/>
      <x:c r="D39" s="1277"/>
      <x:c r="E39" s="1277"/>
      <x:c r="F39" s="1277"/>
      <x:c r="G39" s="1277"/>
      <x:c r="H39" s="1277"/>
      <x:c r="I39" s="1277"/>
      <x:c r="J39" s="1277"/>
      <x:c r="K39" s="1277"/>
      <x:c r="L39" s="1277"/>
      <x:c r="M39" s="1277"/>
      <x:c r="N39" s="1277"/>
    </x:row>
    <x:row r="40">
      <x:c r="A40" s="1654" t="str">
        <x:v>04 — RECURSOS · PLANIFICAR PRIMERO CAPACIDAD, NOMINAR DESPUÉS CUANDO SEA POSIBLE</x:v>
      </x:c>
      <x:c r="B40" s="1654"/>
      <x:c r="C40" s="1654"/>
      <x:c r="D40" s="1654"/>
      <x:c r="E40" s="1654"/>
      <x:c r="F40" s="1654"/>
      <x:c r="G40" s="1654"/>
      <x:c r="H40" s="1654"/>
      <x:c r="I40" s="1654"/>
      <x:c r="J40" s="1654"/>
      <x:c r="K40" s="1654"/>
      <x:c r="L40" s="1654"/>
      <x:c r="M40" s="1654"/>
      <x:c r="N40" s="1654"/>
    </x:row>
    <x:row r="41">
      <x:c r="A41" s="1277"/>
      <x:c r="B41" s="1277"/>
      <x:c r="C41" s="1277"/>
      <x:c r="D41" s="1277"/>
      <x:c r="E41" s="1277"/>
      <x:c r="F41" s="1277"/>
      <x:c r="G41" s="1277"/>
      <x:c r="H41" s="1277"/>
      <x:c r="I41" s="1277"/>
      <x:c r="J41" s="1277"/>
      <x:c r="K41" s="1277"/>
      <x:c r="L41" s="1277"/>
      <x:c r="M41" s="1277"/>
      <x:c r="N41" s="1277"/>
    </x:row>
    <x:row r="42">
      <x:c r="A42" s="1640" t="str">
        <x:v>ANTI-PATRÓN
Asignar demasiado temprano 'Juan + Camión 803' a todo trabajo convierte cualquier ausencia, mantenimiento o urgencia en replanificación masiva. El sistema debe distinguir necesidad de capacidad de asignación nominal.</x:v>
      </x:c>
      <x:c r="B42" s="1640"/>
      <x:c r="C42" s="1640"/>
      <x:c r="D42" s="1640"/>
      <x:c r="E42" s="1640"/>
      <x:c r="F42" s="1640"/>
      <x:c r="G42" s="1277"/>
      <x:c r="H42" s="1641" t="str">
        <x:v>PATRÓN PROPUESTO
1. Requerimiento: 1 chofer habilitado + 1 camión de clase X + 1 semi compatible.
2. Motor busca elegibles/disponibles.
3. Planificador nomina cuando la operación lo exige.
4. Al despachar se congela el snapshot.
5. En campo, cualquier sustitución se revalida y queda trazada.</x:v>
      </x:c>
      <x:c r="I42" s="1641"/>
      <x:c r="J42" s="1641"/>
      <x:c r="K42" s="1641"/>
      <x:c r="L42" s="1641"/>
      <x:c r="M42" s="1641"/>
      <x:c r="N42" s="1641"/>
    </x:row>
    <x:row r="43">
      <x:c r="A43" s="1640"/>
      <x:c r="B43" s="1640"/>
      <x:c r="C43" s="1640"/>
      <x:c r="D43" s="1640"/>
      <x:c r="E43" s="1640"/>
      <x:c r="F43" s="1640"/>
      <x:c r="G43" s="1277"/>
      <x:c r="H43" s="1641"/>
      <x:c r="I43" s="1641"/>
      <x:c r="J43" s="1641"/>
      <x:c r="K43" s="1641"/>
      <x:c r="L43" s="1641"/>
      <x:c r="M43" s="1641"/>
      <x:c r="N43" s="1641"/>
    </x:row>
    <x:row r="44">
      <x:c r="A44" s="1640"/>
      <x:c r="B44" s="1640"/>
      <x:c r="C44" s="1640"/>
      <x:c r="D44" s="1640"/>
      <x:c r="E44" s="1640"/>
      <x:c r="F44" s="1640"/>
      <x:c r="G44" s="1277"/>
      <x:c r="H44" s="1641"/>
      <x:c r="I44" s="1641"/>
      <x:c r="J44" s="1641"/>
      <x:c r="K44" s="1641"/>
      <x:c r="L44" s="1641"/>
      <x:c r="M44" s="1641"/>
      <x:c r="N44" s="1641"/>
    </x:row>
    <x:row r="45">
      <x:c r="A45" s="1640"/>
      <x:c r="B45" s="1640"/>
      <x:c r="C45" s="1640"/>
      <x:c r="D45" s="1640"/>
      <x:c r="E45" s="1640"/>
      <x:c r="F45" s="1640"/>
      <x:c r="G45" s="1277"/>
      <x:c r="H45" s="1641"/>
      <x:c r="I45" s="1641"/>
      <x:c r="J45" s="1641"/>
      <x:c r="K45" s="1641"/>
      <x:c r="L45" s="1641"/>
      <x:c r="M45" s="1641"/>
      <x:c r="N45" s="1641"/>
    </x:row>
    <x:row r="46">
      <x:c r="A46" s="1640"/>
      <x:c r="B46" s="1640"/>
      <x:c r="C46" s="1640"/>
      <x:c r="D46" s="1640"/>
      <x:c r="E46" s="1640"/>
      <x:c r="F46" s="1640"/>
      <x:c r="G46" s="1277"/>
      <x:c r="H46" s="1641"/>
      <x:c r="I46" s="1641"/>
      <x:c r="J46" s="1641"/>
      <x:c r="K46" s="1641"/>
      <x:c r="L46" s="1641"/>
      <x:c r="M46" s="1641"/>
      <x:c r="N46" s="1641"/>
    </x:row>
    <x:row r="47">
      <x:c r="A47" s="1640"/>
      <x:c r="B47" s="1640"/>
      <x:c r="C47" s="1640"/>
      <x:c r="D47" s="1640"/>
      <x:c r="E47" s="1640"/>
      <x:c r="F47" s="1640"/>
      <x:c r="G47" s="1277"/>
      <x:c r="H47" s="1641"/>
      <x:c r="I47" s="1641"/>
      <x:c r="J47" s="1641"/>
      <x:c r="K47" s="1641"/>
      <x:c r="L47" s="1641"/>
      <x:c r="M47" s="1641"/>
      <x:c r="N47" s="1641"/>
    </x:row>
    <x:row r="48">
      <x:c r="A48" s="1277"/>
      <x:c r="B48" s="1277"/>
      <x:c r="C48" s="1277"/>
      <x:c r="D48" s="1277"/>
      <x:c r="E48" s="1277"/>
      <x:c r="F48" s="1277"/>
      <x:c r="G48" s="1277"/>
      <x:c r="H48" s="1277"/>
      <x:c r="I48" s="1277"/>
      <x:c r="J48" s="1277"/>
      <x:c r="K48" s="1277"/>
      <x:c r="L48" s="1277"/>
      <x:c r="M48" s="1277"/>
      <x:c r="N48" s="1277"/>
    </x:row>
    <x:row r="49">
      <x:c r="A49" s="1639" t="str">
        <x:v>Nivel</x:v>
      </x:c>
      <x:c r="B49" s="1639" t="str">
        <x:v>Ejemplo</x:v>
      </x:c>
      <x:c r="C49" s="1639" t="str">
        <x:v>¿Persona/recurso concreto?</x:v>
      </x:c>
      <x:c r="D49" s="1639" t="str">
        <x:v>Cuándo</x:v>
      </x:c>
      <x:c r="E49" s="1639" t="str">
        <x:v>Beneficio</x:v>
      </x:c>
      <x:c r="F49" s="1639" t="str">
        <x:v>Riesgo si se confunde</x:v>
      </x:c>
      <x:c r="G49" s="1277"/>
      <x:c r="H49" s="1277"/>
      <x:c r="I49" s="1277"/>
      <x:c r="J49" s="1277"/>
      <x:c r="K49" s="1277"/>
      <x:c r="L49" s="1277"/>
      <x:c r="M49" s="1277"/>
      <x:c r="N49" s="1277"/>
    </x:row>
    <x:row r="50" ht="44" customHeight="1">
      <x:c r="A50" s="1327" t="str">
        <x:v>Requerimiento</x:v>
      </x:c>
      <x:c r="B50" s="1327" t="str">
        <x:v>1 retroexcavadora apta</x:v>
      </x:c>
      <x:c r="C50" s="1327" t="str">
        <x:v>No</x:v>
      </x:c>
      <x:c r="D50" s="1327" t="str">
        <x:v>Al definir alcance</x:v>
      </x:c>
      <x:c r="E50" s="1327" t="str">
        <x:v>Flexibilidad</x:v>
      </x:c>
      <x:c r="F50" s="1327" t="str">
        <x:v>No saber todavía qué unidad irá</x:v>
      </x:c>
      <x:c r="G50" s="1277"/>
      <x:c r="H50" s="1277"/>
      <x:c r="I50" s="1277"/>
      <x:c r="J50" s="1277"/>
      <x:c r="K50" s="1277"/>
      <x:c r="L50" s="1277"/>
      <x:c r="M50" s="1277"/>
      <x:c r="N50" s="1277"/>
    </x:row>
    <x:row r="51" ht="44" customHeight="1">
      <x:c r="A51" s="1327" t="str">
        <x:v>Candidato elegible</x:v>
      </x:c>
      <x:c r="B51" s="1327" t="str">
        <x:v>Retro 803 / 805</x:v>
      </x:c>
      <x:c r="C51" s="1327" t="str">
        <x:v>Opciones</x:v>
      </x:c>
      <x:c r="D51" s="1327" t="str">
        <x:v>Programación</x:v>
      </x:c>
      <x:c r="E51" s="1327" t="str">
        <x:v>Control disponibilidad/habilitación</x:v>
      </x:c>
      <x:c r="F51" s="1327" t="str">
        <x:v>Confundir opción con compromiso</x:v>
      </x:c>
      <x:c r="G51" s="1277"/>
      <x:c r="H51" s="1277"/>
      <x:c r="I51" s="1277"/>
      <x:c r="J51" s="1277"/>
      <x:c r="K51" s="1277"/>
      <x:c r="L51" s="1277"/>
      <x:c r="M51" s="1277"/>
      <x:c r="N51" s="1277"/>
    </x:row>
    <x:row r="52" ht="44" customHeight="1">
      <x:c r="A52" s="1327" t="str">
        <x:v>Asignado</x:v>
      </x:c>
      <x:c r="B52" s="1327" t="str">
        <x:v>Retro 803</x:v>
      </x:c>
      <x:c r="C52" s="1327" t="str">
        <x:v>Sí</x:v>
      </x:c>
      <x:c r="D52" s="1327" t="str">
        <x:v>Readiness / despacho</x:v>
      </x:c>
      <x:c r="E52" s="1327" t="str">
        <x:v>Responsabilidad y pre-check</x:v>
      </x:c>
      <x:c r="F52" s="1327" t="str">
        <x:v>Replanificar si falla</x:v>
      </x:c>
      <x:c r="G52" s="1277"/>
      <x:c r="H52" s="1277"/>
      <x:c r="I52" s="1277"/>
      <x:c r="J52" s="1277"/>
      <x:c r="K52" s="1277"/>
      <x:c r="L52" s="1277"/>
      <x:c r="M52" s="1277"/>
      <x:c r="N52" s="1277"/>
    </x:row>
    <x:row r="53" ht="44" customHeight="1">
      <x:c r="A53" s="1327" t="str">
        <x:v>Real</x:v>
      </x:c>
      <x:c r="B53" s="1327" t="str">
        <x:v>Retro 805</x:v>
      </x:c>
      <x:c r="C53" s="1327" t="str">
        <x:v>Sí</x:v>
      </x:c>
      <x:c r="D53" s="1327" t="str">
        <x:v>Ejecución</x:v>
      </x:c>
      <x:c r="E53" s="1327" t="str">
        <x:v>Verdad operacional</x:v>
      </x:c>
      <x:c r="F53" s="1327" t="str">
        <x:v>Nunca sobrescribir la asignada</x:v>
      </x:c>
      <x:c r="G53" s="1277"/>
      <x:c r="H53" s="1277"/>
      <x:c r="I53" s="1277"/>
      <x:c r="J53" s="1277"/>
      <x:c r="K53" s="1277"/>
      <x:c r="L53" s="1277"/>
      <x:c r="M53" s="1277"/>
      <x:c r="N53" s="1277"/>
    </x:row>
    <x:row r="54">
      <x:c r="A54" s="1277"/>
      <x:c r="B54" s="1277"/>
      <x:c r="C54" s="1277"/>
      <x:c r="D54" s="1277"/>
      <x:c r="E54" s="1277"/>
      <x:c r="F54" s="1277"/>
      <x:c r="G54" s="1277"/>
      <x:c r="H54" s="1277"/>
      <x:c r="I54" s="1277"/>
      <x:c r="J54" s="1277"/>
      <x:c r="K54" s="1277"/>
      <x:c r="L54" s="1277"/>
      <x:c r="M54" s="1277"/>
      <x:c r="N54" s="1277"/>
    </x:row>
    <x:row r="55">
      <x:c r="A55" s="1654" t="str">
        <x:v>05 — READINESS · EL TRABAJO NO ESTÁ LISTO SOLO PORQUE TIENE FECHA</x:v>
      </x:c>
      <x:c r="B55" s="1654"/>
      <x:c r="C55" s="1654"/>
      <x:c r="D55" s="1654"/>
      <x:c r="E55" s="1654"/>
      <x:c r="F55" s="1654"/>
      <x:c r="G55" s="1654"/>
      <x:c r="H55" s="2601" t="str">
        <x:v>READINESS ES TEMPORAL, NO UN CHECKBOX
Evaluación = estado + causas + evaluado_at + valido_hasta_at.
Dependencias observadas: documentos, disponibilidad, personas/recursos nominados, ventana, alcance, contrato.
Si una dependencia cambia:
EventoInvalidacionReadiness → NO_READY / REEVALUAR → alerta al supervisor.
Así una asignación confirmada puede perder readiness sin borrar la versión planificada.</x:v>
      </x:c>
      <x:c r="I55" s="2601"/>
      <x:c r="J55" s="2601"/>
      <x:c r="K55" s="2601"/>
      <x:c r="L55" s="2601"/>
      <x:c r="M55" s="2601"/>
      <x:c r="N55" s="2601"/>
    </x:row>
    <x:row r="56">
      <x:c r="A56" s="1639" t="str">
        <x:v>Dimensión</x:v>
      </x:c>
      <x:c r="B56" s="1639" t="str">
        <x:v>Qué debe validar</x:v>
      </x:c>
      <x:c r="C56" s="1639" t="str">
        <x:v>Fuente</x:v>
      </x:c>
      <x:c r="D56" s="1639" t="str">
        <x:v>Severidad posible</x:v>
      </x:c>
      <x:c r="E56" s="1639" t="str">
        <x:v>Resultado</x:v>
      </x:c>
      <x:c r="F56" s="1639" t="str">
        <x:v>Observación</x:v>
      </x:c>
      <x:c r="G56" s="1277"/>
      <x:c r="H56" s="2602"/>
      <x:c r="I56" s="2602"/>
      <x:c r="J56" s="2602"/>
      <x:c r="K56" s="2602"/>
      <x:c r="L56" s="2602"/>
      <x:c r="M56" s="2602"/>
      <x:c r="N56" s="2602"/>
    </x:row>
    <x:row r="57" ht="50" customHeight="1">
      <x:c r="A57" s="1327" t="str">
        <x:v>Contractual</x:v>
      </x:c>
      <x:c r="B57" s="1327" t="str">
        <x:v>ContratoServicio/contexto válido para fecha/servicio</x:v>
      </x:c>
      <x:c r="C57" s="1327" t="str">
        <x:v>Capa contractual</x:v>
      </x:c>
      <x:c r="D57" s="1327" t="str">
        <x:v>Bloqueo</x:v>
      </x:c>
      <x:c r="E57" s="1327" t="str">
        <x:v>OK / ambiguo / inválido</x:v>
      </x:c>
      <x:c r="F57" s="1327" t="str">
        <x:v>No inventar ítem si no existe.</x:v>
      </x:c>
      <x:c r="G57" s="1277"/>
      <x:c r="H57" s="2602"/>
      <x:c r="I57" s="2602"/>
      <x:c r="J57" s="2602"/>
      <x:c r="K57" s="2602"/>
      <x:c r="L57" s="2602"/>
      <x:c r="M57" s="2602"/>
      <x:c r="N57" s="2602"/>
    </x:row>
    <x:row r="58" ht="50" customHeight="1">
      <x:c r="A58" s="1327" t="str">
        <x:v>Alcance</x:v>
      </x:c>
      <x:c r="B58" s="1327" t="str">
        <x:v>qué+dónde+cuándo suficientemente definidos</x:v>
      </x:c>
      <x:c r="C58" s="1327" t="str">
        <x:v>Planificación</x:v>
      </x:c>
      <x:c r="D58" s="1327" t="str">
        <x:v>Bloqueo</x:v>
      </x:c>
      <x:c r="E58" s="1327" t="str">
        <x:v>Completo / incompleto</x:v>
      </x:c>
      <x:c r="F58" s="1327" t="str">
        <x:v>Evita mandar 'hacer algo en tal zona' sin precisión.</x:v>
      </x:c>
      <x:c r="G58" s="1277"/>
      <x:c r="H58" s="2602"/>
      <x:c r="I58" s="2602"/>
      <x:c r="J58" s="2602"/>
      <x:c r="K58" s="2602"/>
      <x:c r="L58" s="2602"/>
      <x:c r="M58" s="2602"/>
      <x:c r="N58" s="2602"/>
    </x:row>
    <x:row r="59" ht="50" customHeight="1">
      <x:c r="A59" s="1327" t="str">
        <x:v>Capacidad</x:v>
      </x:c>
      <x:c r="B59" s="1327" t="str">
        <x:v>tipos/cantidades necesarias cubiertas</x:v>
      </x:c>
      <x:c r="C59" s="1327" t="str">
        <x:v>Planificación/flota/RRHH</x:v>
      </x:c>
      <x:c r="D59" s="1327" t="str">
        <x:v>Bloqueo/alerta</x:v>
      </x:c>
      <x:c r="E59" s="1327" t="str">
        <x:v>Cubierto / parcial</x:v>
      </x:c>
      <x:c r="F59" s="1327" t="str">
        <x:v>Puede planificarse por capacidad.</x:v>
      </x:c>
      <x:c r="G59" s="1277"/>
      <x:c r="H59" s="2602"/>
      <x:c r="I59" s="2602"/>
      <x:c r="J59" s="2602"/>
      <x:c r="K59" s="2602"/>
      <x:c r="L59" s="2602"/>
      <x:c r="M59" s="2602"/>
      <x:c r="N59" s="2602"/>
    </x:row>
    <x:row r="60" ht="50" customHeight="1">
      <x:c r="A60" s="1327" t="str">
        <x:v>Disponibilidad técnica/operativa</x:v>
      </x:c>
      <x:c r="B60" s="1327" t="str">
        <x:v>persona/recurso libre y técnicamente apto para la ventana</x:v>
      </x:c>
      <x:c r="C60" s="1327" t="str">
        <x:v>DisponibilidadRecurso + agenda / maestro</x:v>
      </x:c>
      <x:c r="D60" s="1327" t="str">
        <x:v>Bloqueo/alerta</x:v>
      </x:c>
      <x:c r="E60" s="1327" t="str">
        <x:v>Disponible / reservado / asignado / mantenimiento / fuera de servicio / conflicto</x:v>
      </x:c>
      <x:c r="F60" s="1327" t="str">
        <x:v>No reemplaza habilitación documental; es otro rail.</x:v>
      </x:c>
      <x:c r="G60" s="1277"/>
      <x:c r="H60" s="2602"/>
      <x:c r="I60" s="2602"/>
      <x:c r="J60" s="2602"/>
      <x:c r="K60" s="2602"/>
      <x:c r="L60" s="2602"/>
      <x:c r="M60" s="2602"/>
      <x:c r="N60" s="2602"/>
    </x:row>
    <x:row r="61" ht="50" customHeight="1">
      <x:c r="A61" s="1327" t="str">
        <x:v>Documental</x:v>
      </x:c>
      <x:c r="B61" s="1327" t="str">
        <x:v>habilitaciones vigentes a fecha prevista</x:v>
      </x:c>
      <x:c r="C61" s="1327" t="str">
        <x:v>Control documental</x:v>
      </x:c>
      <x:c r="D61" s="1327" t="str">
        <x:v>Bloqueo/override/aviso</x:v>
      </x:c>
      <x:c r="E61" s="1327" t="str">
        <x:v>Vigente / vence / vencido</x:v>
      </x:c>
      <x:c r="F61" s="1327" t="str">
        <x:v>Ya es requisito central.</x:v>
      </x:c>
      <x:c r="G61" s="1277"/>
      <x:c r="H61" s="2602"/>
      <x:c r="I61" s="2602"/>
      <x:c r="J61" s="2602"/>
      <x:c r="K61" s="2602"/>
      <x:c r="L61" s="2602"/>
      <x:c r="M61" s="2602"/>
      <x:c r="N61" s="2602"/>
    </x:row>
    <x:row r="62" ht="50" customHeight="1">
      <x:c r="A62" s="1327" t="str">
        <x:v>Habilita / prerrequisitos</x:v>
      </x:c>
      <x:c r="B62" s="1327" t="str">
        <x:v>permisos esperables, acceso, controles previos</x:v>
      </x:c>
      <x:c r="C62" s="1327" t="str">
        <x:v>Servicio/Habilita</x:v>
      </x:c>
      <x:c r="D62" s="1327" t="str">
        <x:v>Bloqueo/aviso</x:v>
      </x:c>
      <x:c r="E62" s="1327" t="str">
        <x:v>Preparado / pendiente</x:v>
      </x:c>
      <x:c r="F62" s="1327" t="str">
        <x:v>Permiso real se valida al iniciar.</x:v>
      </x:c>
      <x:c r="G62" s="1277"/>
      <x:c r="H62" s="2602"/>
      <x:c r="I62" s="2602"/>
      <x:c r="J62" s="2602"/>
      <x:c r="K62" s="2602"/>
      <x:c r="L62" s="2602"/>
      <x:c r="M62" s="2602"/>
      <x:c r="N62" s="2602"/>
    </x:row>
    <x:row r="63" ht="50" customHeight="1">
      <x:c r="A63" s="1327" t="str">
        <x:v>Materiales / insumos</x:v>
      </x:c>
      <x:c r="B63" s="1327" t="str">
        <x:v>si el servicio los requiere, disponibilidad mínima</x:v>
      </x:c>
      <x:c r="C63" s="1327" t="str">
        <x:v>Planificación/stock futuro</x:v>
      </x:c>
      <x:c r="D63" s="1327" t="str">
        <x:v>Bloqueo/alerta</x:v>
      </x:c>
      <x:c r="E63" s="1327" t="str">
        <x:v>Disponible / faltante</x:v>
      </x:c>
      <x:c r="F63" s="1327" t="str">
        <x:v>Benchmark/diseño; validar alcance VDS.</x:v>
      </x:c>
      <x:c r="G63" s="1277"/>
      <x:c r="H63" s="2602"/>
      <x:c r="I63" s="2602"/>
      <x:c r="J63" s="2602"/>
      <x:c r="K63" s="2602"/>
      <x:c r="L63" s="2602"/>
      <x:c r="M63" s="2602"/>
      <x:c r="N63" s="2602"/>
    </x:row>
    <x:row r="64" ht="50" customHeight="1">
      <x:c r="A64" s="1327" t="str">
        <x:v>Cliente / coordinación</x:v>
      </x:c>
      <x:c r="B64" s="1327" t="str">
        <x:v>ventana, acceso o confirmación cuando aplique</x:v>
      </x:c>
      <x:c r="C64" s="1327" t="str">
        <x:v>Cliente / supervisor</x:v>
      </x:c>
      <x:c r="D64" s="1327" t="str">
        <x:v>Alerta/bloqueo</x:v>
      </x:c>
      <x:c r="E64" s="1327" t="str">
        <x:v>Confirmado / pendiente</x:v>
      </x:c>
      <x:c r="F64" s="1327" t="str">
        <x:v>No universal.</x:v>
      </x:c>
      <x:c r="G64" s="1277"/>
      <x:c r="H64" s="2602"/>
      <x:c r="I64" s="2602"/>
      <x:c r="J64" s="2602"/>
      <x:c r="K64" s="2602"/>
      <x:c r="L64" s="2602"/>
      <x:c r="M64" s="2602"/>
      <x:c r="N64" s="2602"/>
    </x:row>
    <x:row r="65">
      <x:c r="A65" s="1277"/>
      <x:c r="B65" s="1277"/>
      <x:c r="C65" s="1277"/>
      <x:c r="D65" s="1277"/>
      <x:c r="E65" s="1277"/>
      <x:c r="F65" s="1277"/>
      <x:c r="G65" s="1277"/>
      <x:c r="H65" s="1277"/>
      <x:c r="I65" s="1277"/>
      <x:c r="J65" s="1277"/>
      <x:c r="K65" s="1277"/>
      <x:c r="L65" s="1277"/>
      <x:c r="M65" s="1277"/>
      <x:c r="N65" s="1277"/>
    </x:row>
    <x:row r="66">
      <x:c r="A66" s="1654" t="str">
        <x:v>06 — GATES + MÁQUINA DE ESTADOS · CONTROLAR MADUREZ, NO SOLO FECHAS</x:v>
      </x:c>
      <x:c r="B66" s="1654"/>
      <x:c r="C66" s="1654"/>
      <x:c r="D66" s="1654"/>
      <x:c r="E66" s="1654"/>
      <x:c r="F66" s="1654"/>
      <x:c r="G66" s="1654"/>
      <x:c r="H66" s="1654"/>
      <x:c r="I66" s="1654"/>
      <x:c r="J66" s="1654"/>
      <x:c r="K66" s="1654"/>
      <x:c r="L66" s="1654"/>
      <x:c r="M66" s="1654"/>
      <x:c r="N66" s="1654"/>
    </x:row>
    <x:row r="67">
      <x:c r="A67" s="1277"/>
      <x:c r="B67" s="1277"/>
      <x:c r="C67" s="1277"/>
      <x:c r="D67" s="1277"/>
      <x:c r="E67" s="1277"/>
      <x:c r="F67" s="1277"/>
      <x:c r="G67" s="1277"/>
      <x:c r="H67" s="1277"/>
      <x:c r="I67" s="1277"/>
      <x:c r="J67" s="1277"/>
      <x:c r="K67" s="1277"/>
      <x:c r="L67" s="1277"/>
      <x:c r="M67" s="1277"/>
      <x:c r="N67" s="1277"/>
    </x:row>
    <x:row r="68">
      <x:c r="A68" s="1622" t="str">
        <x:v>P0
CONTRACTUAL
contexto válido</x:v>
      </x:c>
      <x:c r="B68" s="1624"/>
      <x:c r="C68" s="1277"/>
      <x:c r="D68" s="1622" t="str">
        <x:v>P1
ALCANCE
qué · dónde · cuándo</x:v>
      </x:c>
      <x:c r="E68" s="1624"/>
      <x:c r="F68" s="1277"/>
      <x:c r="G68" s="1622" t="str">
        <x:v>P2
CAPACIDAD
recursos / perfiles</x:v>
      </x:c>
      <x:c r="H68" s="1624"/>
      <x:c r="I68" s="1277"/>
      <x:c r="J68" s="1622" t="str">
        <x:v>P3
READINESS
documental + prereq</x:v>
      </x:c>
      <x:c r="K68" s="1624"/>
      <x:c r="L68" s="1277"/>
      <x:c r="M68" s="1622" t="str">
        <x:v>P4
DESPACHO
snapshot + versión</x:v>
      </x:c>
      <x:c r="N68" s="1624"/>
    </x:row>
    <x:row r="69">
      <x:c r="A69" s="1628"/>
      <x:c r="B69" s="1630"/>
      <x:c r="C69" s="1277"/>
      <x:c r="D69" s="1628"/>
      <x:c r="E69" s="1630"/>
      <x:c r="F69" s="1277"/>
      <x:c r="G69" s="1628"/>
      <x:c r="H69" s="1630"/>
      <x:c r="I69" s="1277"/>
      <x:c r="J69" s="1628"/>
      <x:c r="K69" s="1630"/>
      <x:c r="L69" s="1277"/>
      <x:c r="M69" s="1628"/>
      <x:c r="N69" s="1630"/>
    </x:row>
    <x:row r="70">
      <x:c r="A70" s="1628"/>
      <x:c r="B70" s="1630"/>
      <x:c r="C70" s="1297" t="str">
        <x:v>→</x:v>
      </x:c>
      <x:c r="D70" s="1628"/>
      <x:c r="E70" s="1630"/>
      <x:c r="F70" s="1297" t="str">
        <x:v>→</x:v>
      </x:c>
      <x:c r="G70" s="1628"/>
      <x:c r="H70" s="1630"/>
      <x:c r="I70" s="1297" t="str">
        <x:v>→</x:v>
      </x:c>
      <x:c r="J70" s="1628"/>
      <x:c r="K70" s="1630"/>
      <x:c r="L70" s="1297" t="str">
        <x:v>→</x:v>
      </x:c>
      <x:c r="M70" s="1628"/>
      <x:c r="N70" s="1630"/>
    </x:row>
    <x:row r="71">
      <x:c r="A71" s="1628"/>
      <x:c r="B71" s="1630"/>
      <x:c r="C71" s="1277"/>
      <x:c r="D71" s="1628"/>
      <x:c r="E71" s="1630"/>
      <x:c r="F71" s="1277"/>
      <x:c r="G71" s="1628"/>
      <x:c r="H71" s="1630"/>
      <x:c r="I71" s="1277"/>
      <x:c r="J71" s="1628"/>
      <x:c r="K71" s="1630"/>
      <x:c r="L71" s="1277"/>
      <x:c r="M71" s="1628"/>
      <x:c r="N71" s="1630"/>
    </x:row>
    <x:row r="72">
      <x:c r="A72" s="1634"/>
      <x:c r="B72" s="1636"/>
      <x:c r="C72" s="1277"/>
      <x:c r="D72" s="1634"/>
      <x:c r="E72" s="1636"/>
      <x:c r="F72" s="1277"/>
      <x:c r="G72" s="1634"/>
      <x:c r="H72" s="1636"/>
      <x:c r="I72" s="1277"/>
      <x:c r="J72" s="1634"/>
      <x:c r="K72" s="1636"/>
      <x:c r="L72" s="1277"/>
      <x:c r="M72" s="1634"/>
      <x:c r="N72" s="1636"/>
    </x:row>
    <x:row r="73">
      <x:c r="A73" s="1277"/>
      <x:c r="B73" s="1277"/>
      <x:c r="C73" s="1277"/>
      <x:c r="D73" s="1277"/>
      <x:c r="E73" s="1277"/>
      <x:c r="F73" s="1277"/>
      <x:c r="G73" s="1277"/>
      <x:c r="H73" s="1277"/>
      <x:c r="I73" s="1277"/>
      <x:c r="J73" s="1277"/>
      <x:c r="K73" s="1277"/>
      <x:c r="L73" s="1277"/>
      <x:c r="M73" s="1277"/>
      <x:c r="N73" s="1277"/>
    </x:row>
    <x:row r="74">
      <x:c r="A74" s="1277"/>
      <x:c r="B74" s="1277"/>
      <x:c r="C74" s="1277"/>
      <x:c r="D74" s="1277"/>
      <x:c r="E74" s="1277"/>
      <x:c r="F74" s="1277"/>
      <x:c r="G74" s="1277"/>
      <x:c r="H74" s="1277"/>
      <x:c r="I74" s="1277"/>
      <x:c r="J74" s="1277"/>
      <x:c r="K74" s="1277"/>
      <x:c r="L74" s="1277"/>
      <x:c r="M74" s="1277"/>
      <x:c r="N74" s="1277"/>
    </x:row>
    <x:row r="75">
      <x:c r="A75" s="1642" t="str">
        <x:v>MÁQUINA PROPUESTA · A VALIDAR CON PLANIFICACIÓN</x:v>
      </x:c>
      <x:c r="B75" s="1642"/>
      <x:c r="C75" s="1642"/>
      <x:c r="D75" s="1642"/>
      <x:c r="E75" s="1642"/>
      <x:c r="F75" s="1642"/>
      <x:c r="G75" s="1642"/>
      <x:c r="H75" s="1642"/>
      <x:c r="I75" s="1642"/>
      <x:c r="J75" s="1642"/>
      <x:c r="K75" s="1642"/>
      <x:c r="L75" s="1642"/>
      <x:c r="M75" s="1642"/>
      <x:c r="N75" s="1642"/>
    </x:row>
    <x:row r="76">
      <x:c r="A76" s="1277"/>
      <x:c r="B76" s="1277"/>
      <x:c r="C76" s="1277"/>
      <x:c r="D76" s="1277"/>
      <x:c r="E76" s="1277"/>
      <x:c r="F76" s="1277"/>
      <x:c r="G76" s="1277"/>
      <x:c r="H76" s="1277"/>
      <x:c r="I76" s="1277"/>
      <x:c r="J76" s="1277"/>
      <x:c r="K76" s="1277"/>
      <x:c r="L76" s="1277"/>
      <x:c r="M76" s="1277"/>
      <x:c r="N76" s="1277"/>
    </x:row>
    <x:row r="77">
      <x:c r="A77" s="1619" t="str">
        <x:v>NUEVA</x:v>
      </x:c>
      <x:c r="B77" s="1621"/>
      <x:c r="C77" s="1277"/>
      <x:c r="D77" s="1619" t="str">
        <x:v>CALIFICADA</x:v>
      </x:c>
      <x:c r="E77" s="1621"/>
      <x:c r="F77" s="1277"/>
      <x:c r="G77" s="1619" t="str">
        <x:v>PLANIFICADA</x:v>
      </x:c>
      <x:c r="H77" s="1621"/>
      <x:c r="I77" s="1277"/>
      <x:c r="J77" s="1619" t="str">
        <x:v>PROGRAMADA</x:v>
      </x:c>
      <x:c r="K77" s="1621"/>
      <x:c r="L77" s="1277"/>
      <x:c r="M77" s="1619" t="str">
        <x:v>LISTA /
READY</x:v>
      </x:c>
      <x:c r="N77" s="1621"/>
    </x:row>
    <x:row r="78">
      <x:c r="A78" s="1625"/>
      <x:c r="B78" s="1627"/>
      <x:c r="C78" s="1297" t="str">
        <x:v>→</x:v>
      </x:c>
      <x:c r="D78" s="1625"/>
      <x:c r="E78" s="1627"/>
      <x:c r="F78" s="1297" t="str">
        <x:v>→</x:v>
      </x:c>
      <x:c r="G78" s="1625"/>
      <x:c r="H78" s="1627"/>
      <x:c r="I78" s="1297" t="str">
        <x:v>→</x:v>
      </x:c>
      <x:c r="J78" s="1625"/>
      <x:c r="K78" s="1627"/>
      <x:c r="L78" s="1297" t="str">
        <x:v>→</x:v>
      </x:c>
      <x:c r="M78" s="1625"/>
      <x:c r="N78" s="1627"/>
    </x:row>
    <x:row r="79">
      <x:c r="A79" s="1625"/>
      <x:c r="B79" s="1627"/>
      <x:c r="C79" s="1277"/>
      <x:c r="D79" s="1625"/>
      <x:c r="E79" s="1627"/>
      <x:c r="F79" s="1277"/>
      <x:c r="G79" s="1625"/>
      <x:c r="H79" s="1627"/>
      <x:c r="I79" s="1277"/>
      <x:c r="J79" s="1625"/>
      <x:c r="K79" s="1627"/>
      <x:c r="L79" s="1277"/>
      <x:c r="M79" s="1625"/>
      <x:c r="N79" s="1627"/>
    </x:row>
    <x:row r="80">
      <x:c r="A80" s="1631"/>
      <x:c r="B80" s="1633"/>
      <x:c r="C80" s="1277"/>
      <x:c r="D80" s="1631"/>
      <x:c r="E80" s="1633"/>
      <x:c r="F80" s="1277"/>
      <x:c r="G80" s="1631"/>
      <x:c r="H80" s="1633"/>
      <x:c r="I80" s="1277"/>
      <x:c r="J80" s="1631"/>
      <x:c r="K80" s="1633"/>
      <x:c r="L80" s="1277"/>
      <x:c r="M80" s="1631"/>
      <x:c r="N80" s="1633"/>
    </x:row>
    <x:row r="81">
      <x:c r="A81" s="1277"/>
      <x:c r="B81" s="1277"/>
      <x:c r="C81" s="1277"/>
      <x:c r="D81" s="1277"/>
      <x:c r="E81" s="1277"/>
      <x:c r="F81" s="1277"/>
      <x:c r="G81" s="1277"/>
      <x:c r="H81" s="1277"/>
      <x:c r="I81" s="1277"/>
      <x:c r="J81" s="1277"/>
      <x:c r="K81" s="1277"/>
      <x:c r="L81" s="1277"/>
      <x:c r="M81" s="1277"/>
      <x:c r="N81" s="1277"/>
    </x:row>
    <x:row r="82">
      <x:c r="A82" s="1277"/>
      <x:c r="B82" s="1277"/>
      <x:c r="C82" s="1277"/>
      <x:c r="D82" s="1643" t="str">
        <x:v>DESPACHADA /
CONFIRMADA</x:v>
      </x:c>
      <x:c r="E82" s="1644"/>
      <x:c r="F82" s="1645"/>
      <x:c r="G82" s="1277"/>
      <x:c r="H82" s="1619" t="str">
        <x:v>EN EJECUCIÓN</x:v>
      </x:c>
      <x:c r="I82" s="1620"/>
      <x:c r="J82" s="1621"/>
      <x:c r="K82" s="1277"/>
      <x:c r="L82" s="1619" t="str">
        <x:v>EJECUTADA /
CERRADA</x:v>
      </x:c>
      <x:c r="M82" s="1620"/>
      <x:c r="N82" s="1621"/>
    </x:row>
    <x:row r="83">
      <x:c r="A83" s="1277"/>
      <x:c r="B83" s="1277"/>
      <x:c r="C83" s="1277"/>
      <x:c r="D83" s="1646"/>
      <x:c r="E83" s="1647"/>
      <x:c r="F83" s="1648"/>
      <x:c r="G83" s="1297" t="str">
        <x:v>→</x:v>
      </x:c>
      <x:c r="H83" s="1625"/>
      <x:c r="I83" s="1626"/>
      <x:c r="J83" s="1627"/>
      <x:c r="K83" s="1297" t="str">
        <x:v>→</x:v>
      </x:c>
      <x:c r="L83" s="1625"/>
      <x:c r="M83" s="1626"/>
      <x:c r="N83" s="1627"/>
    </x:row>
    <x:row r="84">
      <x:c r="A84" s="1277"/>
      <x:c r="B84" s="1277"/>
      <x:c r="C84" s="1277"/>
      <x:c r="D84" s="1646"/>
      <x:c r="E84" s="1647"/>
      <x:c r="F84" s="1648"/>
      <x:c r="G84" s="1277"/>
      <x:c r="H84" s="1625"/>
      <x:c r="I84" s="1626"/>
      <x:c r="J84" s="1627"/>
      <x:c r="K84" s="1277"/>
      <x:c r="L84" s="1625"/>
      <x:c r="M84" s="1626"/>
      <x:c r="N84" s="1627"/>
    </x:row>
    <x:row r="85">
      <x:c r="A85" s="1277"/>
      <x:c r="B85" s="1277"/>
      <x:c r="C85" s="1277"/>
      <x:c r="D85" s="1649"/>
      <x:c r="E85" s="1650"/>
      <x:c r="F85" s="1651"/>
      <x:c r="G85" s="1277"/>
      <x:c r="H85" s="1631"/>
      <x:c r="I85" s="1632"/>
      <x:c r="J85" s="1633"/>
      <x:c r="K85" s="1277"/>
      <x:c r="L85" s="1631"/>
      <x:c r="M85" s="1632"/>
      <x:c r="N85" s="1633"/>
    </x:row>
    <x:row r="86">
      <x:c r="A86" s="1277"/>
      <x:c r="B86" s="1277"/>
      <x:c r="C86" s="1277"/>
      <x:c r="D86" s="1277"/>
      <x:c r="E86" s="1277"/>
      <x:c r="F86" s="1277"/>
      <x:c r="G86" s="1277"/>
      <x:c r="H86" s="1277"/>
      <x:c r="I86" s="1277"/>
      <x:c r="J86" s="1277"/>
      <x:c r="K86" s="1277"/>
      <x:c r="L86" s="1277"/>
      <x:c r="M86" s="1277"/>
      <x:c r="N86" s="1277"/>
    </x:row>
    <x:row r="87">
      <x:c r="A87" s="1652" t="str">
        <x:v>Ramas laterales: REPLANIFICADA conserva versiones; CANCELADA conserva motivo. No usar 'En ejecución' para modificar el plan hasta que coincida con la realidad: desde ese punto la diferencia vive como evento del Parte.</x:v>
      </x:c>
      <x:c r="B87" s="1652"/>
      <x:c r="C87" s="1652"/>
      <x:c r="D87" s="1652"/>
      <x:c r="E87" s="1652"/>
      <x:c r="F87" s="1652"/>
      <x:c r="G87" s="1652"/>
      <x:c r="H87" s="1652"/>
      <x:c r="I87" s="1652"/>
      <x:c r="J87" s="1652"/>
      <x:c r="K87" s="1652"/>
      <x:c r="L87" s="1652"/>
      <x:c r="M87" s="1652"/>
      <x:c r="N87" s="1652"/>
    </x:row>
    <x:row r="88">
      <x:c r="A88" s="1652"/>
      <x:c r="B88" s="1652"/>
      <x:c r="C88" s="1652"/>
      <x:c r="D88" s="1652"/>
      <x:c r="E88" s="1652"/>
      <x:c r="F88" s="1652"/>
      <x:c r="G88" s="1652"/>
      <x:c r="H88" s="1652"/>
      <x:c r="I88" s="1652"/>
      <x:c r="J88" s="1652"/>
      <x:c r="K88" s="1652"/>
      <x:c r="L88" s="1652"/>
      <x:c r="M88" s="1652"/>
      <x:c r="N88" s="1652"/>
    </x:row>
    <x:row r="89">
      <x:c r="A89" s="1652"/>
      <x:c r="B89" s="1652"/>
      <x:c r="C89" s="1652"/>
      <x:c r="D89" s="1652"/>
      <x:c r="E89" s="1652"/>
      <x:c r="F89" s="1652"/>
      <x:c r="G89" s="1652"/>
      <x:c r="H89" s="1652"/>
      <x:c r="I89" s="1652"/>
      <x:c r="J89" s="1652"/>
      <x:c r="K89" s="1652"/>
      <x:c r="L89" s="1652"/>
      <x:c r="M89" s="1652"/>
      <x:c r="N89" s="1652"/>
    </x:row>
    <x:row r="90">
      <x:c r="A90" s="1277"/>
      <x:c r="B90" s="1277"/>
      <x:c r="C90" s="1277"/>
      <x:c r="D90" s="1277"/>
      <x:c r="E90" s="1277"/>
      <x:c r="F90" s="1277"/>
      <x:c r="G90" s="1277"/>
      <x:c r="H90" s="1277"/>
      <x:c r="I90" s="1277"/>
      <x:c r="J90" s="1277"/>
      <x:c r="K90" s="1277"/>
      <x:c r="L90" s="1277"/>
      <x:c r="M90" s="1277"/>
      <x:c r="N90" s="1277"/>
    </x:row>
    <x:row r="91">
      <x:c r="A91" s="1654" t="str">
        <x:v>07 — REPLANIFICACIÓN · TRATAR EL CAMBIO COMO EVENTO, NO COMO ERROR</x:v>
      </x:c>
      <x:c r="B91" s="1654"/>
      <x:c r="C91" s="1654"/>
      <x:c r="D91" s="1654"/>
      <x:c r="E91" s="1654"/>
      <x:c r="F91" s="1654"/>
      <x:c r="G91" s="1654"/>
      <x:c r="H91" s="1654"/>
      <x:c r="I91" s="1654"/>
      <x:c r="J91" s="1654"/>
      <x:c r="K91" s="1654"/>
      <x:c r="L91" s="1654"/>
      <x:c r="M91" s="1654"/>
      <x:c r="N91" s="1654"/>
    </x:row>
    <x:row r="92">
      <x:c r="A92" s="1639" t="str">
        <x:v>Disparador</x:v>
      </x:c>
      <x:c r="B92" s="1639" t="str">
        <x:v>Ejemplo real</x:v>
      </x:c>
      <x:c r="C92" s="1639" t="str">
        <x:v>Acción de Planificación</x:v>
      </x:c>
      <x:c r="D92" s="1639" t="str">
        <x:v>Si ya inició Parte</x:v>
      </x:c>
      <x:c r="E92" s="1639" t="str">
        <x:v>¿Nueva versión?</x:v>
      </x:c>
      <x:c r="F92" s="1639" t="str">
        <x:v>Trazabilidad</x:v>
      </x:c>
      <x:c r="G92" s="1277"/>
      <x:c r="H92" s="1277"/>
      <x:c r="I92" s="1277"/>
      <x:c r="J92" s="1277"/>
      <x:c r="K92" s="1277"/>
      <x:c r="L92" s="1277"/>
      <x:c r="M92" s="1277"/>
      <x:c r="N92" s="1277"/>
    </x:row>
    <x:row r="93" ht="48" customHeight="1">
      <x:c r="A93" s="1327" t="str">
        <x:v>Clima/condición</x:v>
      </x:c>
      <x:c r="B93" s="1327" t="str">
        <x:v>viento / lluvia / acceso</x:v>
      </x:c>
      <x:c r="C93" s="1327" t="str">
        <x:v>mover ventana o cancelar</x:v>
      </x:c>
      <x:c r="D93" s="1327" t="str">
        <x:v>Parte registra interrupción/contingencia</x:v>
      </x:c>
      <x:c r="E93" s="1327" t="str">
        <x:v>Sí si cambia confirmado</x:v>
      </x:c>
      <x:c r="F93" s="1327" t="str">
        <x:v>Motivo + actor</x:v>
      </x:c>
      <x:c r="G93" s="1277"/>
      <x:c r="H93" s="1277"/>
      <x:c r="I93" s="1277"/>
      <x:c r="J93" s="1277"/>
      <x:c r="K93" s="1277"/>
      <x:c r="L93" s="1277"/>
      <x:c r="M93" s="1277"/>
      <x:c r="N93" s="1277"/>
    </x:row>
    <x:row r="94" ht="48" customHeight="1">
      <x:c r="A94" s="1327" t="str">
        <x:v>Urgencia</x:v>
      </x:c>
      <x:c r="B94" s="1327" t="str">
        <x:v>aparece tarea prioritaria</x:v>
      </x:c>
      <x:c r="C94" s="1327" t="str">
        <x:v>reordenar asignaciones</x:v>
      </x:c>
      <x:c r="D94" s="1327" t="str">
        <x:v>Parte puede cerrarse/pausarse según TipoParte</x:v>
      </x:c>
      <x:c r="E94" s="1327" t="str">
        <x:v>Sí</x:v>
      </x:c>
      <x:c r="F94" s="1327" t="str">
        <x:v>Prioridad antes/después</x:v>
      </x:c>
      <x:c r="G94" s="1277"/>
      <x:c r="H94" s="1277"/>
      <x:c r="I94" s="1277"/>
      <x:c r="J94" s="1277"/>
      <x:c r="K94" s="1277"/>
      <x:c r="L94" s="1277"/>
      <x:c r="M94" s="1277"/>
      <x:c r="N94" s="1277"/>
    </x:row>
    <x:row r="95" ht="48" customHeight="1">
      <x:c r="A95" s="1327" t="str">
        <x:v>Recurso no disponible</x:v>
      </x:c>
      <x:c r="B95" s="1327" t="str">
        <x:v>unidad fuera de servicio</x:v>
      </x:c>
      <x:c r="C95" s="1327" t="str">
        <x:v>sustituir o reprogramar</x:v>
      </x:c>
      <x:c r="D95" s="1327" t="str">
        <x:v>recurso real se revalida</x:v>
      </x:c>
      <x:c r="E95" s="1327" t="str">
        <x:v>Sí si confirmado</x:v>
      </x:c>
      <x:c r="F95" s="1327" t="str">
        <x:v>causa + sustitución</x:v>
      </x:c>
      <x:c r="G95" s="1277"/>
      <x:c r="H95" s="1277"/>
      <x:c r="I95" s="1277"/>
      <x:c r="J95" s="1277"/>
      <x:c r="K95" s="1277"/>
      <x:c r="L95" s="1277"/>
      <x:c r="M95" s="1277"/>
      <x:c r="N95" s="1277"/>
    </x:row>
    <x:row r="96" ht="48" customHeight="1">
      <x:c r="A96" s="1327" t="str">
        <x:v>Persona no disponible</x:v>
      </x:c>
      <x:c r="B96" s="1327" t="str">
        <x:v>ausencia/relevo</x:v>
      </x:c>
      <x:c r="C96" s="1327" t="str">
        <x:v>buscar elegible</x:v>
      </x:c>
      <x:c r="D96" s="1327" t="str">
        <x:v>persona real + habilitación</x:v>
      </x:c>
      <x:c r="E96" s="1327" t="str">
        <x:v>Sí si confirmado</x:v>
      </x:c>
      <x:c r="F96" s="1327" t="str">
        <x:v>actor + competencia</x:v>
      </x:c>
      <x:c r="G96" s="1277"/>
      <x:c r="H96" s="1277"/>
      <x:c r="I96" s="1277"/>
      <x:c r="J96" s="1277"/>
      <x:c r="K96" s="1277"/>
      <x:c r="L96" s="1277"/>
      <x:c r="M96" s="1277"/>
      <x:c r="N96" s="1277"/>
    </x:row>
    <x:row r="97" ht="48" customHeight="1">
      <x:c r="A97" s="1327" t="str">
        <x:v>Cambio ubicación/alcance</x:v>
      </x:c>
      <x:c r="B97" s="1327" t="str">
        <x:v>directiva cliente</x:v>
      </x:c>
      <x:c r="C97" s="1327" t="str">
        <x:v>recalificar/rerutear</x:v>
      </x:c>
      <x:c r="D97" s="1327" t="str">
        <x:v>EventoOperativo + regla corte</x:v>
      </x:c>
      <x:c r="E97" s="1327" t="str">
        <x:v>Sí</x:v>
      </x:c>
      <x:c r="F97" s="1327" t="str">
        <x:v>plan original preservado</x:v>
      </x:c>
      <x:c r="G97" s="1277"/>
      <x:c r="H97" s="1277"/>
      <x:c r="I97" s="1277"/>
      <x:c r="J97" s="1277"/>
      <x:c r="K97" s="1277"/>
      <x:c r="L97" s="1277"/>
      <x:c r="M97" s="1277"/>
      <x:c r="N97" s="1277"/>
    </x:row>
    <x:row r="98" ht="48" customHeight="1">
      <x:c r="A98" s="1327" t="str">
        <x:v>Trabajo adicional</x:v>
      </x:c>
      <x:c r="B98" s="1327" t="str">
        <x:v>surge en campo</x:v>
      </x:c>
      <x:c r="C98" s="1327" t="str">
        <x:v>crear demanda/asignación o flujo emergente</x:v>
      </x:c>
      <x:c r="D98" s="1327" t="str">
        <x:v>origen_parte fuera_planificacion</x:v>
      </x:c>
      <x:c r="E98" s="1327" t="str">
        <x:v>No necesariamente sobre plan original</x:v>
      </x:c>
      <x:c r="F98" s="1327" t="str">
        <x:v>vínculo a contexto origen</x:v>
      </x:c>
      <x:c r="G98" s="1277"/>
      <x:c r="H98" s="1277"/>
      <x:c r="I98" s="1277"/>
      <x:c r="J98" s="1277"/>
      <x:c r="K98" s="1277"/>
      <x:c r="L98" s="1277"/>
      <x:c r="M98" s="1277"/>
      <x:c r="N98" s="1277"/>
    </x:row>
    <x:row r="99">
      <x:c r="A99" s="1277"/>
      <x:c r="B99" s="1277"/>
      <x:c r="C99" s="1277"/>
      <x:c r="D99" s="1277"/>
      <x:c r="E99" s="1277"/>
      <x:c r="F99" s="1277"/>
      <x:c r="G99" s="1277"/>
      <x:c r="H99" s="1277"/>
      <x:c r="I99" s="1277"/>
      <x:c r="J99" s="1277"/>
      <x:c r="K99" s="1277"/>
      <x:c r="L99" s="1277"/>
      <x:c r="M99" s="1277"/>
      <x:c r="N99" s="1277"/>
    </x:row>
    <x:row r="100">
      <x:c r="A100" s="1654" t="str">
        <x:v>08 — DATOS QUE PLANIFICACIÓN DEBE PRODUCIR PARA QUE LA APP SEA INTELIGENTE</x:v>
      </x:c>
      <x:c r="B100" s="1654"/>
      <x:c r="C100" s="1654"/>
      <x:c r="D100" s="1654"/>
      <x:c r="E100" s="1654"/>
      <x:c r="F100" s="1654"/>
      <x:c r="G100" s="1654"/>
      <x:c r="H100" s="1654"/>
      <x:c r="I100" s="1654"/>
      <x:c r="J100" s="1654"/>
      <x:c r="K100" s="1654"/>
      <x:c r="L100" s="1654"/>
      <x:c r="M100" s="1654"/>
      <x:c r="N100" s="1654"/>
    </x:row>
    <x:row r="101">
      <x:c r="A101" s="1639" t="str">
        <x:v>Producto de datos</x:v>
      </x:c>
      <x:c r="B101" s="1639" t="str">
        <x:v>Se calcula con</x:v>
      </x:c>
      <x:c r="C101" s="1639" t="str">
        <x:v>Para qué sirve</x:v>
      </x:c>
      <x:c r="D101" s="1639" t="str">
        <x:v>Momento</x:v>
      </x:c>
      <x:c r="E101" s="1639" t="str">
        <x:v>Manual?</x:v>
      </x:c>
      <x:c r="F101" s="1639" t="str">
        <x:v>Valor futuro</x:v>
      </x:c>
      <x:c r="G101" s="1277"/>
      <x:c r="H101" s="1277"/>
      <x:c r="I101" s="1277"/>
      <x:c r="J101" s="1277"/>
      <x:c r="K101" s="1277"/>
      <x:c r="L101" s="1277"/>
      <x:c r="M101" s="1277"/>
      <x:c r="N101" s="1277"/>
    </x:row>
    <x:row r="102" ht="46" customHeight="1">
      <x:c r="A102" s="1327" t="str">
        <x:v>readiness_score / estado</x:v>
      </x:c>
      <x:c r="B102" s="1327" t="str">
        <x:v>gates P0-P4</x:v>
      </x:c>
      <x:c r="C102" s="1327" t="str">
        <x:v>mostrar si una asignación realmente está lista</x:v>
      </x:c>
      <x:c r="D102" s="1327" t="str">
        <x:v>antes despacho</x:v>
      </x:c>
      <x:c r="E102" s="1327" t="str">
        <x:v>No</x:v>
      </x:c>
      <x:c r="F102" s="1327" t="str">
        <x:v>tablero supervisor</x:v>
      </x:c>
      <x:c r="G102" s="1277"/>
      <x:c r="H102" s="1277"/>
      <x:c r="I102" s="1277"/>
      <x:c r="J102" s="1277"/>
      <x:c r="K102" s="1277"/>
      <x:c r="L102" s="1277"/>
      <x:c r="M102" s="1277"/>
      <x:c r="N102" s="1277"/>
    </x:row>
    <x:row r="103" ht="46" customHeight="1">
      <x:c r="A103" s="1327" t="str">
        <x:v>gap_capacidad</x:v>
      </x:c>
      <x:c r="B103" s="1327" t="str">
        <x:v>requerimientos - disponibilidad elegible</x:v>
      </x:c>
      <x:c r="C103" s="1327" t="str">
        <x:v>ver sobrecarga/faltantes considerando DisponibilidadRecurso</x:v>
      </x:c>
      <x:c r="D103" s="1327" t="str">
        <x:v>programación</x:v>
      </x:c>
      <x:c r="E103" s="1327" t="str">
        <x:v>No</x:v>
      </x:c>
      <x:c r="F103" s="1327" t="str">
        <x:v>balance de carga / matching</x:v>
      </x:c>
      <x:c r="G103" s="1277"/>
      <x:c r="H103" s="1277"/>
      <x:c r="I103" s="1277"/>
      <x:c r="J103" s="1277"/>
      <x:c r="K103" s="1277"/>
      <x:c r="L103" s="1277"/>
      <x:c r="M103" s="1277"/>
      <x:c r="N103" s="1277"/>
    </x:row>
    <x:row r="104" ht="46" customHeight="1">
      <x:c r="A104" s="1327" t="str">
        <x:v>gap_capacidad</x:v>
      </x:c>
      <x:c r="B104" s="1327" t="str">
        <x:v>requerimientos - disponibilidad</x:v>
      </x:c>
      <x:c r="C104" s="1327" t="str">
        <x:v>ver sobrecarga/faltantes</x:v>
      </x:c>
      <x:c r="D104" s="1327" t="str">
        <x:v>programación</x:v>
      </x:c>
      <x:c r="E104" s="1327" t="str">
        <x:v>No</x:v>
      </x:c>
      <x:c r="F104" s="1327" t="str">
        <x:v>balance de carga</x:v>
      </x:c>
      <x:c r="G104" s="1277"/>
      <x:c r="H104" s="1277"/>
      <x:c r="I104" s="1277"/>
      <x:c r="J104" s="1277"/>
      <x:c r="K104" s="1277"/>
      <x:c r="L104" s="1277"/>
      <x:c r="M104" s="1277"/>
      <x:c r="N104" s="1277"/>
    </x:row>
    <x:row r="105" ht="46" customHeight="1">
      <x:c r="A105" s="1327" t="str">
        <x:v>desvio_plan_real</x:v>
      </x:c>
      <x:c r="B105" s="1327" t="str">
        <x:v>snapshot vs ejecución</x:v>
      </x:c>
      <x:c r="C105" s="1327" t="str">
        <x:v>aprender dónde falla el plan</x:v>
      </x:c>
      <x:c r="D105" s="1327" t="str">
        <x:v>post ejecución</x:v>
      </x:c>
      <x:c r="E105" s="1327" t="str">
        <x:v>No</x:v>
      </x:c>
      <x:c r="F105" s="1327" t="str">
        <x:v>mejora continua</x:v>
      </x:c>
      <x:c r="G105" s="1277"/>
      <x:c r="H105" s="1277"/>
      <x:c r="I105" s="1277"/>
      <x:c r="J105" s="1277"/>
      <x:c r="K105" s="1277"/>
      <x:c r="L105" s="1277"/>
      <x:c r="M105" s="1277"/>
      <x:c r="N105" s="1277"/>
    </x:row>
    <x:row r="106" ht="46" customHeight="1">
      <x:c r="A106" s="1327" t="str">
        <x:v>tasa_replanificacion</x:v>
      </x:c>
      <x:c r="B106" s="1327" t="str">
        <x:v>versiones/cambios</x:v>
      </x:c>
      <x:c r="C106" s="1327" t="str">
        <x:v>medir estabilidad operativa</x:v>
      </x:c>
      <x:c r="D106" s="1327" t="str">
        <x:v>semanal/mensual</x:v>
      </x:c>
      <x:c r="E106" s="1327" t="str">
        <x:v>No</x:v>
      </x:c>
      <x:c r="F106" s="1327" t="str">
        <x:v>calidad planificación</x:v>
      </x:c>
      <x:c r="G106" s="1277"/>
      <x:c r="H106" s="1277"/>
      <x:c r="I106" s="1277"/>
      <x:c r="J106" s="1277"/>
      <x:c r="K106" s="1277"/>
      <x:c r="L106" s="1277"/>
      <x:c r="M106" s="1277"/>
      <x:c r="N106" s="1277"/>
    </x:row>
    <x:row r="107" ht="46" customHeight="1">
      <x:c r="A107" s="1327" t="str">
        <x:v>trabajo_emergente_pct</x:v>
      </x:c>
      <x:c r="B107" s="1327" t="str">
        <x:v>partes sin plan / total</x:v>
      </x:c>
      <x:c r="C107" s="1327" t="str">
        <x:v>medir reactivo vs planificado</x:v>
      </x:c>
      <x:c r="D107" s="1327" t="str">
        <x:v>período</x:v>
      </x:c>
      <x:c r="E107" s="1327" t="str">
        <x:v>No</x:v>
      </x:c>
      <x:c r="F107" s="1327" t="str">
        <x:v>madurez operacional</x:v>
      </x:c>
      <x:c r="G107" s="1277"/>
      <x:c r="H107" s="1277"/>
      <x:c r="I107" s="1277"/>
      <x:c r="J107" s="1277"/>
      <x:c r="K107" s="1277"/>
      <x:c r="L107" s="1277"/>
      <x:c r="M107" s="1277"/>
      <x:c r="N107" s="1277"/>
    </x:row>
    <x:row r="108">
      <x:c r="A108" s="1277"/>
      <x:c r="B108" s="1277"/>
      <x:c r="C108" s="1277"/>
      <x:c r="D108" s="1277"/>
      <x:c r="E108" s="1277"/>
      <x:c r="F108" s="1277"/>
      <x:c r="G108" s="1277"/>
      <x:c r="H108" s="1277"/>
      <x:c r="I108" s="1277"/>
      <x:c r="J108" s="1277"/>
      <x:c r="K108" s="1277"/>
      <x:c r="L108" s="1277"/>
      <x:c r="M108" s="1277"/>
      <x:c r="N108" s="1277"/>
    </x:row>
    <x:row r="109">
      <x:c r="A109" s="1654" t="str">
        <x:v>09 — BENCHMARK EXTERNO · REFERENCIA, NO RESTRICCIÓN DEL MODELO VDS</x:v>
      </x:c>
      <x:c r="B109" s="1654"/>
      <x:c r="C109" s="1654"/>
      <x:c r="D109" s="1654"/>
      <x:c r="E109" s="1654"/>
      <x:c r="F109" s="1654"/>
      <x:c r="G109" s="1654"/>
      <x:c r="H109" s="1654"/>
      <x:c r="I109" s="1654"/>
      <x:c r="J109" s="1654"/>
      <x:c r="K109" s="1654"/>
      <x:c r="L109" s="1654"/>
      <x:c r="M109" s="1654"/>
      <x:c r="N109" s="1654"/>
    </x:row>
    <x:row r="110">
      <x:c r="A110" s="1639" t="str">
        <x:v>Fuente</x:v>
      </x:c>
      <x:c r="B110" s="1639" t="str">
        <x:v>Práctica relevante</x:v>
      </x:c>
      <x:c r="C110" s="1639" t="str">
        <x:v>Qué valida de nuestro diseño</x:v>
      </x:c>
      <x:c r="D110" s="1639" t="str">
        <x:v>Qué NO copiamos</x:v>
      </x:c>
      <x:c r="E110" s="1639" t="str">
        <x:v>URL</x:v>
      </x:c>
      <x:c r="F110" s="1639" t="str">
        <x:v>Uso</x:v>
      </x:c>
      <x:c r="G110" s="1277"/>
      <x:c r="H110" s="1277"/>
      <x:c r="I110" s="1277"/>
      <x:c r="J110" s="1277"/>
      <x:c r="K110" s="1277"/>
      <x:c r="L110" s="1277"/>
      <x:c r="M110" s="1277"/>
      <x:c r="N110" s="1277"/>
    </x:row>
    <x:row r="111" ht="64" customHeight="1">
      <x:c r="A111" s="1327" t="str">
        <x:v>IBM Maximo</x:v>
      </x:c>
      <x:c r="B111" s="1327" t="str">
        <x:v>Work orders separan trabajo futuro planificado y trabajo realmente ejecutado, con tareas, horas, activos, servicios y materiales.</x:v>
      </x:c>
      <x:c r="C111" s="1327" t="str">
        <x:v>Separar intención/plan de realidad ejecutada.</x:v>
      </x:c>
      <x:c r="D111" s="1327" t="str">
        <x:v>Su estructura/UX específica.</x:v>
      </x:c>
      <x:c r="E111" s="1327" t="str">
        <x:v>https://www.ibm.com/docs/en/masv-and-l/maximo-manage/cd?topic=manage-work-orders-module</x:v>
      </x:c>
      <x:c r="F111" s="1327" t="str">
        <x:v>Benchmark work management</x:v>
      </x:c>
      <x:c r="G111" s="1277"/>
      <x:c r="H111" s="1277"/>
      <x:c r="I111" s="1277"/>
      <x:c r="J111" s="1277"/>
      <x:c r="K111" s="1277"/>
      <x:c r="L111" s="1277"/>
      <x:c r="M111" s="1277"/>
      <x:c r="N111" s="1277"/>
    </x:row>
    <x:row r="112" ht="64" customHeight="1">
      <x:c r="A112" s="1327" t="str">
        <x:v>IOGP Start Work Checks</x:v>
      </x:c>
      <x:c r="B112" s="1327" t="str">
        <x:v>Controles se confirman en el lugar exacto y justo antes de comenzar la tarea.</x:v>
      </x:c>
      <x:c r="C112" s="1327" t="str">
        <x:v>Pre-check en planificación no reemplaza revalidación real al inicio.</x:v>
      </x:c>
      <x:c r="D112" s="1327" t="str">
        <x:v>Checklist exacto de IOGP.</x:v>
      </x:c>
      <x:c r="E112" s="1327" t="str">
        <x:v>https://www.iogp.org/blog/oil-and-gas-safety/start-work-checks-can-help-implement-life-saving-rules/</x:v>
      </x:c>
      <x:c r="F112" s="1327" t="str">
        <x:v>Benchmark HSE</x:v>
      </x:c>
      <x:c r="G112" s="1277"/>
      <x:c r="H112" s="1277"/>
      <x:c r="I112" s="1277"/>
      <x:c r="J112" s="1277"/>
      <x:c r="K112" s="1277"/>
      <x:c r="L112" s="1277"/>
      <x:c r="M112" s="1277"/>
      <x:c r="N112" s="1277"/>
    </x:row>
    <x:row r="113" ht="64" customHeight="1">
      <x:c r="A113" s="1327" t="str">
        <x:v>Energy Institute Work Control/PTW</x:v>
      </x:c>
      <x:c r="B113" s="1327" t="str">
        <x:v>Work control y permit-to-work forman un proceso de gestión de riesgos para mantenimiento/construcción.</x:v>
      </x:c>
      <x:c r="C113" s="1327" t="str">
        <x:v>Separar readiness de Planificación y PermisoTrabajo real de Ejecución.</x:v>
      </x:c>
      <x:c r="D113" s="1327" t="str">
        <x:v>Su framework normativo específico.</x:v>
      </x:c>
      <x:c r="E113" s="1327" t="str">
        <x:v>https://www.energyinst.org/industry/publications/topics/process-safety/guidance-on-meeting-expectations-of-ei-process-safety-management-framework-element-17-work-control%2C-permit-to-work-and-task-risk-management</x:v>
      </x:c>
      <x:c r="F113" s="1327" t="str">
        <x:v>Benchmark work control</x:v>
      </x:c>
      <x:c r="G113" s="1277"/>
      <x:c r="H113" s="1277"/>
      <x:c r="I113" s="1277"/>
      <x:c r="J113" s="1277"/>
      <x:c r="K113" s="1277"/>
      <x:c r="L113" s="1277"/>
      <x:c r="M113" s="1277"/>
      <x:c r="N113" s="1277"/>
    </x:row>
    <x:row r="114">
      <x:c r="A114" s="1277"/>
      <x:c r="B114" s="1277"/>
      <x:c r="C114" s="1277"/>
      <x:c r="D114" s="1277"/>
      <x:c r="E114" s="1277"/>
      <x:c r="F114" s="1277"/>
      <x:c r="G114" s="1277"/>
      <x:c r="H114" s="1277"/>
      <x:c r="I114" s="1277"/>
      <x:c r="J114" s="1277"/>
      <x:c r="K114" s="1277"/>
      <x:c r="L114" s="1277"/>
      <x:c r="M114" s="1277"/>
      <x:c r="N114" s="1277"/>
    </x:row>
    <x:row r="115">
      <x:c r="A115" s="1654" t="str">
        <x:v>10 — DECISIONES CRÍTICAS A VALIDAR ANTES DE CERRAR PLANIFICACIÓN</x:v>
      </x:c>
      <x:c r="B115" s="1654"/>
      <x:c r="C115" s="1654"/>
      <x:c r="D115" s="1654"/>
      <x:c r="E115" s="1654"/>
      <x:c r="F115" s="1654"/>
      <x:c r="G115" s="1654"/>
      <x:c r="H115" s="1654"/>
      <x:c r="I115" s="1654"/>
      <x:c r="J115" s="1654"/>
      <x:c r="K115" s="1654"/>
      <x:c r="L115" s="1654"/>
      <x:c r="M115" s="1654"/>
      <x:c r="N115" s="1654"/>
    </x:row>
    <x:row r="116">
      <x:c r="A116" s="1639" t="str">
        <x:v>ID</x:v>
      </x:c>
      <x:c r="B116" s="1639" t="str">
        <x:v>Decisión</x:v>
      </x:c>
      <x:c r="C116" s="1639" t="str">
        <x:v>Por qué importa</x:v>
      </x:c>
      <x:c r="D116" s="1639" t="str">
        <x:v>Quién</x:v>
      </x:c>
      <x:c r="E116" s="1639" t="str">
        <x:v>Prioridad</x:v>
      </x:c>
      <x:c r="F116" s="1639" t="str">
        <x:v>Si cambia</x:v>
      </x:c>
      <x:c r="G116" s="1277"/>
      <x:c r="H116" s="1277"/>
      <x:c r="I116" s="1277"/>
      <x:c r="J116" s="1277"/>
      <x:c r="K116" s="1277"/>
      <x:c r="L116" s="1277"/>
      <x:c r="M116" s="1277"/>
      <x:c r="N116" s="1277"/>
    </x:row>
    <x:row r="117" ht="48" customHeight="1">
      <x:c r="A117" s="1327" t="str">
        <x:v>P-V1</x:v>
      </x:c>
      <x:c r="B117" s="1327" t="str">
        <x:v>Fuente/identidad de DemandaOperativa</x:v>
      </x:c>
      <x:c r="C117" s="1327" t="str">
        <x:v>Define entrada al backlog y deduplicación.</x:v>
      </x:c>
      <x:c r="D117" s="1327" t="str">
        <x:v>Operaciones/Planificación</x:v>
      </x:c>
      <x:c r="E117" s="1327" t="str">
        <x:v>Alta</x:v>
      </x:c>
      <x:c r="F117" s="1327" t="str">
        <x:v>Cambia objeto raíz.</x:v>
      </x:c>
      <x:c r="G117" s="1277"/>
      <x:c r="H117" s="1277"/>
      <x:c r="I117" s="1277"/>
      <x:c r="J117" s="1277"/>
      <x:c r="K117" s="1277"/>
      <x:c r="L117" s="1277"/>
      <x:c r="M117" s="1277"/>
      <x:c r="N117" s="1277"/>
    </x:row>
    <x:row r="118" ht="48" customHeight="1">
      <x:c r="A118" s="1327" t="str">
        <x:v>P-V2</x:v>
      </x:c>
      <x:c r="B118" s="1327" t="str">
        <x:v>Capacidad vs nominación temprana</x:v>
      </x:c>
      <x:c r="C118" s="1327" t="str">
        <x:v>Define automatización de matching y flexibilidad.</x:v>
      </x:c>
      <x:c r="D118" s="1327" t="str">
        <x:v>Planificación/Ops</x:v>
      </x:c>
      <x:c r="E118" s="1327" t="str">
        <x:v>Crítica</x:v>
      </x:c>
      <x:c r="F118" s="1327" t="str">
        <x:v>Cambia RequerimientoRecurso.</x:v>
      </x:c>
      <x:c r="G118" s="1277"/>
      <x:c r="H118" s="1277"/>
      <x:c r="I118" s="1277"/>
      <x:c r="J118" s="1277"/>
      <x:c r="K118" s="1277"/>
      <x:c r="L118" s="1277"/>
      <x:c r="M118" s="1277"/>
      <x:c r="N118" s="1277"/>
    </x:row>
    <x:row r="119" ht="48" customHeight="1">
      <x:c r="A119" s="1327" t="str">
        <x:v>P-V3</x:v>
      </x:c>
      <x:c r="B119" s="1327" t="str">
        <x:v>Readiness real</x:v>
      </x:c>
      <x:c r="C119" s="1327" t="str">
        <x:v>Define cuándo el sistema puede decir 'listo para salir'.</x:v>
      </x:c>
      <x:c r="D119" s="1327" t="str">
        <x:v>Ops/Habilita/Mantenimiento</x:v>
      </x:c>
      <x:c r="E119" s="1327" t="str">
        <x:v>Crítica</x:v>
      </x:c>
      <x:c r="F119" s="1327" t="str">
        <x:v>Cambia Gate P3.</x:v>
      </x:c>
      <x:c r="G119" s="1277"/>
      <x:c r="H119" s="1277"/>
      <x:c r="I119" s="1277"/>
      <x:c r="J119" s="1277"/>
      <x:c r="K119" s="1277"/>
      <x:c r="L119" s="1277"/>
      <x:c r="M119" s="1277"/>
      <x:c r="N119" s="1277"/>
    </x:row>
    <x:row r="120" ht="48" customHeight="1">
      <x:c r="A120" s="1327" t="str">
        <x:v>P-V4</x:v>
      </x:c>
      <x:c r="B120" s="1327" t="str">
        <x:v>Contexto contractual mínimo</x:v>
      </x:c>
      <x:c r="C120" s="1327" t="str">
        <x:v>Define si una asignación puede confirmarse con CC/ítem pendientes.</x:v>
      </x:c>
      <x:c r="D120" s="1327" t="str">
        <x:v>Contratos/Planificación</x:v>
      </x:c>
      <x:c r="E120" s="1327" t="str">
        <x:v>Crítica</x:v>
      </x:c>
      <x:c r="F120" s="1327" t="str">
        <x:v>Cambia Gate P0.</x:v>
      </x:c>
      <x:c r="G120" s="1277"/>
      <x:c r="H120" s="1277"/>
      <x:c r="I120" s="1277"/>
      <x:c r="J120" s="1277"/>
      <x:c r="K120" s="1277"/>
      <x:c r="L120" s="1277"/>
      <x:c r="M120" s="1277"/>
      <x:c r="N120" s="1277"/>
    </x:row>
    <x:row r="121" ht="48" customHeight="1">
      <x:c r="A121" s="1327" t="str">
        <x:v>P-V5</x:v>
      </x:c>
      <x:c r="B121" s="1327" t="str">
        <x:v>Versionado/replanificación</x:v>
      </x:c>
      <x:c r="C121" s="1327" t="str">
        <x:v>Define auditoría y comportamiento después de confirmar.</x:v>
      </x:c>
      <x:c r="D121" s="1327" t="str">
        <x:v>Planificación</x:v>
      </x:c>
      <x:c r="E121" s="1327" t="str">
        <x:v>Crítica</x:v>
      </x:c>
      <x:c r="F121" s="1327" t="str">
        <x:v>Cambia snapshot/interface.</x:v>
      </x:c>
      <x:c r="G121" s="1277"/>
      <x:c r="H121" s="1277"/>
      <x:c r="I121" s="1277"/>
      <x:c r="J121" s="1277"/>
      <x:c r="K121" s="1277"/>
      <x:c r="L121" s="1277"/>
      <x:c r="M121" s="1277"/>
      <x:c r="N121" s="1277"/>
    </x:row>
  </x:sheetData>
  <x:mergeCells>
    <x:mergeCell ref="A1:N1"/>
    <x:mergeCell ref="A2:N2"/>
    <x:mergeCell ref="A4:N4"/>
    <x:mergeCell ref="A6:C10"/>
    <x:mergeCell ref="E6:G10"/>
    <x:mergeCell ref="I6:K10"/>
    <x:mergeCell ref="M6:N10"/>
    <x:mergeCell ref="A12:N15"/>
    <x:mergeCell ref="A17:N17"/>
    <x:mergeCell ref="A19:C23"/>
    <x:mergeCell ref="E19:G23"/>
    <x:mergeCell ref="I19:K23"/>
    <x:mergeCell ref="M19:N23"/>
    <x:mergeCell ref="A25:N28"/>
    <x:mergeCell ref="A30:N30"/>
    <x:mergeCell ref="A40:N40"/>
    <x:mergeCell ref="A42:F47"/>
    <x:mergeCell ref="H42:N47"/>
    <x:mergeCell ref="A55:N55"/>
    <x:mergeCell ref="A66:N66"/>
    <x:mergeCell ref="A68:B72"/>
    <x:mergeCell ref="D68:E72"/>
    <x:mergeCell ref="G68:H72"/>
    <x:mergeCell ref="J68:K72"/>
    <x:mergeCell ref="M68:N72"/>
    <x:mergeCell ref="A75:N75"/>
    <x:mergeCell ref="A77:B80"/>
    <x:mergeCell ref="D77:E80"/>
    <x:mergeCell ref="G77:H80"/>
    <x:mergeCell ref="J77:K80"/>
    <x:mergeCell ref="M77:N80"/>
    <x:mergeCell ref="D82:F85"/>
    <x:mergeCell ref="H82:J85"/>
    <x:mergeCell ref="L82:N85"/>
    <x:mergeCell ref="A87:N89"/>
    <x:mergeCell ref="A91:N91"/>
    <x:mergeCell ref="A100:N100"/>
    <x:mergeCell ref="A109:N109"/>
    <x:mergeCell ref="A115:N115"/>
    <x:mergeCell ref="H55:N64"/>
  </x:mergeCells>
  <x:pageMargins left="0.7" right="0.7" top="0.75" bottom="0.75" header="0.3" footer="0.3"/>
</x:worksheet>
</file>

<file path=xl/worksheets/sheet22.xml><?xml version="1.0" encoding="utf-8"?>
<x:worksheet xmlns:x="http://schemas.openxmlformats.org/spreadsheetml/2006/main">
  <x:sheetFormatPr defaultRowHeight="15"/>
  <x:cols>
    <x:col min="1" max="1" width="15" hidden="0" customWidth="1"/>
    <x:col min="2" max="2" width="23" hidden="0" customWidth="1"/>
    <x:col min="3" max="3" width="23" hidden="0" customWidth="1"/>
    <x:col min="4" max="4" width="23" hidden="0" customWidth="1"/>
    <x:col min="5" max="5" width="23" hidden="0" customWidth="1"/>
    <x:col min="6" max="6" width="23" hidden="0" customWidth="1"/>
    <x:col min="7" max="7" width="4" hidden="0" customWidth="1"/>
    <x:col min="8" max="8" width="17"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s>
  <x:sheetData>
    <x:row r="1">
      <x:c r="A1" s="1653" t="str">
        <x:v>LÓGICA INTERNA DE CERTIFICACIÓN + FACTURACIÓN v0 · DE VERDAD OPERACIONAL A INGRESO COBRABLE</x:v>
      </x:c>
      <x:c r="B1" s="1653"/>
      <x:c r="C1" s="1653"/>
      <x:c r="D1" s="1653"/>
      <x:c r="E1" s="1653"/>
      <x:c r="F1" s="1653"/>
      <x:c r="G1" s="1653"/>
      <x:c r="H1" s="1653"/>
      <x:c r="I1" s="1653"/>
      <x:c r="J1" s="1653"/>
      <x:c r="K1" s="1653"/>
      <x:c r="L1" s="1653"/>
      <x:c r="M1" s="1653"/>
      <x:c r="N1" s="1653"/>
    </x:row>
    <x:row r="2">
      <x:c r="A2" s="1617" t="str">
        <x:v>Certificación no debe 'rearmar' el Parte ni Facturación reinterpretar campo libre. El dominio comercial recibe ejecución cerrada, aplica reglas contractuales, agrupa, obtiene conformidad y recién entonces habilita facturación.</x:v>
      </x:c>
      <x:c r="B2" s="1617"/>
      <x:c r="C2" s="1617"/>
      <x:c r="D2" s="1617"/>
      <x:c r="E2" s="1617"/>
      <x:c r="F2" s="1617"/>
      <x:c r="G2" s="1617"/>
      <x:c r="H2" s="1617"/>
      <x:c r="I2" s="1617"/>
      <x:c r="J2" s="1617"/>
      <x:c r="K2" s="1617"/>
      <x:c r="L2" s="1617"/>
      <x:c r="M2" s="1617"/>
      <x:c r="N2" s="1617"/>
    </x:row>
    <x:row r="3">
      <x:c r="A3" s="1277"/>
      <x:c r="B3" s="1277"/>
      <x:c r="C3" s="1277"/>
      <x:c r="D3" s="1277"/>
      <x:c r="E3" s="1277"/>
      <x:c r="F3" s="1277"/>
      <x:c r="G3" s="1277"/>
      <x:c r="H3" s="1277"/>
      <x:c r="I3" s="1277"/>
      <x:c r="J3" s="1277"/>
      <x:c r="K3" s="1277"/>
      <x:c r="L3" s="1277"/>
      <x:c r="M3" s="1277"/>
      <x:c r="N3" s="1277"/>
    </x:row>
    <x:row r="4">
      <x:c r="A4" s="1654" t="str">
        <x:v>01 — PRINCIPIO COMERCIAL · EL PARTE PRODUCE EVIDENCIA; CERTIFICACIÓN PRODUCE ACEPTACIÓN COMERCIAL</x:v>
      </x:c>
      <x:c r="B4" s="1654"/>
      <x:c r="C4" s="1654"/>
      <x:c r="D4" s="1654"/>
      <x:c r="E4" s="1654"/>
      <x:c r="F4" s="1654"/>
      <x:c r="G4" s="1654"/>
      <x:c r="H4" s="1654"/>
      <x:c r="I4" s="1654"/>
      <x:c r="J4" s="1654"/>
      <x:c r="K4" s="1654"/>
      <x:c r="L4" s="1654"/>
      <x:c r="M4" s="1654"/>
      <x:c r="N4" s="1654"/>
    </x:row>
    <x:row r="5">
      <x:c r="A5" s="1277"/>
      <x:c r="B5" s="1277"/>
      <x:c r="C5" s="1277"/>
      <x:c r="D5" s="1277"/>
      <x:c r="E5" s="1277"/>
      <x:c r="F5" s="1277"/>
      <x:c r="G5" s="1277"/>
      <x:c r="H5" s="1277"/>
      <x:c r="I5" s="1277"/>
      <x:c r="J5" s="1277"/>
      <x:c r="K5" s="1277"/>
      <x:c r="L5" s="1277"/>
      <x:c r="M5" s="1277"/>
      <x:c r="N5" s="1277"/>
    </x:row>
    <x:row r="6">
      <x:c r="A6" s="1619" t="str">
        <x:v>EJECUCIÓN
CERRADA
verdad de campo</x:v>
      </x:c>
      <x:c r="B6" s="1620"/>
      <x:c r="C6" s="1621"/>
      <x:c r="D6" s="1277"/>
      <x:c r="E6" s="1643" t="str">
        <x:v>INTERFACE B
normalizar + validar
contra contrato</x:v>
      </x:c>
      <x:c r="F6" s="1644"/>
      <x:c r="G6" s="1645"/>
      <x:c r="H6" s="1277"/>
      <x:c r="I6" s="1622" t="str">
        <x:v>CERTIFICACIÓN
aceptar / observar
agrupar</x:v>
      </x:c>
      <x:c r="J6" s="1623"/>
      <x:c r="K6" s="1624"/>
      <x:c r="L6" s="1277"/>
      <x:c r="M6" s="1619" t="str">
        <x:v>FACTURACIÓN
emitir desde
aceptado</x:v>
      </x:c>
      <x:c r="N6" s="1621"/>
    </x:row>
    <x:row r="7">
      <x:c r="A7" s="1625"/>
      <x:c r="B7" s="1626"/>
      <x:c r="C7" s="1627"/>
      <x:c r="D7" s="1277"/>
      <x:c r="E7" s="1646"/>
      <x:c r="F7" s="1647"/>
      <x:c r="G7" s="1648"/>
      <x:c r="H7" s="1277"/>
      <x:c r="I7" s="1628"/>
      <x:c r="J7" s="1629"/>
      <x:c r="K7" s="1630"/>
      <x:c r="L7" s="1277"/>
      <x:c r="M7" s="1625"/>
      <x:c r="N7" s="1627"/>
    </x:row>
    <x:row r="8">
      <x:c r="A8" s="1625"/>
      <x:c r="B8" s="1626"/>
      <x:c r="C8" s="1627"/>
      <x:c r="D8" s="1297" t="str">
        <x:v>→</x:v>
      </x:c>
      <x:c r="E8" s="1646"/>
      <x:c r="F8" s="1647"/>
      <x:c r="G8" s="1648"/>
      <x:c r="H8" s="1297" t="str">
        <x:v>→</x:v>
      </x:c>
      <x:c r="I8" s="1628"/>
      <x:c r="J8" s="1629"/>
      <x:c r="K8" s="1630"/>
      <x:c r="L8" s="1297" t="str">
        <x:v>→</x:v>
      </x:c>
      <x:c r="M8" s="1625"/>
      <x:c r="N8" s="1627"/>
    </x:row>
    <x:row r="9">
      <x:c r="A9" s="1625"/>
      <x:c r="B9" s="1626"/>
      <x:c r="C9" s="1627"/>
      <x:c r="D9" s="1277"/>
      <x:c r="E9" s="1646"/>
      <x:c r="F9" s="1647"/>
      <x:c r="G9" s="1648"/>
      <x:c r="H9" s="1277"/>
      <x:c r="I9" s="1628"/>
      <x:c r="J9" s="1629"/>
      <x:c r="K9" s="1630"/>
      <x:c r="L9" s="1277"/>
      <x:c r="M9" s="1625"/>
      <x:c r="N9" s="1627"/>
    </x:row>
    <x:row r="10">
      <x:c r="A10" s="1631"/>
      <x:c r="B10" s="1632"/>
      <x:c r="C10" s="1633"/>
      <x:c r="D10" s="1277"/>
      <x:c r="E10" s="1649"/>
      <x:c r="F10" s="1650"/>
      <x:c r="G10" s="1651"/>
      <x:c r="H10" s="1277"/>
      <x:c r="I10" s="1634"/>
      <x:c r="J10" s="1635"/>
      <x:c r="K10" s="1636"/>
      <x:c r="L10" s="1277"/>
      <x:c r="M10" s="1631"/>
      <x:c r="N10" s="1633"/>
    </x:row>
    <x:row r="11">
      <x:c r="A11" s="1277"/>
      <x:c r="B11" s="1277"/>
      <x:c r="C11" s="1277"/>
      <x:c r="D11" s="1277"/>
      <x:c r="E11" s="1277"/>
      <x:c r="F11" s="1277"/>
      <x:c r="G11" s="1277"/>
      <x:c r="H11" s="1277"/>
      <x:c r="I11" s="1277"/>
      <x:c r="J11" s="1277"/>
      <x:c r="K11" s="1277"/>
      <x:c r="L11" s="1277"/>
      <x:c r="M11" s="1277"/>
      <x:c r="N11" s="1277"/>
    </x:row>
    <x:row r="12">
      <x:c r="A12" s="1637" t="str">
        <x:v>REGLA MADRE: si Certificación detecta una discrepancia, no debe editar retrospectivamente la ejecución para 'hacerla cerrar'. Se crea una ObservacionCertificacion y, si corresponde, un AjusteCertificacion autorizado o una solicitud de evidencia/corrección vinculada. La verdad operativa permanece intacta y auditable.</x:v>
      </x:c>
      <x:c r="B12" s="1637"/>
      <x:c r="C12" s="1637"/>
      <x:c r="D12" s="1637"/>
      <x:c r="E12" s="1637"/>
      <x:c r="F12" s="1637"/>
      <x:c r="G12" s="1637"/>
      <x:c r="H12" s="1637"/>
      <x:c r="I12" s="1637"/>
      <x:c r="J12" s="1637"/>
      <x:c r="K12" s="1637"/>
      <x:c r="L12" s="1637"/>
      <x:c r="M12" s="1637"/>
      <x:c r="N12" s="1637"/>
    </x:row>
    <x:row r="13">
      <x:c r="A13" s="1637"/>
      <x:c r="B13" s="1637"/>
      <x:c r="C13" s="1637"/>
      <x:c r="D13" s="1637"/>
      <x:c r="E13" s="1637"/>
      <x:c r="F13" s="1637"/>
      <x:c r="G13" s="1637"/>
      <x:c r="H13" s="1637"/>
      <x:c r="I13" s="1637"/>
      <x:c r="J13" s="1637"/>
      <x:c r="K13" s="1637"/>
      <x:c r="L13" s="1637"/>
      <x:c r="M13" s="1637"/>
      <x:c r="N13" s="1637"/>
    </x:row>
    <x:row r="14">
      <x:c r="A14" s="1637"/>
      <x:c r="B14" s="1637"/>
      <x:c r="C14" s="1637"/>
      <x:c r="D14" s="1637"/>
      <x:c r="E14" s="1637"/>
      <x:c r="F14" s="1637"/>
      <x:c r="G14" s="1637"/>
      <x:c r="H14" s="1637"/>
      <x:c r="I14" s="1637"/>
      <x:c r="J14" s="1637"/>
      <x:c r="K14" s="1637"/>
      <x:c r="L14" s="1637"/>
      <x:c r="M14" s="1637"/>
      <x:c r="N14" s="1637"/>
    </x:row>
    <x:row r="15">
      <x:c r="A15" s="1637"/>
      <x:c r="B15" s="1637"/>
      <x:c r="C15" s="1637"/>
      <x:c r="D15" s="1637"/>
      <x:c r="E15" s="1637"/>
      <x:c r="F15" s="1637"/>
      <x:c r="G15" s="1637"/>
      <x:c r="H15" s="1637"/>
      <x:c r="I15" s="1637"/>
      <x:c r="J15" s="1637"/>
      <x:c r="K15" s="1637"/>
      <x:c r="L15" s="1637"/>
      <x:c r="M15" s="1637"/>
      <x:c r="N15" s="1637"/>
    </x:row>
    <x:row r="16">
      <x:c r="A16" s="1277"/>
      <x:c r="B16" s="1277"/>
      <x:c r="C16" s="1277"/>
      <x:c r="D16" s="1277"/>
      <x:c r="E16" s="1277"/>
      <x:c r="F16" s="1277"/>
      <x:c r="G16" s="1277"/>
      <x:c r="H16" s="1277"/>
      <x:c r="I16" s="1277"/>
      <x:c r="J16" s="1277"/>
      <x:c r="K16" s="1277"/>
      <x:c r="L16" s="1277"/>
      <x:c r="M16" s="1277"/>
      <x:c r="N16" s="1277"/>
    </x:row>
    <x:row r="17">
      <x:c r="A17" s="1654" t="str">
        <x:v>02 — OBJETOS DEL DOMINIO · EL GRANO COMERCIAL NO ES NECESARIAMENTE EL PARTE</x:v>
      </x:c>
      <x:c r="B17" s="1654"/>
      <x:c r="C17" s="1654"/>
      <x:c r="D17" s="1654"/>
      <x:c r="E17" s="1654"/>
      <x:c r="F17" s="1654"/>
      <x:c r="G17" s="1654"/>
      <x:c r="H17" s="1654"/>
      <x:c r="I17" s="1654"/>
      <x:c r="J17" s="1654"/>
      <x:c r="K17" s="1654"/>
      <x:c r="L17" s="1654"/>
      <x:c r="M17" s="1654"/>
      <x:c r="N17" s="1654"/>
    </x:row>
    <x:row r="18">
      <x:c r="A18" s="1277"/>
      <x:c r="B18" s="1277"/>
      <x:c r="C18" s="1277"/>
      <x:c r="D18" s="1277"/>
      <x:c r="E18" s="1277"/>
      <x:c r="F18" s="1277"/>
      <x:c r="G18" s="1277"/>
      <x:c r="H18" s="1277"/>
      <x:c r="I18" s="1277"/>
      <x:c r="J18" s="1277"/>
      <x:c r="K18" s="1277"/>
      <x:c r="L18" s="1277"/>
      <x:c r="M18" s="1277"/>
      <x:c r="N18" s="1277"/>
    </x:row>
    <x:row r="19">
      <x:c r="A19" s="1619" t="str">
        <x:v>PARTE /
UNIDAD EJECUCIÓN
trabajo real
evidencia</x:v>
      </x:c>
      <x:c r="B19" s="1620"/>
      <x:c r="C19" s="1621"/>
      <x:c r="D19" s="1277"/>
      <x:c r="E19" s="1619" t="str">
        <x:v>UNIDAD
COMERCIAL
ítem + cantidad
+ evidencia</x:v>
      </x:c>
      <x:c r="F19" s="1620"/>
      <x:c r="G19" s="1621"/>
      <x:c r="H19" s="1277"/>
      <x:c r="I19" s="1619" t="str">
        <x:v>PAQUETE
CERTIFICACIÓN
agrupación según
regla contractual</x:v>
      </x:c>
      <x:c r="J19" s="1620"/>
      <x:c r="K19" s="1621"/>
      <x:c r="L19" s="1277"/>
      <x:c r="M19" s="1619" t="str">
        <x:v>LÍNEA
FACTURABLE
solo aceptado</x:v>
      </x:c>
      <x:c r="N19" s="1621"/>
    </x:row>
    <x:row r="20">
      <x:c r="A20" s="1625"/>
      <x:c r="B20" s="1626"/>
      <x:c r="C20" s="1627"/>
      <x:c r="D20" s="1277"/>
      <x:c r="E20" s="1625"/>
      <x:c r="F20" s="1626"/>
      <x:c r="G20" s="1627"/>
      <x:c r="H20" s="1277"/>
      <x:c r="I20" s="1625"/>
      <x:c r="J20" s="1626"/>
      <x:c r="K20" s="1627"/>
      <x:c r="L20" s="1277"/>
      <x:c r="M20" s="1625"/>
      <x:c r="N20" s="1627"/>
    </x:row>
    <x:row r="21">
      <x:c r="A21" s="1625"/>
      <x:c r="B21" s="1626"/>
      <x:c r="C21" s="1627"/>
      <x:c r="D21" s="1297" t="str">
        <x:v>→</x:v>
      </x:c>
      <x:c r="E21" s="1625"/>
      <x:c r="F21" s="1626"/>
      <x:c r="G21" s="1627"/>
      <x:c r="H21" s="1297" t="str">
        <x:v>→</x:v>
      </x:c>
      <x:c r="I21" s="1625"/>
      <x:c r="J21" s="1626"/>
      <x:c r="K21" s="1627"/>
      <x:c r="L21" s="1297" t="str">
        <x:v>→</x:v>
      </x:c>
      <x:c r="M21" s="1625"/>
      <x:c r="N21" s="1627"/>
    </x:row>
    <x:row r="22">
      <x:c r="A22" s="1625"/>
      <x:c r="B22" s="1626"/>
      <x:c r="C22" s="1627"/>
      <x:c r="D22" s="1277"/>
      <x:c r="E22" s="1625"/>
      <x:c r="F22" s="1626"/>
      <x:c r="G22" s="1627"/>
      <x:c r="H22" s="1277"/>
      <x:c r="I22" s="1625"/>
      <x:c r="J22" s="1626"/>
      <x:c r="K22" s="1627"/>
      <x:c r="L22" s="1277"/>
      <x:c r="M22" s="1625"/>
      <x:c r="N22" s="1627"/>
    </x:row>
    <x:row r="23">
      <x:c r="A23" s="1631"/>
      <x:c r="B23" s="1632"/>
      <x:c r="C23" s="1633"/>
      <x:c r="D23" s="1277"/>
      <x:c r="E23" s="1631"/>
      <x:c r="F23" s="1632"/>
      <x:c r="G23" s="1633"/>
      <x:c r="H23" s="1277"/>
      <x:c r="I23" s="1631"/>
      <x:c r="J23" s="1632"/>
      <x:c r="K23" s="1633"/>
      <x:c r="L23" s="1277"/>
      <x:c r="M23" s="1631"/>
      <x:c r="N23" s="1633"/>
    </x:row>
    <x:row r="24">
      <x:c r="A24" s="1277"/>
      <x:c r="B24" s="1277"/>
      <x:c r="C24" s="1277"/>
      <x:c r="D24" s="1277"/>
      <x:c r="E24" s="1277"/>
      <x:c r="F24" s="1277"/>
      <x:c r="G24" s="1277"/>
      <x:c r="H24" s="1277"/>
      <x:c r="I24" s="1277"/>
      <x:c r="J24" s="1277"/>
      <x:c r="K24" s="1277"/>
      <x:c r="L24" s="1277"/>
      <x:c r="M24" s="1277"/>
      <x:c r="N24" s="1277"/>
    </x:row>
    <x:row r="25">
      <x:c r="A25" s="1638" t="str">
        <x:v>Diseño objetivo: UnidadComercial es el mínimo objeto que puede quedar elegible/observado/aceptado. Un Parte puede alimentar varias UnidadesComerciales y varias ejecuciones pueden consolidarse en una sola UnidadComercial o Paquete, según tipo contractual y regla de agrupación.</x:v>
      </x:c>
      <x:c r="B25" s="1638"/>
      <x:c r="C25" s="1638"/>
      <x:c r="D25" s="1638"/>
      <x:c r="E25" s="1638"/>
      <x:c r="F25" s="1638"/>
      <x:c r="G25" s="1638"/>
      <x:c r="H25" s="1638"/>
      <x:c r="I25" s="1638"/>
      <x:c r="J25" s="1638"/>
      <x:c r="K25" s="1638"/>
      <x:c r="L25" s="1638"/>
      <x:c r="M25" s="1638"/>
      <x:c r="N25" s="1638"/>
    </x:row>
    <x:row r="26">
      <x:c r="A26" s="1638"/>
      <x:c r="B26" s="1638"/>
      <x:c r="C26" s="1638"/>
      <x:c r="D26" s="1638"/>
      <x:c r="E26" s="1638"/>
      <x:c r="F26" s="1638"/>
      <x:c r="G26" s="1638"/>
      <x:c r="H26" s="1638"/>
      <x:c r="I26" s="1638"/>
      <x:c r="J26" s="1638"/>
      <x:c r="K26" s="1638"/>
      <x:c r="L26" s="1638"/>
      <x:c r="M26" s="1638"/>
      <x:c r="N26" s="1638"/>
    </x:row>
    <x:row r="27">
      <x:c r="A27" s="1638"/>
      <x:c r="B27" s="1638"/>
      <x:c r="C27" s="1638"/>
      <x:c r="D27" s="1638"/>
      <x:c r="E27" s="1638"/>
      <x:c r="F27" s="1638"/>
      <x:c r="G27" s="1638"/>
      <x:c r="H27" s="1638"/>
      <x:c r="I27" s="1638"/>
      <x:c r="J27" s="1638"/>
      <x:c r="K27" s="1638"/>
      <x:c r="L27" s="1638"/>
      <x:c r="M27" s="1638"/>
      <x:c r="N27" s="1638"/>
    </x:row>
    <x:row r="28">
      <x:c r="A28" s="1638"/>
      <x:c r="B28" s="1638"/>
      <x:c r="C28" s="1638"/>
      <x:c r="D28" s="1638"/>
      <x:c r="E28" s="1638"/>
      <x:c r="F28" s="1638"/>
      <x:c r="G28" s="1638"/>
      <x:c r="H28" s="1638"/>
      <x:c r="I28" s="1638"/>
      <x:c r="J28" s="1638"/>
      <x:c r="K28" s="1638"/>
      <x:c r="L28" s="1638"/>
      <x:c r="M28" s="1638"/>
      <x:c r="N28" s="1638"/>
    </x:row>
    <x:row r="29">
      <x:c r="A29" s="1277"/>
      <x:c r="B29" s="1277"/>
      <x:c r="C29" s="1277"/>
      <x:c r="D29" s="1277"/>
      <x:c r="E29" s="1277"/>
      <x:c r="F29" s="1277"/>
      <x:c r="G29" s="1277"/>
      <x:c r="H29" s="1277"/>
      <x:c r="I29" s="1277"/>
      <x:c r="J29" s="1277"/>
      <x:c r="K29" s="1277"/>
      <x:c r="L29" s="1277"/>
      <x:c r="M29" s="1277"/>
      <x:c r="N29" s="1277"/>
    </x:row>
    <x:row r="30">
      <x:c r="A30" s="1654" t="str">
        <x:v>03 — FLUJO INTERNO · 8 ETAPAS DESDE CIERRE OPERATIVO HASTA FACTURA</x:v>
      </x:c>
      <x:c r="B30" s="1654"/>
      <x:c r="C30" s="1654"/>
      <x:c r="D30" s="1654"/>
      <x:c r="E30" s="1654"/>
      <x:c r="F30" s="1654"/>
      <x:c r="G30" s="1654"/>
      <x:c r="H30" s="1654"/>
      <x:c r="I30" s="1654"/>
      <x:c r="J30" s="1654"/>
      <x:c r="K30" s="1654"/>
      <x:c r="L30" s="1654"/>
      <x:c r="M30" s="1654"/>
      <x:c r="N30" s="1654"/>
    </x:row>
    <x:row r="31">
      <x:c r="A31" s="1639" t="str">
        <x:v>Etapa</x:v>
      </x:c>
      <x:c r="B31" s="1639" t="str">
        <x:v>Pregunta</x:v>
      </x:c>
      <x:c r="C31" s="1639" t="str">
        <x:v>Objeto</x:v>
      </x:c>
      <x:c r="D31" s="1639" t="str">
        <x:v>Motor / fuente</x:v>
      </x:c>
      <x:c r="E31" s="1639" t="str">
        <x:v>Resultado</x:v>
      </x:c>
      <x:c r="F31" s="1639" t="str">
        <x:v>Si falla</x:v>
      </x:c>
      <x:c r="G31" s="1277"/>
      <x:c r="H31" s="1277"/>
      <x:c r="I31" s="1277"/>
      <x:c r="J31" s="1277"/>
      <x:c r="K31" s="1277"/>
      <x:c r="L31" s="1277"/>
      <x:c r="M31" s="1277"/>
      <x:c r="N31" s="1277"/>
    </x:row>
    <x:row r="32" ht="58" customHeight="1">
      <x:c r="A32" s="1327" t="str">
        <x:v>C-01 · Ingesta</x:v>
      </x:c>
      <x:c r="B32" s="1327" t="str">
        <x:v>¿Qué ejecución está cerrada y qué evidencia trae?</x:v>
      </x:c>
      <x:c r="C32" s="1327" t="str">
        <x:v>Parte/UnidadEjecución</x:v>
      </x:c>
      <x:c r="D32" s="1327" t="str">
        <x:v>Interface B</x:v>
      </x:c>
      <x:c r="E32" s="1327" t="str">
        <x:v>Candidato comercial</x:v>
      </x:c>
      <x:c r="F32" s="1327" t="str">
        <x:v>No entra si operación no cerró</x:v>
      </x:c>
      <x:c r="G32" s="1277"/>
      <x:c r="H32" s="1277"/>
      <x:c r="I32" s="1277"/>
      <x:c r="J32" s="1277"/>
      <x:c r="K32" s="1277"/>
      <x:c r="L32" s="1277"/>
      <x:c r="M32" s="1277"/>
      <x:c r="N32" s="1277"/>
    </x:row>
    <x:row r="33" ht="58" customHeight="1">
      <x:c r="A33" s="1327" t="str">
        <x:v>C-02 · Completeness</x:v>
      </x:c>
      <x:c r="B33" s="1327" t="str">
        <x:v>¿Están presentes datos/evidencias exigidos por su regla?</x:v>
      </x:c>
      <x:c r="C33" s="1327" t="str">
        <x:v>UnidadComercial candidata</x:v>
      </x:c>
      <x:c r="D33" s="1327" t="str">
        <x:v>ContratoServicio + TipoParte + evidencia</x:v>
      </x:c>
      <x:c r="E33" s="1327" t="str">
        <x:v>documentalmente_completo / incompleto</x:v>
      </x:c>
      <x:c r="F33" s="1327" t="str">
        <x:v>Observación / faltante</x:v>
      </x:c>
      <x:c r="G33" s="1277"/>
      <x:c r="H33" s="1277"/>
      <x:c r="I33" s="1277"/>
      <x:c r="J33" s="1277"/>
      <x:c r="K33" s="1277"/>
      <x:c r="L33" s="1277"/>
      <x:c r="M33" s="1277"/>
      <x:c r="N33" s="1277"/>
    </x:row>
    <x:row r="34" ht="58" customHeight="1">
      <x:c r="A34" s="1327" t="str">
        <x:v>C-03 · Mapping contractual</x:v>
      </x:c>
      <x:c r="B34" s="1327" t="str">
        <x:v>¿A qué ItemContrato/CC/regla corresponde?</x:v>
      </x:c>
      <x:c r="C34" s="1327" t="str">
        <x:v>UnidadComercial</x:v>
      </x:c>
      <x:c r="D34" s="1327" t="str">
        <x:v>Motor contractual</x:v>
      </x:c>
      <x:c r="E34" s="1327" t="str">
        <x:v>mapping único</x:v>
      </x:c>
      <x:c r="F34" s="1327" t="str">
        <x:v>Ambigüedad / revisión</x:v>
      </x:c>
      <x:c r="G34" s="1277"/>
      <x:c r="H34" s="1277"/>
      <x:c r="I34" s="1277"/>
      <x:c r="J34" s="1277"/>
      <x:c r="K34" s="1277"/>
      <x:c r="L34" s="1277"/>
      <x:c r="M34" s="1277"/>
      <x:c r="N34" s="1277"/>
    </x:row>
    <x:row r="35" ht="58" customHeight="1">
      <x:c r="A35" s="1327" t="str">
        <x:v>C-04 · Medición</x:v>
      </x:c>
      <x:c r="B35" s="1327" t="str">
        <x:v>¿Qué cantidad comercial surge de lo ejecutado?</x:v>
      </x:c>
      <x:c r="C35" s="1327" t="str">
        <x:v>UnidadComercial</x:v>
      </x:c>
      <x:c r="D35" s="1327" t="str">
        <x:v>ReglaMedicionItem</x:v>
      </x:c>
      <x:c r="E35" s="1327" t="str">
        <x:v>cantidad_certificable + UM</x:v>
      </x:c>
      <x:c r="F35" s="1327" t="str">
        <x:v>Faltante / discrepancia</x:v>
      </x:c>
      <x:c r="G35" s="1277"/>
      <x:c r="H35" s="1277"/>
      <x:c r="I35" s="1277"/>
      <x:c r="J35" s="1277"/>
      <x:c r="K35" s="1277"/>
      <x:c r="L35" s="1277"/>
      <x:c r="M35" s="1277"/>
      <x:c r="N35" s="1277"/>
    </x:row>
    <x:row r="36" ht="58" customHeight="1">
      <x:c r="A36" s="1327" t="str">
        <x:v>C-05 · Elegibilidad</x:v>
      </x:c>
      <x:c r="B36" s="1327" t="str">
        <x:v>¿Cumple condiciones para ser certificable?</x:v>
      </x:c>
      <x:c r="C36" s="1327" t="str">
        <x:v>UnidadComercial</x:v>
      </x:c>
      <x:c r="D36" s="1327" t="str">
        <x:v>Reglas + evidencia/conformidad</x:v>
      </x:c>
      <x:c r="E36" s="1327" t="str">
        <x:v>elegible / observada</x:v>
      </x:c>
      <x:c r="F36" s="1327" t="str">
        <x:v>ObservacionCertificacion</x:v>
      </x:c>
      <x:c r="G36" s="1277"/>
      <x:c r="H36" s="1277"/>
      <x:c r="I36" s="1277"/>
      <x:c r="J36" s="1277"/>
      <x:c r="K36" s="1277"/>
      <x:c r="L36" s="1277"/>
      <x:c r="M36" s="1277"/>
      <x:c r="N36" s="1277"/>
    </x:row>
    <x:row r="37" ht="58" customHeight="1">
      <x:c r="A37" s="1327" t="str">
        <x:v>C-06 · Agrupación</x:v>
      </x:c>
      <x:c r="B37" s="1327" t="str">
        <x:v>¿Con qué otras unidades debe enviarse?</x:v>
      </x:c>
      <x:c r="C37" s="1327" t="str">
        <x:v>PaqueteCertificacion</x:v>
      </x:c>
      <x:c r="D37" s="1327" t="str">
        <x:v>ReglaAgrupacion + cadencia</x:v>
      </x:c>
      <x:c r="E37" s="1327" t="str">
        <x:v>Paquete listo</x:v>
      </x:c>
      <x:c r="F37" s="1327" t="str">
        <x:v>Espera ventana/otras líneas</x:v>
      </x:c>
      <x:c r="G37" s="1277"/>
      <x:c r="H37" s="1277"/>
      <x:c r="I37" s="1277"/>
      <x:c r="J37" s="1277"/>
      <x:c r="K37" s="1277"/>
      <x:c r="L37" s="1277"/>
      <x:c r="M37" s="1277"/>
      <x:c r="N37" s="1277"/>
    </x:row>
    <x:row r="38" ht="58" customHeight="1">
      <x:c r="A38" s="1327" t="str">
        <x:v>C-07 · Conformidad/Certificación</x:v>
      </x:c>
      <x:c r="B38" s="1327" t="str">
        <x:v>¿Cliente/rol aprobador acepta?</x:v>
      </x:c>
      <x:c r="C38" s="1327" t="str">
        <x:v>Paquete / Unidad</x:v>
      </x:c>
      <x:c r="D38" s="1327" t="str">
        <x:v>Workflow contractual</x:v>
      </x:c>
      <x:c r="E38" s="1327" t="str">
        <x:v>certificado/observado</x:v>
      </x:c>
      <x:c r="F38" s="1327" t="str">
        <x:v>Revisión / ajuste</x:v>
      </x:c>
      <x:c r="G38" s="1277"/>
      <x:c r="H38" s="1277"/>
      <x:c r="I38" s="1277"/>
      <x:c r="J38" s="1277"/>
      <x:c r="K38" s="1277"/>
      <x:c r="L38" s="1277"/>
      <x:c r="M38" s="1277"/>
      <x:c r="N38" s="1277"/>
    </x:row>
    <x:row r="39" ht="58" customHeight="1">
      <x:c r="A39" s="1327" t="str">
        <x:v>F-01 · Facturación</x:v>
      </x:c>
      <x:c r="B39" s="1327" t="str">
        <x:v>¿Qué aceptado puede emitirse y cómo se agrupa?</x:v>
      </x:c>
      <x:c r="C39" s="1327" t="str">
        <x:v>LineaFacturable/Lote</x:v>
      </x:c>
      <x:c r="D39" s="1327" t="str">
        <x:v>ReglaFacturacion</x:v>
      </x:c>
      <x:c r="E39" s="1327" t="str">
        <x:v>factura/lote listo</x:v>
      </x:c>
      <x:c r="F39" s="1327" t="str">
        <x:v>Pendiente requisito administrativo</x:v>
      </x:c>
      <x:c r="G39" s="1277"/>
      <x:c r="H39" s="1277"/>
      <x:c r="I39" s="1277"/>
      <x:c r="J39" s="1277"/>
      <x:c r="K39" s="1277"/>
      <x:c r="L39" s="1277"/>
      <x:c r="M39" s="1277"/>
      <x:c r="N39" s="1277"/>
    </x:row>
    <x:row r="40">
      <x:c r="A40" s="1277"/>
      <x:c r="B40" s="1277"/>
      <x:c r="C40" s="1277"/>
      <x:c r="D40" s="1277"/>
      <x:c r="E40" s="1277"/>
      <x:c r="F40" s="1277"/>
      <x:c r="G40" s="1277"/>
      <x:c r="H40" s="1277"/>
      <x:c r="I40" s="1277"/>
      <x:c r="J40" s="1277"/>
      <x:c r="K40" s="1277"/>
      <x:c r="L40" s="1277"/>
      <x:c r="M40" s="1277"/>
      <x:c r="N40" s="1277"/>
    </x:row>
    <x:row r="41">
      <x:c r="A41" s="1654" t="str">
        <x:v>04 — GRANO COMERCIAL SEGÚN TIPO CONTRACTUAL · UNA MISMA EJECUCIÓN NO SE CERTIFICA SIEMPRE IGUAL</x:v>
      </x:c>
      <x:c r="B41" s="1654"/>
      <x:c r="C41" s="1654"/>
      <x:c r="D41" s="1654"/>
      <x:c r="E41" s="1654"/>
      <x:c r="F41" s="1654"/>
      <x:c r="G41" s="1654"/>
      <x:c r="H41" s="1654"/>
      <x:c r="I41" s="1654"/>
      <x:c r="J41" s="1654"/>
      <x:c r="K41" s="1654"/>
      <x:c r="L41" s="1654"/>
      <x:c r="M41" s="1654"/>
      <x:c r="N41" s="1654"/>
    </x:row>
    <x:row r="42">
      <x:c r="A42" s="1639" t="str">
        <x:v>Tipo contractual</x:v>
      </x:c>
      <x:c r="B42" s="1639" t="str">
        <x:v>Grano comercial probable</x:v>
      </x:c>
      <x:c r="C42" s="1639" t="str">
        <x:v>Dato indispensable de campo</x:v>
      </x:c>
      <x:c r="D42" s="1639" t="str">
        <x:v>Cálculo v0</x:v>
      </x:c>
      <x:c r="E42" s="1639" t="str">
        <x:v>Agrupación</x:v>
      </x:c>
      <x:c r="F42" s="1639" t="str">
        <x:v>Estado</x:v>
      </x:c>
      <x:c r="G42" s="1277"/>
      <x:c r="H42" s="1706" t="str">
        <x:v>DECISIÓN DE DISEÑO
TipoContrato no debe hardcodear pantallas. Activa reglas comerciales. La app de campo ve solo los datos que deben existir en origen porque no se pueden reconstruir después. Certificación consume esos datos y calcula/agrupa; no vuelve a pedirle al operario cantidades que el sistema ya puede derivar.</x:v>
      </x:c>
      <x:c r="I42" s="1706"/>
      <x:c r="J42" s="1706"/>
      <x:c r="K42" s="1706"/>
      <x:c r="L42" s="1706"/>
      <x:c r="M42" s="1706"/>
      <x:c r="N42" s="1706"/>
    </x:row>
    <x:row r="43" ht="58" customHeight="1">
      <x:c r="A43" s="1327" t="str">
        <x:v>Indemnizado</x:v>
      </x:c>
      <x:c r="B43" s="1327" t="str">
        <x:v>ítem/ejecución/medición</x:v>
      </x:c>
      <x:c r="C43" s="1327" t="str">
        <x:v>cantidad base + unidad + ítem + evidencia</x:v>
      </x:c>
      <x:c r="D43" s="1327" t="str">
        <x:v>cantidad certificable derivada (h, m³, viaje, pulg., etc.)</x:v>
      </x:c>
      <x:c r="E43" s="1327" t="str">
        <x:v>según contrato/período/CC/pozo</x:v>
      </x:c>
      <x:c r="F43" s="1327" t="str">
        <x:v>Hipótesis fuerte según respuestas</x:v>
      </x:c>
      <x:c r="G43" s="1277"/>
      <x:c r="H43" s="1706"/>
      <x:c r="I43" s="1706"/>
      <x:c r="J43" s="1706"/>
      <x:c r="K43" s="1706"/>
      <x:c r="L43" s="1706"/>
      <x:c r="M43" s="1706"/>
      <x:c r="N43" s="1706"/>
    </x:row>
    <x:row r="44" ht="58" customHeight="1">
      <x:c r="A44" s="1327" t="str">
        <x:v>Mensualizado</x:v>
      </x:c>
      <x:c r="B44" s="1327" t="str">
        <x:v>período/prestación</x:v>
      </x:c>
      <x:c r="C44" s="1327" t="str">
        <x:v>evidencia de prestación/disponibilidad + excepciones</x:v>
      </x:c>
      <x:c r="D44" s="1327" t="str">
        <x:v>cumplimiento/registro del período; no necesariamente suma de cada Parte</x:v>
      </x:c>
      <x:c r="E44" s="1327" t="str">
        <x:v>período mensual u otra cadencia</x:v>
      </x:c>
      <x:c r="F44" s="1327" t="str">
        <x:v>Respuesta inicial; falta contrato</x:v>
      </x:c>
      <x:c r="G44" s="1277"/>
      <x:c r="H44" s="1706"/>
      <x:c r="I44" s="1706"/>
      <x:c r="J44" s="1706"/>
      <x:c r="K44" s="1706"/>
      <x:c r="L44" s="1706"/>
      <x:c r="M44" s="1706"/>
      <x:c r="N44" s="1706"/>
    </x:row>
    <x:row r="45" ht="58" customHeight="1">
      <x:c r="A45" s="1327" t="str">
        <x:v>On Call</x:v>
      </x:c>
      <x:c r="B45" s="1327" t="str">
        <x:v>intervención/llamada</x:v>
      </x:c>
      <x:c r="C45" s="1327" t="str">
        <x:v>tarea puntual + aceptación/evidencia</x:v>
      </x:c>
      <x:c r="D45" s="1327" t="str">
        <x:v>unidad por intervención o regla del ítem</x:v>
      </x:c>
      <x:c r="E45" s="1327" t="str">
        <x:v>llamada/período/OC según contrato</x:v>
      </x:c>
      <x:c r="F45" s="1327" t="str">
        <x:v>Respuesta inicial; falta contrato</x:v>
      </x:c>
      <x:c r="G45" s="1277"/>
      <x:c r="H45" s="1706"/>
      <x:c r="I45" s="1706"/>
      <x:c r="J45" s="1706"/>
      <x:c r="K45" s="1706"/>
      <x:c r="L45" s="1706"/>
      <x:c r="M45" s="1706"/>
      <x:c r="N45" s="1706"/>
    </x:row>
    <x:row r="46" ht="58" customHeight="1">
      <x:c r="A46" s="1327" t="str">
        <x:v>Otro</x:v>
      </x:c>
      <x:c r="B46" s="1327" t="str">
        <x:v>configurable</x:v>
      </x:c>
      <x:c r="C46" s="1327" t="str">
        <x:v>según ItemContrato</x:v>
      </x:c>
      <x:c r="D46" s="1327" t="str">
        <x:v>ReglaMedicionItem</x:v>
      </x:c>
      <x:c r="E46" s="1327" t="str">
        <x:v>ReglaAgrupacion</x:v>
      </x:c>
      <x:c r="F46" s="1327" t="str">
        <x:v>Slot</x:v>
      </x:c>
      <x:c r="G46" s="1277"/>
      <x:c r="H46" s="1706"/>
      <x:c r="I46" s="1706"/>
      <x:c r="J46" s="1706"/>
      <x:c r="K46" s="1706"/>
      <x:c r="L46" s="1706"/>
      <x:c r="M46" s="1706"/>
      <x:c r="N46" s="1706"/>
    </x:row>
    <x:row r="47">
      <x:c r="A47" s="1277"/>
      <x:c r="B47" s="1277"/>
      <x:c r="C47" s="1277"/>
      <x:c r="D47" s="1277"/>
      <x:c r="E47" s="1277"/>
      <x:c r="F47" s="1277"/>
      <x:c r="G47" s="1277"/>
      <x:c r="H47" s="1277"/>
      <x:c r="I47" s="1277"/>
      <x:c r="J47" s="1277"/>
      <x:c r="K47" s="1277"/>
      <x:c r="L47" s="1277"/>
      <x:c r="M47" s="1277"/>
      <x:c r="N47" s="1277"/>
    </x:row>
    <x:row r="48">
      <x:c r="A48" s="1654" t="str">
        <x:v>05 — COMPUERTAS DE CERTIFICACIÓN / FACTURACIÓN · CADA GATE EXPLICA POR QUÉ ALGO NO AVANZA</x:v>
      </x:c>
      <x:c r="B48" s="1654"/>
      <x:c r="C48" s="1654"/>
      <x:c r="D48" s="1654"/>
      <x:c r="E48" s="1654"/>
      <x:c r="F48" s="1654"/>
      <x:c r="G48" s="1654"/>
      <x:c r="H48" s="1654"/>
      <x:c r="I48" s="1654"/>
      <x:c r="J48" s="1654"/>
      <x:c r="K48" s="1654"/>
      <x:c r="L48" s="1654"/>
      <x:c r="M48" s="1654"/>
      <x:c r="N48" s="1654"/>
    </x:row>
    <x:row r="49">
      <x:c r="A49" s="1277"/>
      <x:c r="B49" s="1277"/>
      <x:c r="C49" s="1277"/>
      <x:c r="D49" s="1277"/>
      <x:c r="E49" s="1277"/>
      <x:c r="F49" s="1277"/>
      <x:c r="G49" s="1277"/>
      <x:c r="H49" s="1277"/>
      <x:c r="I49" s="1277"/>
      <x:c r="J49" s="1277"/>
      <x:c r="K49" s="1277"/>
      <x:c r="L49" s="1277"/>
      <x:c r="M49" s="1277"/>
      <x:c r="N49" s="1277"/>
    </x:row>
    <x:row r="50">
      <x:c r="A50" s="1622" t="str">
        <x:v>C0
OPERACIÓN
cerrado_operativamente</x:v>
      </x:c>
      <x:c r="B50" s="1624"/>
      <x:c r="C50" s="1277"/>
      <x:c r="D50" s="1622" t="str">
        <x:v>C1
COMPLETITUD
evidencia/datos requeridos</x:v>
      </x:c>
      <x:c r="E50" s="1624"/>
      <x:c r="F50" s="1277"/>
      <x:c r="G50" s="1622" t="str">
        <x:v>C2
CONTRATO
ítem + CC + regla</x:v>
      </x:c>
      <x:c r="H50" s="1624"/>
      <x:c r="I50" s="1277"/>
      <x:c r="J50" s="1622" t="str">
        <x:v>C3
MEDICIÓN
cantidad + UM válidas</x:v>
      </x:c>
      <x:c r="K50" s="1624"/>
      <x:c r="L50" s="1277"/>
      <x:c r="M50" s="1622" t="str">
        <x:v>C4
ELEGIBLE
apto para agrupar</x:v>
      </x:c>
      <x:c r="N50" s="1624"/>
    </x:row>
    <x:row r="51">
      <x:c r="A51" s="1628"/>
      <x:c r="B51" s="1630"/>
      <x:c r="C51" s="1277"/>
      <x:c r="D51" s="1628"/>
      <x:c r="E51" s="1630"/>
      <x:c r="F51" s="1277"/>
      <x:c r="G51" s="1628"/>
      <x:c r="H51" s="1630"/>
      <x:c r="I51" s="1277"/>
      <x:c r="J51" s="1628"/>
      <x:c r="K51" s="1630"/>
      <x:c r="L51" s="1277"/>
      <x:c r="M51" s="1628"/>
      <x:c r="N51" s="1630"/>
    </x:row>
    <x:row r="52">
      <x:c r="A52" s="1628"/>
      <x:c r="B52" s="1630"/>
      <x:c r="C52" s="1297" t="str">
        <x:v>→</x:v>
      </x:c>
      <x:c r="D52" s="1628"/>
      <x:c r="E52" s="1630"/>
      <x:c r="F52" s="1297" t="str">
        <x:v>→</x:v>
      </x:c>
      <x:c r="G52" s="1628"/>
      <x:c r="H52" s="1630"/>
      <x:c r="I52" s="1297" t="str">
        <x:v>→</x:v>
      </x:c>
      <x:c r="J52" s="1628"/>
      <x:c r="K52" s="1630"/>
      <x:c r="L52" s="1297" t="str">
        <x:v>→</x:v>
      </x:c>
      <x:c r="M52" s="1628"/>
      <x:c r="N52" s="1630"/>
    </x:row>
    <x:row r="53">
      <x:c r="A53" s="1628"/>
      <x:c r="B53" s="1630"/>
      <x:c r="C53" s="1277"/>
      <x:c r="D53" s="1628"/>
      <x:c r="E53" s="1630"/>
      <x:c r="F53" s="1277"/>
      <x:c r="G53" s="1628"/>
      <x:c r="H53" s="1630"/>
      <x:c r="I53" s="1277"/>
      <x:c r="J53" s="1628"/>
      <x:c r="K53" s="1630"/>
      <x:c r="L53" s="1277"/>
      <x:c r="M53" s="1628"/>
      <x:c r="N53" s="1630"/>
    </x:row>
    <x:row r="54">
      <x:c r="A54" s="1634"/>
      <x:c r="B54" s="1636"/>
      <x:c r="C54" s="1277"/>
      <x:c r="D54" s="1634"/>
      <x:c r="E54" s="1636"/>
      <x:c r="F54" s="1277"/>
      <x:c r="G54" s="1634"/>
      <x:c r="H54" s="1636"/>
      <x:c r="I54" s="1277"/>
      <x:c r="J54" s="1634"/>
      <x:c r="K54" s="1636"/>
      <x:c r="L54" s="1277"/>
      <x:c r="M54" s="1634"/>
      <x:c r="N54" s="1636"/>
    </x:row>
    <x:row r="55">
      <x:c r="A55" s="1277"/>
      <x:c r="B55" s="1277"/>
      <x:c r="C55" s="1277"/>
      <x:c r="D55" s="1277"/>
      <x:c r="E55" s="1277"/>
      <x:c r="F55" s="1277"/>
      <x:c r="G55" s="1277"/>
      <x:c r="H55" s="1277"/>
      <x:c r="I55" s="1277"/>
      <x:c r="J55" s="1277"/>
      <x:c r="K55" s="1277"/>
      <x:c r="L55" s="1277"/>
      <x:c r="M55" s="1277"/>
      <x:c r="N55" s="1277"/>
    </x:row>
    <x:row r="56">
      <x:c r="A56" s="1277"/>
      <x:c r="B56" s="1277"/>
      <x:c r="C56" s="1277"/>
      <x:c r="D56" s="1277"/>
      <x:c r="E56" s="1277"/>
      <x:c r="F56" s="1277"/>
      <x:c r="G56" s="1277"/>
      <x:c r="H56" s="1277"/>
      <x:c r="I56" s="1277"/>
      <x:c r="J56" s="1277"/>
      <x:c r="K56" s="1277"/>
      <x:c r="L56" s="1277"/>
      <x:c r="M56" s="1277"/>
      <x:c r="N56" s="1277"/>
    </x:row>
    <x:row r="57">
      <x:c r="A57" s="1277"/>
      <x:c r="B57" s="1622" t="str">
        <x:v>C5
AGRUPACIÓN
PaqueteCertificacion
según regla/cadencia</x:v>
      </x:c>
      <x:c r="C57" s="1623"/>
      <x:c r="D57" s="1624"/>
      <x:c r="E57" s="1277"/>
      <x:c r="F57" s="1622" t="str">
        <x:v>C6
CONFORMIDAD
cliente/rol aprueba
u observa</x:v>
      </x:c>
      <x:c r="G57" s="1623"/>
      <x:c r="H57" s="1624"/>
      <x:c r="I57" s="1277"/>
      <x:c r="J57" s="1622" t="str">
        <x:v>F1
FACTURABLE
certificado + requisitos
administrativos</x:v>
      </x:c>
      <x:c r="K57" s="1623"/>
      <x:c r="L57" s="1624"/>
      <x:c r="M57" s="1622" t="str">
        <x:v>F2
EMISIÓN
lote / factura</x:v>
      </x:c>
      <x:c r="N57" s="1624"/>
    </x:row>
    <x:row r="58">
      <x:c r="A58" s="1277"/>
      <x:c r="B58" s="1628"/>
      <x:c r="C58" s="1629"/>
      <x:c r="D58" s="1630"/>
      <x:c r="E58" s="1277"/>
      <x:c r="F58" s="1628"/>
      <x:c r="G58" s="1629"/>
      <x:c r="H58" s="1630"/>
      <x:c r="I58" s="1277"/>
      <x:c r="J58" s="1628"/>
      <x:c r="K58" s="1629"/>
      <x:c r="L58" s="1630"/>
      <x:c r="M58" s="1628"/>
      <x:c r="N58" s="1630"/>
    </x:row>
    <x:row r="59">
      <x:c r="A59" s="1277"/>
      <x:c r="B59" s="1628"/>
      <x:c r="C59" s="1629"/>
      <x:c r="D59" s="1630"/>
      <x:c r="E59" s="1297" t="str">
        <x:v>→</x:v>
      </x:c>
      <x:c r="F59" s="1628"/>
      <x:c r="G59" s="1629"/>
      <x:c r="H59" s="1630"/>
      <x:c r="I59" s="1297" t="str">
        <x:v>→</x:v>
      </x:c>
      <x:c r="J59" s="1628"/>
      <x:c r="K59" s="1629"/>
      <x:c r="L59" s="1630"/>
      <x:c r="M59" s="1628" t="str">
        <x:v>→</x:v>
      </x:c>
      <x:c r="N59" s="1630"/>
    </x:row>
    <x:row r="60">
      <x:c r="A60" s="1277"/>
      <x:c r="B60" s="1628"/>
      <x:c r="C60" s="1629"/>
      <x:c r="D60" s="1630"/>
      <x:c r="E60" s="1277"/>
      <x:c r="F60" s="1628"/>
      <x:c r="G60" s="1629"/>
      <x:c r="H60" s="1630"/>
      <x:c r="I60" s="1277"/>
      <x:c r="J60" s="1628"/>
      <x:c r="K60" s="1629"/>
      <x:c r="L60" s="1630"/>
      <x:c r="M60" s="1628"/>
      <x:c r="N60" s="1630"/>
    </x:row>
    <x:row r="61">
      <x:c r="A61" s="1277"/>
      <x:c r="B61" s="1634"/>
      <x:c r="C61" s="1635"/>
      <x:c r="D61" s="1636"/>
      <x:c r="E61" s="1277"/>
      <x:c r="F61" s="1634"/>
      <x:c r="G61" s="1635"/>
      <x:c r="H61" s="1636"/>
      <x:c r="I61" s="1277"/>
      <x:c r="J61" s="1634"/>
      <x:c r="K61" s="1635"/>
      <x:c r="L61" s="1636"/>
      <x:c r="M61" s="1634"/>
      <x:c r="N61" s="1636"/>
    </x:row>
    <x:row r="62">
      <x:c r="A62" s="1277"/>
      <x:c r="B62" s="1277"/>
      <x:c r="C62" s="1277"/>
      <x:c r="D62" s="1277"/>
      <x:c r="E62" s="1277"/>
      <x:c r="F62" s="1277"/>
      <x:c r="G62" s="1277"/>
      <x:c r="H62" s="1277"/>
      <x:c r="I62" s="1277"/>
      <x:c r="J62" s="1277"/>
      <x:c r="K62" s="1277"/>
      <x:c r="L62" s="1277"/>
      <x:c r="M62" s="1277"/>
      <x:c r="N62" s="1277"/>
    </x:row>
    <x:row r="63">
      <x:c r="A63" s="1277"/>
      <x:c r="B63" s="1277"/>
      <x:c r="C63" s="1277"/>
      <x:c r="D63" s="1277"/>
      <x:c r="E63" s="1277"/>
      <x:c r="F63" s="1277"/>
      <x:c r="G63" s="1277"/>
      <x:c r="H63" s="1277"/>
      <x:c r="I63" s="1277"/>
      <x:c r="J63" s="1277"/>
      <x:c r="K63" s="1277"/>
      <x:c r="L63" s="1277"/>
      <x:c r="M63" s="1277"/>
      <x:c r="N63" s="1277"/>
    </x:row>
    <x:row r="64">
      <x:c r="A64" s="1654" t="str">
        <x:v>06 — ESTADOS · SEPARAR OPERACIÓN, DOCUMENTACIÓN, CERTIFICACIÓN Y FACTURACIÓN</x:v>
      </x:c>
      <x:c r="B64" s="1654"/>
      <x:c r="C64" s="1654"/>
      <x:c r="D64" s="1654"/>
      <x:c r="E64" s="1654"/>
      <x:c r="F64" s="1654"/>
      <x:c r="G64" s="1654"/>
      <x:c r="H64" s="1654"/>
      <x:c r="I64" s="1654"/>
      <x:c r="J64" s="1654"/>
      <x:c r="K64" s="1654"/>
      <x:c r="L64" s="1654"/>
      <x:c r="M64" s="1654"/>
      <x:c r="N64" s="1654"/>
    </x:row>
    <x:row r="65">
      <x:c r="A65" s="1639" t="str">
        <x:v>Objeto</x:v>
      </x:c>
      <x:c r="B65" s="1639" t="str">
        <x:v>Estados propuestos</x:v>
      </x:c>
      <x:c r="C65" s="1639" t="str">
        <x:v>Quién los mueve</x:v>
      </x:c>
      <x:c r="D65" s="1639" t="str">
        <x:v>Qué significa</x:v>
      </x:c>
      <x:c r="E65" s="1639" t="str">
        <x:v>¿Bloquea Parte?</x:v>
      </x:c>
      <x:c r="F65" s="1639" t="str">
        <x:v>Nota</x:v>
      </x:c>
      <x:c r="G65" s="1277"/>
      <x:c r="H65" s="1277"/>
      <x:c r="I65" s="1277"/>
      <x:c r="J65" s="1277"/>
      <x:c r="K65" s="1277"/>
      <x:c r="L65" s="1277"/>
      <x:c r="M65" s="1277"/>
      <x:c r="N65" s="1277"/>
    </x:row>
    <x:row r="66" ht="58" customHeight="1">
      <x:c r="A66" s="1327" t="str">
        <x:v>Parte</x:v>
      </x:c>
      <x:c r="B66" s="1327" t="str">
        <x:v>en_curso → cierre_pendiente → cerrado_operativamente</x:v>
      </x:c>
      <x:c r="C66" s="1327" t="str">
        <x:v>Campo/sistema</x:v>
      </x:c>
      <x:c r="D66" s="1327" t="str">
        <x:v>Trabajo terminó</x:v>
      </x:c>
      <x:c r="E66" s="1327" t="str">
        <x:v>—</x:v>
      </x:c>
      <x:c r="F66" s="1327" t="str">
        <x:v>No usar 'certificable' como estado operativo.</x:v>
      </x:c>
      <x:c r="G66" s="1277"/>
      <x:c r="H66" s="1277"/>
      <x:c r="I66" s="1277"/>
      <x:c r="J66" s="1277"/>
      <x:c r="K66" s="1277"/>
      <x:c r="L66" s="1277"/>
      <x:c r="M66" s="1277"/>
      <x:c r="N66" s="1277"/>
    </x:row>
    <x:row r="67" ht="58" customHeight="1">
      <x:c r="A67" s="1327" t="str">
        <x:v>UnidadComercial</x:v>
      </x:c>
      <x:c r="B67" s="1327" t="str">
        <x:v>incompleta → elegible → incluida → observada/aceptada/rechazada</x:v>
      </x:c>
      <x:c r="C67" s="1327" t="str">
        <x:v>Motor + Certificaciones/cliente</x:v>
      </x:c>
      <x:c r="D67" s="1327" t="str">
        <x:v>Madurez comercial</x:v>
      </x:c>
      <x:c r="E67" s="1327" t="str">
        <x:v>No</x:v>
      </x:c>
      <x:c r="F67" s="1327" t="str">
        <x:v>Puede divergir dentro del mismo Parte.</x:v>
      </x:c>
      <x:c r="G67" s="1277"/>
      <x:c r="H67" s="1277"/>
      <x:c r="I67" s="1277"/>
      <x:c r="J67" s="1277"/>
      <x:c r="K67" s="1277"/>
      <x:c r="L67" s="1277"/>
      <x:c r="M67" s="1277"/>
      <x:c r="N67" s="1277"/>
    </x:row>
    <x:row r="68" ht="58" customHeight="1">
      <x:c r="A68" s="1327" t="str">
        <x:v>PaqueteCertificacion</x:v>
      </x:c>
      <x:c r="B68" s="1327" t="str">
        <x:v>borrador → listo → enviado → observado → aceptado / parcial</x:v>
      </x:c>
      <x:c r="C68" s="1327" t="str">
        <x:v>Sistema + Certificaciones</x:v>
      </x:c>
      <x:c r="D68" s="1327" t="str">
        <x:v>Ciclo de envío/aceptación</x:v>
      </x:c>
      <x:c r="E68" s="1327" t="str">
        <x:v>No</x:v>
      </x:c>
      <x:c r="F68" s="1327" t="str">
        <x:v>Parcialidad pendiente de validar.</x:v>
      </x:c>
      <x:c r="G68" s="1277"/>
      <x:c r="H68" s="1277"/>
      <x:c r="I68" s="1277"/>
      <x:c r="J68" s="1277"/>
      <x:c r="K68" s="1277"/>
      <x:c r="L68" s="1277"/>
      <x:c r="M68" s="1277"/>
      <x:c r="N68" s="1277"/>
    </x:row>
    <x:row r="69" ht="58" customHeight="1">
      <x:c r="A69" s="1327" t="str">
        <x:v>LineaFacturable</x:v>
      </x:c>
      <x:c r="B69" s="1327" t="str">
        <x:v>pendiente → habilitada → incluida</x:v>
      </x:c>
      <x:c r="C69" s="1327" t="str">
        <x:v>Sistema/Facturación</x:v>
      </x:c>
      <x:c r="D69" s="1327" t="str">
        <x:v>Aceptación convertida en base facturable</x:v>
      </x:c>
      <x:c r="E69" s="1327" t="str">
        <x:v>No</x:v>
      </x:c>
      <x:c r="F69" s="1327" t="str">
        <x:v>No existe antes de certificación.</x:v>
      </x:c>
      <x:c r="G69" s="1277"/>
      <x:c r="H69" s="1277"/>
      <x:c r="I69" s="1277"/>
      <x:c r="J69" s="1277"/>
      <x:c r="K69" s="1277"/>
      <x:c r="L69" s="1277"/>
      <x:c r="M69" s="1277"/>
      <x:c r="N69" s="1277"/>
    </x:row>
    <x:row r="70" ht="58" customHeight="1">
      <x:c r="A70" s="1327" t="str">
        <x:v>Factura/Lote</x:v>
      </x:c>
      <x:c r="B70" s="1327" t="str">
        <x:v>borrador → emitido → observado/rechazado/aceptado</x:v>
      </x:c>
      <x:c r="C70" s="1327" t="str">
        <x:v>Facturación/cliente</x:v>
      </x:c>
      <x:c r="D70" s="1327" t="str">
        <x:v>Documento comercial</x:v>
      </x:c>
      <x:c r="E70" s="1327" t="str">
        <x:v>No</x:v>
      </x:c>
      <x:c r="F70" s="1327" t="str">
        <x:v>Cobranza fuera de alcance actual.</x:v>
      </x:c>
      <x:c r="G70" s="1277"/>
      <x:c r="H70" s="1277"/>
      <x:c r="I70" s="1277"/>
      <x:c r="J70" s="1277"/>
      <x:c r="K70" s="1277"/>
      <x:c r="L70" s="1277"/>
      <x:c r="M70" s="1277"/>
      <x:c r="N70" s="1277"/>
    </x:row>
    <x:row r="71">
      <x:c r="A71" s="1277"/>
      <x:c r="B71" s="1277"/>
      <x:c r="C71" s="1277"/>
      <x:c r="D71" s="1277"/>
      <x:c r="E71" s="1277"/>
      <x:c r="F71" s="1277"/>
      <x:c r="G71" s="1277"/>
      <x:c r="H71" s="1277"/>
      <x:c r="I71" s="1277"/>
      <x:c r="J71" s="1277"/>
      <x:c r="K71" s="1277"/>
      <x:c r="L71" s="1277"/>
      <x:c r="M71" s="1277"/>
      <x:c r="N71" s="1277"/>
    </x:row>
    <x:row r="72">
      <x:c r="A72" s="1654" t="str">
        <x:v>07 — OBSERVACIONES Y AJUSTES · NUNCA CORREGIR COMERCIALMENTE EDITANDO EL PARTE</x:v>
      </x:c>
      <x:c r="B72" s="1654"/>
      <x:c r="C72" s="1654"/>
      <x:c r="D72" s="1654"/>
      <x:c r="E72" s="1654"/>
      <x:c r="F72" s="1654"/>
      <x:c r="G72" s="1654"/>
      <x:c r="H72" s="1654"/>
      <x:c r="I72" s="1654"/>
      <x:c r="J72" s="1654"/>
      <x:c r="K72" s="1654"/>
      <x:c r="L72" s="1654"/>
      <x:c r="M72" s="1654"/>
      <x:c r="N72" s="1654"/>
    </x:row>
    <x:row r="73">
      <x:c r="A73" s="1639" t="str">
        <x:v>Problema detectado</x:v>
      </x:c>
      <x:c r="B73" s="1639" t="str">
        <x:v>Dónde se registra</x:v>
      </x:c>
      <x:c r="C73" s="1639" t="str">
        <x:v>Acción correcta</x:v>
      </x:c>
      <x:c r="D73" s="1639" t="str">
        <x:v>¿Toca Parte?</x:v>
      </x:c>
      <x:c r="E73" s="1639" t="str">
        <x:v>Auditoría</x:v>
      </x:c>
      <x:c r="F73" s="1639" t="str">
        <x:v>Ejemplo</x:v>
      </x:c>
      <x:c r="G73" s="1277"/>
      <x:c r="H73" s="1706" t="str">
        <x:v>POR QUÉ ES CRÍTICO
v0.9 formaliza dos caminos distintos:
1) ERROR OPERATIVO REAL → EnmiendaOperativa append-only antes/durante Certificación.
2) DIFERENCIA COMERCIAL → AjusteCertificacion downstream.
Nunca usar el ajuste comercial para 'arreglar' KPIs operativos ni permitir que Certificaciones reescriba silenciosamente la evidencia de campo.</x:v>
      </x:c>
      <x:c r="I73" s="1706"/>
      <x:c r="J73" s="1706"/>
      <x:c r="K73" s="1706"/>
      <x:c r="L73" s="1706"/>
      <x:c r="M73" s="1706"/>
      <x:c r="N73" s="1706"/>
    </x:row>
    <x:row r="74" ht="52" customHeight="1">
      <x:c r="A74" s="1327" t="str">
        <x:v>Falta firma/evidencia</x:v>
      </x:c>
      <x:c r="B74" s="1327" t="str">
        <x:v>ObservacionCertificacion</x:v>
      </x:c>
      <x:c r="C74" s="1327" t="str">
        <x:v>solicitar evidencia/conformidad</x:v>
      </x:c>
      <x:c r="D74" s="1327" t="str">
        <x:v>No</x:v>
      </x:c>
      <x:c r="E74" s="1327" t="str">
        <x:v>evento + responsable + SLA</x:v>
      </x:c>
      <x:c r="F74" s="1327" t="str">
        <x:v>firma cliente pendiente</x:v>
      </x:c>
      <x:c r="G74" s="1277"/>
      <x:c r="H74" s="1706"/>
      <x:c r="I74" s="1706"/>
      <x:c r="J74" s="1706"/>
      <x:c r="K74" s="1706"/>
      <x:c r="L74" s="1706"/>
      <x:c r="M74" s="1706"/>
      <x:c r="N74" s="1706"/>
    </x:row>
    <x:row r="75" ht="52" customHeight="1">
      <x:c r="A75" s="1327" t="str">
        <x:v>Ítem contractual ambiguo</x:v>
      </x:c>
      <x:c r="B75" s="1327" t="str">
        <x:v>ObservacionCertificacion</x:v>
      </x:c>
      <x:c r="C75" s="1327" t="str">
        <x:v>resolver mapping con rol autorizado</x:v>
      </x:c>
      <x:c r="D75" s="1327" t="str">
        <x:v>No</x:v>
      </x:c>
      <x:c r="E75" s="1327" t="str">
        <x:v>antes/después + motivo</x:v>
      </x:c>
      <x:c r="F75" s="1327" t="str">
        <x:v>dos ítems posibles</x:v>
      </x:c>
      <x:c r="G75" s="1277"/>
      <x:c r="H75" s="1706"/>
      <x:c r="I75" s="1706"/>
      <x:c r="J75" s="1706"/>
      <x:c r="K75" s="1706"/>
      <x:c r="L75" s="1706"/>
      <x:c r="M75" s="1706"/>
      <x:c r="N75" s="1706"/>
    </x:row>
    <x:row r="76" ht="52" customHeight="1">
      <x:c r="A76" s="1327" t="str">
        <x:v>Cantidad no coincide</x:v>
      </x:c>
      <x:c r="B76" s="1327" t="str">
        <x:v>Observación + revisión medición</x:v>
      </x:c>
      <x:c r="C76" s="1327" t="str">
        <x:v>validar fuente o crear AjusteCertificacion</x:v>
      </x:c>
      <x:c r="D76" s="1327" t="str">
        <x:v>No salvo error real de evidencia</x:v>
      </x:c>
      <x:c r="E76" s="1327" t="str">
        <x:v>actor + justificación</x:v>
      </x:c>
      <x:c r="F76" s="1327" t="str">
        <x:v>horas reconocidas distintas</x:v>
      </x:c>
      <x:c r="G76" s="1277"/>
      <x:c r="H76" s="1706"/>
      <x:c r="I76" s="1706"/>
      <x:c r="J76" s="1706"/>
      <x:c r="K76" s="1706"/>
      <x:c r="L76" s="1706"/>
      <x:c r="M76" s="1706"/>
      <x:c r="N76" s="1706"/>
    </x:row>
    <x:row r="77" ht="52" customHeight="1">
      <x:c r="A77" s="1327" t="str">
        <x:v>Error real del Parte</x:v>
      </x:c>
      <x:c r="B77" s="1327" t="str">
        <x:v>EnmiendaOperativa</x:v>
      </x:c>
      <x:c r="C77" s="1327" t="str">
        <x:v>corregir valor operativo mediante append-only/versionado y revalidar lo afectado</x:v>
      </x:c>
      <x:c r="D77" s="1327" t="str">
        <x:v>Sí, de forma no destructiva y autorizada</x:v>
      </x:c>
      <x:c r="E77" s="1327" t="str">
        <x:v>valor anterior + nuevo + motivo + evidencia + solicitado/aprobado + timestamp</x:v>
      </x:c>
      <x:c r="F77" s="1327" t="str">
        <x:v>80 h cargadas por error → 8 h reales</x:v>
      </x:c>
      <x:c r="G77" s="1277"/>
      <x:c r="H77" s="1706"/>
      <x:c r="I77" s="1706"/>
      <x:c r="J77" s="1706"/>
      <x:c r="K77" s="1706"/>
      <x:c r="L77" s="1706"/>
      <x:c r="M77" s="1706"/>
      <x:c r="N77" s="1706"/>
    </x:row>
    <x:row r="78" ht="52" customHeight="1">
      <x:c r="A78" s="1327" t="str">
        <x:v>Rechazo cliente</x:v>
      </x:c>
      <x:c r="B78" s="1327" t="str">
        <x:v>ConformidadCliente</x:v>
      </x:c>
      <x:c r="C78" s="1327" t="str">
        <x:v>devolver a revisión/ajuste</x:v>
      </x:c>
      <x:c r="D78" s="1327" t="str">
        <x:v>No</x:v>
      </x:c>
      <x:c r="E78" s="1327" t="str">
        <x:v>respuesta externa</x:v>
      </x:c>
      <x:c r="F78" s="1327" t="str">
        <x:v>servicio no reconocido</x:v>
      </x:c>
      <x:c r="G78" s="1277"/>
      <x:c r="H78" s="1706"/>
      <x:c r="I78" s="1706"/>
      <x:c r="J78" s="1706"/>
      <x:c r="K78" s="1706"/>
      <x:c r="L78" s="1706"/>
      <x:c r="M78" s="1706"/>
      <x:c r="N78" s="1706"/>
    </x:row>
    <x:row r="79">
      <x:c r="A79" s="1277"/>
      <x:c r="B79" s="1277"/>
      <x:c r="C79" s="1277"/>
      <x:c r="D79" s="1277"/>
      <x:c r="E79" s="1277"/>
      <x:c r="F79" s="1277"/>
      <x:c r="G79" s="1277"/>
      <x:c r="H79" s="1277"/>
      <x:c r="I79" s="1277"/>
      <x:c r="J79" s="1277"/>
      <x:c r="K79" s="1277"/>
      <x:c r="L79" s="1277"/>
      <x:c r="M79" s="1277"/>
      <x:c r="N79" s="1277"/>
    </x:row>
    <x:row r="80">
      <x:c r="A80" s="1654" t="str">
        <x:v>08 — AGRUPACIÓN · LA REGLA CONTRACTUAL DECIDE QUÉ SE CERTIFICA JUNTO</x:v>
      </x:c>
      <x:c r="B80" s="1654"/>
      <x:c r="C80" s="1654"/>
      <x:c r="D80" s="1654"/>
      <x:c r="E80" s="1654"/>
      <x:c r="F80" s="1654"/>
      <x:c r="G80" s="1654"/>
      <x:c r="H80" s="2601" t="str">
        <x:v>PATCH v1.0 · TRES REGLAS QUE AHORA QUEDAN EXPLÍCITAS
1. GRANO COMERCIAL: ReglaGranoUnidadComercial decide si una UC nace por ejecución, movimiento, intervención, día o período.
2. PARCIALIDAD: ReglaParcialidadCertificacion decide si un paquete puede aceptar UC-1 mientras UC-2 queda observada.
3. LINEAGE: toda UC conserva fuente_ejecucion_version_id. Una EnmiendaOperativa puede marcarla REQUIERE_RECALCULO.</x:v>
      </x:c>
      <x:c r="I80" s="2601"/>
      <x:c r="J80" s="2601"/>
      <x:c r="K80" s="2601"/>
      <x:c r="L80" s="2601"/>
      <x:c r="M80" s="2601"/>
      <x:c r="N80" s="2601"/>
    </x:row>
    <x:row r="81">
      <x:c r="A81" s="1639" t="str">
        <x:v>Dimensión candidata</x:v>
      </x:c>
      <x:c r="B81" s="1639" t="str">
        <x:v>Ejemplo</x:v>
      </x:c>
      <x:c r="C81" s="1639" t="str">
        <x:v>Fuente actual</x:v>
      </x:c>
      <x:c r="D81" s="1639" t="str">
        <x:v>Nivel</x:v>
      </x:c>
      <x:c r="E81" s="1639" t="str">
        <x:v>¿Universal?</x:v>
      </x:c>
      <x:c r="F81" s="1639" t="str">
        <x:v>Diseño</x:v>
      </x:c>
      <x:c r="G81" s="1277"/>
      <x:c r="H81" s="2602"/>
      <x:c r="I81" s="2602"/>
      <x:c r="J81" s="2602"/>
      <x:c r="K81" s="2602"/>
      <x:c r="L81" s="2602"/>
      <x:c r="M81" s="2602"/>
      <x:c r="N81" s="2602"/>
    </x:row>
    <x:row r="82" ht="48" customHeight="1">
      <x:c r="A82" s="1327" t="str">
        <x:v>Pozo</x:v>
      </x:c>
      <x:c r="B82" s="1327" t="str">
        <x:v>CC27 agrupa por pozo</x:v>
      </x:c>
      <x:c r="C82" s="1327" t="str">
        <x:v>Seguimiento contratos</x:v>
      </x:c>
      <x:c r="D82" s="1327" t="str">
        <x:v>Unidad/Paquete</x:v>
      </x:c>
      <x:c r="E82" s="1327" t="str">
        <x:v>No</x:v>
      </x:c>
      <x:c r="F82" s="1327" t="str">
        <x:v>ReglaAgrupacionCertificacion</x:v>
      </x:c>
      <x:c r="G82" s="1277"/>
      <x:c r="H82" s="2602"/>
      <x:c r="I82" s="2602"/>
      <x:c r="J82" s="2602"/>
      <x:c r="K82" s="2602"/>
      <x:c r="L82" s="2602"/>
      <x:c r="M82" s="2602"/>
      <x:c r="N82" s="2602"/>
    </x:row>
    <x:row r="83" ht="48" customHeight="1">
      <x:c r="A83" s="1327" t="str">
        <x:v>Centro de Costo</x:v>
      </x:c>
      <x:c r="B83" s="1327" t="str">
        <x:v>CC26/27/80</x:v>
      </x:c>
      <x:c r="C83" s="1327" t="str">
        <x:v>Info VDS + negocio</x:v>
      </x:c>
      <x:c r="D83" s="1327" t="str">
        <x:v>Unidad/Paquete</x:v>
      </x:c>
      <x:c r="E83" s="1327" t="str">
        <x:v>Probable según contexto</x:v>
      </x:c>
      <x:c r="F83" s="1327" t="str">
        <x:v>No usar como Contrato</x:v>
      </x:c>
      <x:c r="G83" s="1277"/>
      <x:c r="H83" s="2602"/>
      <x:c r="I83" s="2602"/>
      <x:c r="J83" s="2602"/>
      <x:c r="K83" s="2602"/>
      <x:c r="L83" s="2602"/>
      <x:c r="M83" s="2602"/>
      <x:c r="N83" s="2602"/>
    </x:row>
    <x:row r="84" ht="48" customHeight="1">
      <x:c r="A84" s="1327" t="str">
        <x:v>Período</x:v>
      </x:c>
      <x:c r="B84" s="1327" t="str">
        <x:v>diario / semanal / ~10 días / mensual</x:v>
      </x:c>
      <x:c r="C84" s="1327" t="str">
        <x:v>Seguimiento + tipo contractual</x:v>
      </x:c>
      <x:c r="D84" s="1327" t="str">
        <x:v>Paquete</x:v>
      </x:c>
      <x:c r="E84" s="1327" t="str">
        <x:v>No</x:v>
      </x:c>
      <x:c r="F84" s="1327" t="str">
        <x:v>Cadencia separada</x:v>
      </x:c>
      <x:c r="G84" s="1277"/>
      <x:c r="H84" s="2602"/>
      <x:c r="I84" s="2602"/>
      <x:c r="J84" s="2602"/>
      <x:c r="K84" s="2602"/>
      <x:c r="L84" s="2602"/>
      <x:c r="M84" s="2602"/>
      <x:c r="N84" s="2602"/>
    </x:row>
    <x:row r="85" ht="48" customHeight="1">
      <x:c r="A85" s="1327" t="str">
        <x:v>ItemContrato</x:v>
      </x:c>
      <x:c r="B85" s="1327" t="str">
        <x:v>mismo ítem/UM</x:v>
      </x:c>
      <x:c r="C85" s="1327" t="str">
        <x:v>Lógica contractual</x:v>
      </x:c>
      <x:c r="D85" s="1327" t="str">
        <x:v>Unidad/Paquete</x:v>
      </x:c>
      <x:c r="E85" s="1327" t="str">
        <x:v>Probable</x:v>
      </x:c>
      <x:c r="F85" s="1327" t="str">
        <x:v>Slot hasta recibir contrato</x:v>
      </x:c>
      <x:c r="G85" s="1277"/>
      <x:c r="H85" s="2602"/>
      <x:c r="I85" s="2602"/>
      <x:c r="J85" s="2602"/>
      <x:c r="K85" s="2602"/>
      <x:c r="L85" s="2602"/>
      <x:c r="M85" s="2602"/>
      <x:c r="N85" s="2602"/>
    </x:row>
    <x:row r="86" ht="48" customHeight="1">
      <x:c r="A86" s="1327" t="str">
        <x:v>Cliente/Contrato</x:v>
      </x:c>
      <x:c r="B86" s="1327" t="str">
        <x:v>no mezclar contraparte</x:v>
      </x:c>
      <x:c r="C86" s="1327" t="str">
        <x:v>Arquitectura</x:v>
      </x:c>
      <x:c r="D86" s="1327" t="str">
        <x:v>Paquete</x:v>
      </x:c>
      <x:c r="E86" s="1327" t="str">
        <x:v>Sí como frontera comercial</x:v>
      </x:c>
      <x:c r="F86" s="1327" t="str">
        <x:v>Clave de agrupación</x:v>
      </x:c>
      <x:c r="G86" s="1277"/>
      <x:c r="H86" s="2602"/>
      <x:c r="I86" s="2602"/>
      <x:c r="J86" s="2602"/>
      <x:c r="K86" s="2602"/>
      <x:c r="L86" s="2602"/>
      <x:c r="M86" s="2602"/>
      <x:c r="N86" s="2602"/>
    </x:row>
    <x:row r="87">
      <x:c r="A87" s="1277"/>
      <x:c r="B87" s="1277"/>
      <x:c r="C87" s="1277"/>
      <x:c r="D87" s="1277"/>
      <x:c r="E87" s="1277"/>
      <x:c r="F87" s="1277"/>
      <x:c r="G87" s="1277"/>
      <x:c r="H87" s="1277"/>
      <x:c r="I87" s="1277"/>
      <x:c r="J87" s="1277"/>
      <x:c r="K87" s="1277"/>
      <x:c r="L87" s="1277"/>
      <x:c r="M87" s="1277"/>
      <x:c r="N87" s="1277"/>
    </x:row>
    <x:row r="88">
      <x:c r="A88" s="1654" t="str">
        <x:v>09 — FACTURACIÓN · CONSUMIR CERTIFICADO, NO VOLVER A INTERPRETAR CAMPO</x:v>
      </x:c>
      <x:c r="B88" s="1654"/>
      <x:c r="C88" s="1654"/>
      <x:c r="D88" s="1654"/>
      <x:c r="E88" s="1654"/>
      <x:c r="F88" s="1654"/>
      <x:c r="G88" s="1654"/>
      <x:c r="H88" s="3657" t="str">
        <x:v>PATCH REV E v2 · ENMIENDA DESPUÉS DE DERIVAR/CERTIFICAR
EnmiendaOperativa → nueva versión de ejecución.
Toda UC guarda fuente_ejecucion_version_id.
Si la fuente cambia:
UC previa → REQUIERE_RECALCULO / EN_REVISION
UC nueva → unidad_comercial_sustituye_a_id = UC previa
UC previa NUNCA se elimina.
Si ya fue aceptada/facturada, Q-04 define si se reabre, revierte o genera ajuste comercial. No fijar Nota de Crédito/Débito hasta conocer proceso/ERP.</x:v>
      </x:c>
      <x:c r="I88" s="3657"/>
      <x:c r="J88" s="3657"/>
      <x:c r="K88" s="3657"/>
      <x:c r="L88" s="3657"/>
      <x:c r="M88" s="3657"/>
      <x:c r="N88" s="3657"/>
    </x:row>
    <x:row r="89">
      <x:c r="A89" s="1277"/>
      <x:c r="B89" s="1277"/>
      <x:c r="C89" s="1277"/>
      <x:c r="D89" s="1277"/>
      <x:c r="E89" s="1277"/>
      <x:c r="F89" s="1277"/>
      <x:c r="G89" s="1277"/>
      <x:c r="H89" s="3657"/>
      <x:c r="I89" s="3657"/>
      <x:c r="J89" s="3657"/>
      <x:c r="K89" s="3657"/>
      <x:c r="L89" s="3657"/>
      <x:c r="M89" s="3657"/>
      <x:c r="N89" s="3657"/>
    </x:row>
    <x:row r="90">
      <x:c r="A90" s="1707" t="str">
        <x:v>CERTIFICACIÓN
ACEPTADA</x:v>
      </x:c>
      <x:c r="B90" s="1708"/>
      <x:c r="C90" s="1709"/>
      <x:c r="D90" s="1277"/>
      <x:c r="E90" s="1643" t="str">
        <x:v>ƒ LINEA
FACTURABLE
cantidad aceptada
+ ítem + referencias</x:v>
      </x:c>
      <x:c r="F90" s="1644"/>
      <x:c r="G90" s="1645"/>
      <x:c r="H90" s="3657"/>
      <x:c r="I90" s="3661" t="str">
        <x:v>ƒ LOTE
FACTURACIÓN
cliente · contrato
período · regla</x:v>
      </x:c>
      <x:c r="J90" s="3661"/>
      <x:c r="K90" s="3661"/>
      <x:c r="L90" s="3657"/>
      <x:c r="M90" s="3661" t="str">
        <x:v>FACTURA /
EXPORTACIÓN</x:v>
      </x:c>
      <x:c r="N90" s="3661"/>
    </x:row>
    <x:row r="91">
      <x:c r="A91" s="1710"/>
      <x:c r="B91" s="1711"/>
      <x:c r="C91" s="1712"/>
      <x:c r="D91" s="1277"/>
      <x:c r="E91" s="1646"/>
      <x:c r="F91" s="1647"/>
      <x:c r="G91" s="1648"/>
      <x:c r="H91" s="3657"/>
      <x:c r="I91" s="3661"/>
      <x:c r="J91" s="3662"/>
      <x:c r="K91" s="3661"/>
      <x:c r="L91" s="3657"/>
      <x:c r="M91" s="3661"/>
      <x:c r="N91" s="3661"/>
    </x:row>
    <x:row r="92">
      <x:c r="A92" s="1710"/>
      <x:c r="B92" s="1711"/>
      <x:c r="C92" s="1712"/>
      <x:c r="D92" s="1297" t="str">
        <x:v>→</x:v>
      </x:c>
      <x:c r="E92" s="1646"/>
      <x:c r="F92" s="1647"/>
      <x:c r="G92" s="1648"/>
      <x:c r="H92" s="3661" t="str">
        <x:v>→</x:v>
      </x:c>
      <x:c r="I92" s="3661"/>
      <x:c r="J92" s="3662"/>
      <x:c r="K92" s="3661"/>
      <x:c r="L92" s="3661" t="str">
        <x:v>→</x:v>
      </x:c>
      <x:c r="M92" s="3661"/>
      <x:c r="N92" s="3661"/>
    </x:row>
    <x:row r="93">
      <x:c r="A93" s="1710"/>
      <x:c r="B93" s="1711"/>
      <x:c r="C93" s="1712"/>
      <x:c r="D93" s="1277"/>
      <x:c r="E93" s="1646"/>
      <x:c r="F93" s="1647"/>
      <x:c r="G93" s="1648"/>
      <x:c r="H93" s="3657"/>
      <x:c r="I93" s="3661"/>
      <x:c r="J93" s="3662"/>
      <x:c r="K93" s="3661"/>
      <x:c r="L93" s="3657"/>
      <x:c r="M93" s="3661"/>
      <x:c r="N93" s="3661"/>
    </x:row>
    <x:row r="94">
      <x:c r="A94" s="1713"/>
      <x:c r="B94" s="1714"/>
      <x:c r="C94" s="1715"/>
      <x:c r="D94" s="1277"/>
      <x:c r="E94" s="1649"/>
      <x:c r="F94" s="1650"/>
      <x:c r="G94" s="1651"/>
      <x:c r="H94" s="3657"/>
      <x:c r="I94" s="3661"/>
      <x:c r="J94" s="3661"/>
      <x:c r="K94" s="3661"/>
      <x:c r="L94" s="3657"/>
      <x:c r="M94" s="3661"/>
      <x:c r="N94" s="3661"/>
    </x:row>
    <x:row r="95">
      <x:c r="A95" s="1277"/>
      <x:c r="B95" s="1277"/>
      <x:c r="C95" s="1277"/>
      <x:c r="D95" s="1277"/>
      <x:c r="E95" s="1277"/>
      <x:c r="F95" s="1277"/>
      <x:c r="G95" s="1277"/>
      <x:c r="H95" s="3657"/>
      <x:c r="I95" s="3657"/>
      <x:c r="J95" s="3657"/>
      <x:c r="K95" s="3657"/>
      <x:c r="L95" s="3657"/>
      <x:c r="M95" s="3657"/>
      <x:c r="N95" s="3657"/>
    </x:row>
    <x:row r="96">
      <x:c r="A96" s="1652" t="str">
        <x:v>Hasta recibir contratos/documentación de Facturación NO fijamos moneda, impuestos, Orden de Compra, formato fiscal ni reglas contables. Sí fijamos el principio: la cantidad y referencia comercial nacen de la Certificación aceptada; Facturación agrega requisitos administrativos, no reconstruye ejecución.</x:v>
      </x:c>
      <x:c r="B96" s="1652"/>
      <x:c r="C96" s="1652"/>
      <x:c r="D96" s="1652"/>
      <x:c r="E96" s="1652"/>
      <x:c r="F96" s="1652"/>
      <x:c r="G96" s="1652"/>
      <x:c r="H96" s="3657"/>
      <x:c r="I96" s="3657"/>
      <x:c r="J96" s="3657"/>
      <x:c r="K96" s="3657"/>
      <x:c r="L96" s="3657"/>
      <x:c r="M96" s="3657"/>
      <x:c r="N96" s="3657"/>
    </x:row>
    <x:row r="97">
      <x:c r="A97" s="1652"/>
      <x:c r="B97" s="1652"/>
      <x:c r="C97" s="1652"/>
      <x:c r="D97" s="1652"/>
      <x:c r="E97" s="1652"/>
      <x:c r="F97" s="1652"/>
      <x:c r="G97" s="1652"/>
      <x:c r="H97" s="3657"/>
      <x:c r="I97" s="3657"/>
      <x:c r="J97" s="3657"/>
      <x:c r="K97" s="3657"/>
      <x:c r="L97" s="3657"/>
      <x:c r="M97" s="3657"/>
      <x:c r="N97" s="3657"/>
    </x:row>
    <x:row r="98">
      <x:c r="A98" s="1652"/>
      <x:c r="B98" s="1652"/>
      <x:c r="C98" s="1652"/>
      <x:c r="D98" s="1652"/>
      <x:c r="E98" s="1652"/>
      <x:c r="F98" s="1652"/>
      <x:c r="G98" s="1652"/>
      <x:c r="H98" s="3657"/>
      <x:c r="I98" s="3657"/>
      <x:c r="J98" s="3657"/>
      <x:c r="K98" s="3657"/>
      <x:c r="L98" s="3657"/>
      <x:c r="M98" s="3657"/>
      <x:c r="N98" s="3657"/>
    </x:row>
    <x:row r="99">
      <x:c r="A99" s="1652"/>
      <x:c r="B99" s="1652"/>
      <x:c r="C99" s="1652"/>
      <x:c r="D99" s="1652"/>
      <x:c r="E99" s="1652"/>
      <x:c r="F99" s="1652"/>
      <x:c r="G99" s="1652"/>
      <x:c r="H99" s="3657"/>
      <x:c r="I99" s="3657"/>
      <x:c r="J99" s="3657"/>
      <x:c r="K99" s="3657"/>
      <x:c r="L99" s="3657"/>
      <x:c r="M99" s="3657"/>
      <x:c r="N99" s="3657"/>
    </x:row>
    <x:row r="100">
      <x:c r="A100" s="1277"/>
      <x:c r="B100" s="1277"/>
      <x:c r="C100" s="1277"/>
      <x:c r="D100" s="1277"/>
      <x:c r="E100" s="1277"/>
      <x:c r="F100" s="1277"/>
      <x:c r="G100" s="1277"/>
      <x:c r="H100" s="1277"/>
      <x:c r="I100" s="1277"/>
      <x:c r="J100" s="1277"/>
      <x:c r="K100" s="1277"/>
      <x:c r="L100" s="1277"/>
      <x:c r="M100" s="1277"/>
      <x:c r="N100" s="1277"/>
    </x:row>
    <x:row r="101">
      <x:c r="A101" s="1654" t="str">
        <x:v>10 — DATOS QUE CERTIFICACIÓN DEBE DEVOLVER AL SISTEMA · EL CICLO TIENE QUE APRENDER</x:v>
      </x:c>
      <x:c r="B101" s="1654"/>
      <x:c r="C101" s="1654"/>
      <x:c r="D101" s="1654"/>
      <x:c r="E101" s="1654"/>
      <x:c r="F101" s="1654"/>
      <x:c r="G101" s="1654"/>
      <x:c r="H101" s="1654"/>
      <x:c r="I101" s="1654"/>
      <x:c r="J101" s="1654"/>
      <x:c r="K101" s="1654"/>
      <x:c r="L101" s="1654"/>
      <x:c r="M101" s="1654"/>
      <x:c r="N101" s="1654"/>
    </x:row>
    <x:row r="102">
      <x:c r="A102" s="1639" t="str">
        <x:v>Dato/indicador</x:v>
      </x:c>
      <x:c r="B102" s="1639" t="str">
        <x:v>Fuente</x:v>
      </x:c>
      <x:c r="C102" s="1639" t="str">
        <x:v>Para qué sirve</x:v>
      </x:c>
      <x:c r="D102" s="1639" t="str">
        <x:v>Nivel</x:v>
      </x:c>
      <x:c r="E102" s="1639" t="str">
        <x:v>Manual?</x:v>
      </x:c>
      <x:c r="F102" s="1639" t="str">
        <x:v>Valor futuro</x:v>
      </x:c>
      <x:c r="G102" s="1277"/>
      <x:c r="H102" s="1277"/>
      <x:c r="I102" s="1277"/>
      <x:c r="J102" s="1277"/>
      <x:c r="K102" s="1277"/>
      <x:c r="L102" s="1277"/>
      <x:c r="M102" s="1277"/>
      <x:c r="N102" s="1277"/>
    </x:row>
    <x:row r="103" ht="46" customHeight="1">
      <x:c r="A103" s="1327" t="str">
        <x:v>first_pass_acceptance</x:v>
      </x:c>
      <x:c r="B103" s="1327" t="str">
        <x:v>paquetes/líneas aceptadas sin observación</x:v>
      </x:c>
      <x:c r="C103" s="1327" t="str">
        <x:v>medir calidad de Parte/evidencia</x:v>
      </x:c>
      <x:c r="D103" s="1327" t="str">
        <x:v>ContratoServicio/TipoParte</x:v>
      </x:c>
      <x:c r="E103" s="1327" t="str">
        <x:v>No</x:v>
      </x:c>
      <x:c r="F103" s="1327" t="str">
        <x:v>mejora captura</x:v>
      </x:c>
      <x:c r="G103" s="1277"/>
      <x:c r="H103" s="1277"/>
      <x:c r="I103" s="1277"/>
      <x:c r="J103" s="1277"/>
      <x:c r="K103" s="1277"/>
      <x:c r="L103" s="1277"/>
      <x:c r="M103" s="1277"/>
      <x:c r="N103" s="1277"/>
    </x:row>
    <x:row r="104" ht="46" customHeight="1">
      <x:c r="A104" s="1327" t="str">
        <x:v>motivo_observacion</x:v>
      </x:c>
      <x:c r="B104" s="1327" t="str">
        <x:v>ObservacionCertificacion</x:v>
      </x:c>
      <x:c r="C104" s="1327" t="str">
        <x:v>detectar campos/reglas que fallan</x:v>
      </x:c>
      <x:c r="D104" s="1327" t="str">
        <x:v>ítem/servicio</x:v>
      </x:c>
      <x:c r="E104" s="1327" t="str">
        <x:v>Catálogo + nota</x:v>
      </x:c>
      <x:c r="F104" s="1327" t="str">
        <x:v>rediseñar formulario</x:v>
      </x:c>
      <x:c r="G104" s="1277"/>
      <x:c r="H104" s="1277"/>
      <x:c r="I104" s="1277"/>
      <x:c r="J104" s="1277"/>
      <x:c r="K104" s="1277"/>
      <x:c r="L104" s="1277"/>
      <x:c r="M104" s="1277"/>
      <x:c r="N104" s="1277"/>
    </x:row>
    <x:row r="105" ht="46" customHeight="1">
      <x:c r="A105" s="1327" t="str">
        <x:v>lead_time_cierre_cert</x:v>
      </x:c>
      <x:c r="B105" s="1327" t="str">
        <x:v>timestamps cierre→aceptación</x:v>
      </x:c>
      <x:c r="C105" s="1327" t="str">
        <x:v>medir fricción administrativa</x:v>
      </x:c>
      <x:c r="D105" s="1327" t="str">
        <x:v>contrato/servicio</x:v>
      </x:c>
      <x:c r="E105" s="1327" t="str">
        <x:v>No</x:v>
      </x:c>
      <x:c r="F105" s="1327" t="str">
        <x:v>SLA</x:v>
      </x:c>
      <x:c r="G105" s="1277"/>
      <x:c r="H105" s="1277"/>
      <x:c r="I105" s="1277"/>
      <x:c r="J105" s="1277"/>
      <x:c r="K105" s="1277"/>
      <x:c r="L105" s="1277"/>
      <x:c r="M105" s="1277"/>
      <x:c r="N105" s="1277"/>
    </x:row>
    <x:row r="106" ht="46" customHeight="1">
      <x:c r="A106" s="1327" t="str">
        <x:v>lead_time_cert_fact</x:v>
      </x:c>
      <x:c r="B106" s="1327" t="str">
        <x:v>aceptación→emisión</x:v>
      </x:c>
      <x:c r="C106" s="1327" t="str">
        <x:v>medir backoffice</x:v>
      </x:c>
      <x:c r="D106" s="1327" t="str">
        <x:v>cliente/contrato</x:v>
      </x:c>
      <x:c r="E106" s="1327" t="str">
        <x:v>No</x:v>
      </x:c>
      <x:c r="F106" s="1327" t="str">
        <x:v>gestión</x:v>
      </x:c>
      <x:c r="G106" s="1277"/>
      <x:c r="H106" s="1277"/>
      <x:c r="I106" s="1277"/>
      <x:c r="J106" s="1277"/>
      <x:c r="K106" s="1277"/>
      <x:c r="L106" s="1277"/>
      <x:c r="M106" s="1277"/>
      <x:c r="N106" s="1277"/>
    </x:row>
    <x:row r="107" ht="46" customHeight="1">
      <x:c r="A107" s="1327" t="str">
        <x:v>ajuste_pct</x:v>
      </x:c>
      <x:c r="B107" s="1327" t="str">
        <x:v>cantidad ajustada / original</x:v>
      </x:c>
      <x:c r="C107" s="1327" t="str">
        <x:v>detectar discrepancias comerciales</x:v>
      </x:c>
      <x:c r="D107" s="1327" t="str">
        <x:v>ítem/contrato</x:v>
      </x:c>
      <x:c r="E107" s="1327" t="str">
        <x:v>No</x:v>
      </x:c>
      <x:c r="F107" s="1327" t="str">
        <x:v>calidad contractual</x:v>
      </x:c>
      <x:c r="G107" s="1277"/>
      <x:c r="H107" s="1277"/>
      <x:c r="I107" s="1277"/>
      <x:c r="J107" s="1277"/>
      <x:c r="K107" s="1277"/>
      <x:c r="L107" s="1277"/>
      <x:c r="M107" s="1277"/>
      <x:c r="N107" s="1277"/>
    </x:row>
    <x:row r="108" ht="46" customHeight="1">
      <x:c r="A108" s="1327" t="str">
        <x:v>backlog_certificable</x:v>
      </x:c>
      <x:c r="B108" s="1327" t="str">
        <x:v>unidades elegibles no agrupadas/aceptadas</x:v>
      </x:c>
      <x:c r="C108" s="1327" t="str">
        <x:v>visibilidad de ingresos pendientes</x:v>
      </x:c>
      <x:c r="D108" s="1327" t="str">
        <x:v>período</x:v>
      </x:c>
      <x:c r="E108" s="1327" t="str">
        <x:v>No</x:v>
      </x:c>
      <x:c r="F108" s="1327" t="str">
        <x:v>cash conversion</x:v>
      </x:c>
      <x:c r="G108" s="1277"/>
      <x:c r="H108" s="1277"/>
      <x:c r="I108" s="1277"/>
      <x:c r="J108" s="1277"/>
      <x:c r="K108" s="1277"/>
      <x:c r="L108" s="1277"/>
      <x:c r="M108" s="1277"/>
      <x:c r="N108" s="1277"/>
    </x:row>
    <x:row r="109">
      <x:c r="A109" s="1277"/>
      <x:c r="B109" s="1277"/>
      <x:c r="C109" s="1277"/>
      <x:c r="D109" s="1277"/>
      <x:c r="E109" s="1277"/>
      <x:c r="F109" s="1277"/>
      <x:c r="G109" s="1277"/>
      <x:c r="H109" s="1277"/>
      <x:c r="I109" s="1277"/>
      <x:c r="J109" s="1277"/>
      <x:c r="K109" s="1277"/>
      <x:c r="L109" s="1277"/>
      <x:c r="M109" s="1277"/>
      <x:c r="N109" s="1277"/>
    </x:row>
    <x:row r="110">
      <x:c r="A110" s="1654" t="str">
        <x:v>11 — BENCHMARK EXTERNO · FIELD TICKETS / SERVICE ACCEPTANCE</x:v>
      </x:c>
      <x:c r="B110" s="1654"/>
      <x:c r="C110" s="1654"/>
      <x:c r="D110" s="1654"/>
      <x:c r="E110" s="1654"/>
      <x:c r="F110" s="1654"/>
      <x:c r="G110" s="1654"/>
      <x:c r="H110" s="1654"/>
      <x:c r="I110" s="1654"/>
      <x:c r="J110" s="1654"/>
      <x:c r="K110" s="1654"/>
      <x:c r="L110" s="1654"/>
      <x:c r="M110" s="1654"/>
      <x:c r="N110" s="1654"/>
    </x:row>
    <x:row r="111">
      <x:c r="A111" s="1639" t="str">
        <x:v>Fuente</x:v>
      </x:c>
      <x:c r="B111" s="1639" t="str">
        <x:v>Práctica relevante</x:v>
      </x:c>
      <x:c r="C111" s="1639" t="str">
        <x:v>Qué valida</x:v>
      </x:c>
      <x:c r="D111" s="1639" t="str">
        <x:v>Qué NO copiamos</x:v>
      </x:c>
      <x:c r="E111" s="1639" t="str">
        <x:v>URL</x:v>
      </x:c>
      <x:c r="F111" s="1639" t="str">
        <x:v>Uso</x:v>
      </x:c>
      <x:c r="G111" s="1277"/>
      <x:c r="H111" s="1277"/>
      <x:c r="I111" s="1277"/>
      <x:c r="J111" s="1277"/>
      <x:c r="K111" s="1277"/>
      <x:c r="L111" s="1277"/>
      <x:c r="M111" s="1277"/>
      <x:c r="N111" s="1277"/>
    </x:row>
    <x:row r="112" ht="68" customHeight="1">
      <x:c r="A112" s="1327" t="str">
        <x:v>PIDX Field Ticket</x:v>
      </x:c>
      <x:c r="B112" s="1327" t="str">
        <x:v>El proveedor envía field ticket electrónico; el operador aprueba o rechaza si no coincide con el acuerdo; luego sigue el proceso de invoice.</x:v>
      </x:c>
      <x:c r="C112" s="1327" t="str">
        <x:v>Separar ejecución/evidencia de aceptación comercial y mantener response/status.</x:v>
      </x:c>
      <x:c r="D112" s="1327" t="str">
        <x:v>Esquema XML y proceso exacto.</x:v>
      </x:c>
      <x:c r="E112" s="1327" t="str">
        <x:v>https://pidx.org/pidx-international-releases-supply-notification-standard-2/</x:v>
      </x:c>
      <x:c r="F112" s="1327" t="str">
        <x:v>Benchmark Oil &amp; Gas</x:v>
      </x:c>
      <x:c r="G112" s="1277"/>
      <x:c r="H112" s="1277"/>
      <x:c r="I112" s="1277"/>
      <x:c r="J112" s="1277"/>
      <x:c r="K112" s="1277"/>
      <x:c r="L112" s="1277"/>
      <x:c r="M112" s="1277"/>
      <x:c r="N112" s="1277"/>
    </x:row>
    <x:row r="113" ht="68" customHeight="1">
      <x:c r="A113" s="1327" t="str">
        <x:v>PIDX Best Practices</x:v>
      </x:c>
      <x:c r="B113" s="1327" t="str">
        <x:v>Field Ticket es un proceso estándar upstream y se integra con Order/Invoice en una suite de intercambio entre socios.</x:v>
      </x:c>
      <x:c r="C113" s="1327" t="str">
        <x:v>Tratar Field Ticket como interfaz comercial interoperable, no PDF aislado.</x:v>
      </x:c>
      <x:c r="D113" s="1327" t="str">
        <x:v>Campos exactos del estándar hasta mapear necesidad VDS.</x:v>
      </x:c>
      <x:c r="E113" s="1327" t="str">
        <x:v>https://pidx.org/standards/</x:v>
      </x:c>
      <x:c r="F113" s="1327" t="str">
        <x:v>Benchmark Oil &amp; Gas</x:v>
      </x:c>
      <x:c r="G113" s="1277"/>
      <x:c r="H113" s="1277"/>
      <x:c r="I113" s="1277"/>
      <x:c r="J113" s="1277"/>
      <x:c r="K113" s="1277"/>
      <x:c r="L113" s="1277"/>
      <x:c r="M113" s="1277"/>
      <x:c r="N113" s="1277"/>
    </x:row>
    <x:row r="114" ht="68" customHeight="1">
      <x:c r="A114" s="1327" t="str">
        <x:v>SAP Service Entry Sheet</x:v>
      </x:c>
      <x:c r="B114" s="1327" t="str">
        <x:v>Servicios realmente prestados se registran contra orden; puede haber servicios planificados/no planificados; la aceptación formal precede a verificación de factura.</x:v>
      </x:c>
      <x:c r="C114" s="1327" t="str">
        <x:v>Separar prestación, aceptación y factura; soportar planned/unplanned.</x:v>
      </x:c>
      <x:c r="D114" s="1327" t="str">
        <x:v>Modelo SAP específico.</x:v>
      </x:c>
      <x:c r="E114" s="1327" t="str">
        <x:v>https://help.sap.com/docs/SAP_S4HANA_ON-PREMISE/af9ef57f504840d2b81be8667206d485/0ad9bb53707db44ce10000000a174cb4.html</x:v>
      </x:c>
      <x:c r="F114" s="1327" t="str">
        <x:v>Benchmark service procurement</x:v>
      </x:c>
      <x:c r="G114" s="1277"/>
      <x:c r="H114" s="1277"/>
      <x:c r="I114" s="1277"/>
      <x:c r="J114" s="1277"/>
      <x:c r="K114" s="1277"/>
      <x:c r="L114" s="1277"/>
      <x:c r="M114" s="1277"/>
      <x:c r="N114" s="1277"/>
    </x:row>
    <x:row r="115">
      <x:c r="A115" s="1277"/>
      <x:c r="B115" s="1277"/>
      <x:c r="C115" s="1277"/>
      <x:c r="D115" s="1277"/>
      <x:c r="E115" s="1277"/>
      <x:c r="F115" s="1277"/>
      <x:c r="G115" s="1277"/>
      <x:c r="H115" s="1277"/>
      <x:c r="I115" s="1277"/>
      <x:c r="J115" s="1277"/>
      <x:c r="K115" s="1277"/>
      <x:c r="L115" s="1277"/>
      <x:c r="M115" s="1277"/>
      <x:c r="N115" s="1277"/>
    </x:row>
    <x:row r="116">
      <x:c r="A116" s="1654" t="str">
        <x:v>12 — DECISIONES CRÍTICAS A VALIDAR ANTES DE CERRAR CERTIFICACIÓN / FACTURACIÓN</x:v>
      </x:c>
      <x:c r="B116" s="1654"/>
      <x:c r="C116" s="1654"/>
      <x:c r="D116" s="1654"/>
      <x:c r="E116" s="1654"/>
      <x:c r="F116" s="1654"/>
      <x:c r="G116" s="1654"/>
      <x:c r="H116" s="1654"/>
      <x:c r="I116" s="1654"/>
      <x:c r="J116" s="1654"/>
      <x:c r="K116" s="1654"/>
      <x:c r="L116" s="1654"/>
      <x:c r="M116" s="1654"/>
      <x:c r="N116" s="1654"/>
    </x:row>
    <x:row r="117">
      <x:c r="A117" s="1639" t="str">
        <x:v>ID</x:v>
      </x:c>
      <x:c r="B117" s="1639" t="str">
        <x:v>Decisión</x:v>
      </x:c>
      <x:c r="C117" s="1639" t="str">
        <x:v>Por qué importa</x:v>
      </x:c>
      <x:c r="D117" s="1639" t="str">
        <x:v>Quién</x:v>
      </x:c>
      <x:c r="E117" s="1639" t="str">
        <x:v>Prioridad</x:v>
      </x:c>
      <x:c r="F117" s="1639" t="str">
        <x:v>Si cambia</x:v>
      </x:c>
      <x:c r="G117" s="1277"/>
      <x:c r="H117" s="1277"/>
      <x:c r="I117" s="1277"/>
      <x:c r="J117" s="1277"/>
      <x:c r="K117" s="1277"/>
      <x:c r="L117" s="1277"/>
      <x:c r="M117" s="1277"/>
      <x:c r="N117" s="1277"/>
    </x:row>
    <x:row r="118" ht="48" customHeight="1">
      <x:c r="A118" s="1327" t="str">
        <x:v>C-V1</x:v>
      </x:c>
      <x:c r="B118" s="1327" t="str">
        <x:v>Grano comercial por contrato</x:v>
      </x:c>
      <x:c r="C118" s="1327" t="str">
        <x:v>Define UnidadComercial y cardinalidades.</x:v>
      </x:c>
      <x:c r="D118" s="1327" t="str">
        <x:v>Contratos/Certificaciones</x:v>
      </x:c>
      <x:c r="E118" s="1327" t="str">
        <x:v>Crítica</x:v>
      </x:c>
      <x:c r="F118" s="1327" t="str">
        <x:v>Cambia core downstream.</x:v>
      </x:c>
      <x:c r="G118" s="1277"/>
      <x:c r="H118" s="1277"/>
      <x:c r="I118" s="1277"/>
      <x:c r="J118" s="1277"/>
      <x:c r="K118" s="1277"/>
      <x:c r="L118" s="1277"/>
      <x:c r="M118" s="1277"/>
      <x:c r="N118" s="1277"/>
    </x:row>
    <x:row r="119" ht="48" customHeight="1">
      <x:c r="A119" s="1327" t="str">
        <x:v>C-V2</x:v>
      </x:c>
      <x:c r="B119" s="1327" t="str">
        <x:v>Certificación parcial</x:v>
      </x:c>
      <x:c r="C119" s="1327" t="str">
        <x:v>Evita que una línea observada bloquee todo el paquete.</x:v>
      </x:c>
      <x:c r="D119" s="1327" t="str">
        <x:v>Certificaciones</x:v>
      </x:c>
      <x:c r="E119" s="1327" t="str">
        <x:v>Crítica</x:v>
      </x:c>
      <x:c r="F119" s="1327" t="str">
        <x:v>Cambia estados y package model.</x:v>
      </x:c>
      <x:c r="G119" s="1277"/>
      <x:c r="H119" s="1277"/>
      <x:c r="I119" s="1277"/>
      <x:c r="J119" s="1277"/>
      <x:c r="K119" s="1277"/>
      <x:c r="L119" s="1277"/>
      <x:c r="M119" s="1277"/>
      <x:c r="N119" s="1277"/>
    </x:row>
    <x:row r="120" ht="48" customHeight="1">
      <x:c r="A120" s="1327" t="str">
        <x:v>C-V3</x:v>
      </x:c>
      <x:c r="B120" s="1327" t="str">
        <x:v>Alcance de conformidad/firma</x:v>
      </x:c>
      <x:c r="C120" s="1327" t="str">
        <x:v>Define cuándo algo pasa de completo a elegible/aceptado.</x:v>
      </x:c>
      <x:c r="D120" s="1327" t="str">
        <x:v>Certificaciones/Cliente</x:v>
      </x:c>
      <x:c r="E120" s="1327" t="str">
        <x:v>Crítica</x:v>
      </x:c>
      <x:c r="F120" s="1327" t="str">
        <x:v>Cambia Gate C4/C6.</x:v>
      </x:c>
      <x:c r="G120" s="1277"/>
      <x:c r="H120" s="1277"/>
      <x:c r="I120" s="1277"/>
      <x:c r="J120" s="1277"/>
      <x:c r="K120" s="1277"/>
      <x:c r="L120" s="1277"/>
      <x:c r="M120" s="1277"/>
      <x:c r="N120" s="1277"/>
    </x:row>
    <x:row r="121" ht="48" customHeight="1">
      <x:c r="A121" s="1327" t="str">
        <x:v>C-V4</x:v>
      </x:c>
      <x:c r="B121" s="1327" t="str">
        <x:v>Reglas agrupación</x:v>
      </x:c>
      <x:c r="C121" s="1327" t="str">
        <x:v>Determina PaqueteCertificacion.</x:v>
      </x:c>
      <x:c r="D121" s="1327" t="str">
        <x:v>Certificaciones/Contratos</x:v>
      </x:c>
      <x:c r="E121" s="1327" t="str">
        <x:v>Crítica</x:v>
      </x:c>
      <x:c r="F121" s="1327" t="str">
        <x:v>Cambia composición paquetes.</x:v>
      </x:c>
      <x:c r="G121" s="1277"/>
      <x:c r="H121" s="1277"/>
      <x:c r="I121" s="1277"/>
      <x:c r="J121" s="1277"/>
      <x:c r="K121" s="1277"/>
      <x:c r="L121" s="1277"/>
      <x:c r="M121" s="1277"/>
      <x:c r="N121" s="1277"/>
    </x:row>
    <x:row r="122" ht="48" customHeight="1">
      <x:c r="A122" s="1327" t="str">
        <x:v>C-V5</x:v>
      </x:c>
      <x:c r="B122" s="1327" t="str">
        <x:v>Ajustes comerciales</x:v>
      </x:c>
      <x:c r="C122" s="1327" t="str">
        <x:v>Protege verdad operativa y define autorizaciones.</x:v>
      </x:c>
      <x:c r="D122" s="1327" t="str">
        <x:v>Certificaciones/Administración</x:v>
      </x:c>
      <x:c r="E122" s="1327" t="str">
        <x:v>Crítica</x:v>
      </x:c>
      <x:c r="F122" s="1327" t="str">
        <x:v>Cambia audit trail.</x:v>
      </x:c>
      <x:c r="G122" s="1277"/>
      <x:c r="H122" s="1277"/>
      <x:c r="I122" s="1277"/>
      <x:c r="J122" s="1277"/>
      <x:c r="K122" s="1277"/>
      <x:c r="L122" s="1277"/>
      <x:c r="M122" s="1277"/>
      <x:c r="N122" s="1277"/>
    </x:row>
    <x:row r="123" ht="48" customHeight="1">
      <x:c r="A123" s="1327" t="str">
        <x:v>F-V1</x:v>
      </x:c>
      <x:c r="B123" s="1327" t="str">
        <x:v>Lote de factura</x:v>
      </x:c>
      <x:c r="C123" s="1327" t="str">
        <x:v>Define agrupación de lo certificado para emisión.</x:v>
      </x:c>
      <x:c r="D123" s="1327" t="str">
        <x:v>Facturación</x:v>
      </x:c>
      <x:c r="E123" s="1327" t="str">
        <x:v>Crítica</x:v>
      </x:c>
      <x:c r="F123" s="1327" t="str">
        <x:v>Cambia LoteFacturacion.</x:v>
      </x:c>
      <x:c r="G123" s="1277"/>
      <x:c r="H123" s="1277"/>
      <x:c r="I123" s="1277"/>
      <x:c r="J123" s="1277"/>
      <x:c r="K123" s="1277"/>
      <x:c r="L123" s="1277"/>
      <x:c r="M123" s="1277"/>
      <x:c r="N123" s="1277"/>
    </x:row>
    <x:row r="124" ht="48" customHeight="1">
      <x:c r="A124" s="1327" t="str">
        <x:v>F-V2</x:v>
      </x:c>
      <x:c r="B124" s="1327" t="str">
        <x:v>Requisitos por cliente</x:v>
      </x:c>
      <x:c r="C124" s="1327" t="str">
        <x:v>Evita hardcodear referencias/adjuntos.</x:v>
      </x:c>
      <x:c r="D124" s="1327" t="str">
        <x:v>Facturación</x:v>
      </x:c>
      <x:c r="E124" s="1327" t="str">
        <x:v>Alta</x:v>
      </x:c>
      <x:c r="F124" s="1327" t="str">
        <x:v>Cambia ReglaFacturacion.</x:v>
      </x:c>
      <x:c r="G124" s="1277"/>
      <x:c r="H124" s="1277"/>
      <x:c r="I124" s="1277"/>
      <x:c r="J124" s="1277"/>
      <x:c r="K124" s="1277"/>
      <x:c r="L124" s="1277"/>
      <x:c r="M124" s="1277"/>
      <x:c r="N124" s="1277"/>
    </x:row>
  </x:sheetData>
  <x:mergeCells>
    <x:mergeCell ref="A1:N1"/>
    <x:mergeCell ref="A2:N2"/>
    <x:mergeCell ref="A4:N4"/>
    <x:mergeCell ref="A6:C10"/>
    <x:mergeCell ref="E6:G10"/>
    <x:mergeCell ref="I6:K10"/>
    <x:mergeCell ref="M6:N10"/>
    <x:mergeCell ref="A12:N15"/>
    <x:mergeCell ref="A17:N17"/>
    <x:mergeCell ref="A19:C23"/>
    <x:mergeCell ref="E19:G23"/>
    <x:mergeCell ref="I19:K23"/>
    <x:mergeCell ref="M19:N23"/>
    <x:mergeCell ref="A25:N28"/>
    <x:mergeCell ref="A30:N30"/>
    <x:mergeCell ref="A41:N41"/>
    <x:mergeCell ref="H42:N46"/>
    <x:mergeCell ref="A48:N48"/>
    <x:mergeCell ref="A50:B54"/>
    <x:mergeCell ref="D50:E54"/>
    <x:mergeCell ref="G50:H54"/>
    <x:mergeCell ref="J50:K54"/>
    <x:mergeCell ref="M50:N54"/>
    <x:mergeCell ref="B57:D61"/>
    <x:mergeCell ref="F57:H61"/>
    <x:mergeCell ref="J57:L61"/>
    <x:mergeCell ref="M57:N61"/>
    <x:mergeCell ref="A64:N64"/>
    <x:mergeCell ref="A72:N72"/>
    <x:mergeCell ref="H73:N78"/>
    <x:mergeCell ref="A80:N80"/>
    <x:mergeCell ref="A88:N88"/>
    <x:mergeCell ref="A90:C94"/>
    <x:mergeCell ref="E90:G94"/>
    <x:mergeCell ref="I90:K94"/>
    <x:mergeCell ref="M90:N94"/>
    <x:mergeCell ref="A96:N99"/>
    <x:mergeCell ref="A101:N101"/>
    <x:mergeCell ref="A110:N110"/>
    <x:mergeCell ref="A116:N116"/>
    <x:mergeCell ref="H80:N86"/>
    <x:mergeCell ref="H88:N99"/>
  </x:mergeCells>
  <x:pageMargins left="0.7" right="0.7" top="0.75" bottom="0.75" header="0.3" footer="0.3"/>
</x:worksheet>
</file>

<file path=xl/worksheets/sheet23.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s>
  <x:sheetData>
    <x:row r="1">
      <x:c r="A1" s="1653" t="str">
        <x:v>ARQUITECTURA INTEGRAL VDS · REV D.2 · CONTRATO → PLANIFICACIÓN → PARTES → CERTIFICACIÓN → FACTURACIÓN</x:v>
      </x:c>
      <x:c r="B1" s="1653"/>
      <x:c r="C1" s="1653"/>
      <x:c r="D1" s="1653"/>
      <x:c r="E1" s="1653"/>
      <x:c r="F1" s="1653"/>
      <x:c r="G1" s="1653"/>
      <x:c r="H1" s="1653"/>
      <x:c r="I1" s="1653"/>
      <x:c r="J1" s="1653"/>
      <x:c r="K1" s="1653"/>
      <x:c r="L1" s="1653"/>
      <x:c r="M1" s="1653"/>
      <x:c r="N1" s="1653"/>
      <x:c r="O1" s="1653"/>
      <x:c r="P1" s="1653"/>
      <x:c r="Q1" s="1653"/>
      <x:c r="R1" s="1653"/>
      <x:c r="S1" s="1653"/>
      <x:c r="T1" s="1653"/>
    </x:row>
    <x:row r="2">
      <x:c r="A2" s="1617" t="str">
        <x:v>Base de ingeniería para el diagrama visual final. La hoja muestra arquitectura y gates; las hojas 19/20 contienen la lógica interna detallada.</x:v>
      </x:c>
      <x:c r="B2" s="1617"/>
      <x:c r="C2" s="1617"/>
      <x:c r="D2" s="1617"/>
      <x:c r="E2" s="1617"/>
      <x:c r="F2" s="1617"/>
      <x:c r="G2" s="1617"/>
      <x:c r="H2" s="1617"/>
      <x:c r="I2" s="1617"/>
      <x:c r="J2" s="1617"/>
      <x:c r="K2" s="1617"/>
      <x:c r="L2" s="1617"/>
      <x:c r="M2" s="1617"/>
      <x:c r="N2" s="1617"/>
      <x:c r="O2" s="1617"/>
      <x:c r="P2" s="1617"/>
      <x:c r="Q2" s="1617"/>
      <x:c r="R2" s="1617"/>
      <x:c r="S2" s="1617"/>
      <x:c r="T2" s="1617"/>
    </x:row>
    <x:row r="3">
      <x:c r="A3" s="1277"/>
      <x:c r="B3" s="1277"/>
      <x:c r="C3" s="1277"/>
      <x:c r="D3" s="1277"/>
      <x:c r="E3" s="1277"/>
      <x:c r="F3" s="1277"/>
      <x:c r="G3" s="1277"/>
      <x:c r="H3" s="1277"/>
      <x:c r="I3" s="1277"/>
      <x:c r="J3" s="1277"/>
      <x:c r="K3" s="1277"/>
      <x:c r="L3" s="1277"/>
      <x:c r="M3" s="1277"/>
      <x:c r="N3" s="1277"/>
      <x:c r="O3" s="1277"/>
      <x:c r="P3" s="1277"/>
      <x:c r="Q3" s="1277"/>
      <x:c r="R3" s="1277"/>
      <x:c r="S3" s="1277"/>
      <x:c r="T3" s="1277"/>
    </x:row>
    <x:row r="4">
      <x:c r="A4" s="1654" t="str">
        <x:v>00 — PLANO CONTRACTUAL / CONFIGURACIÓN · PARAMETRIZA TODO EL SISTEMA</x:v>
      </x:c>
      <x:c r="B4" s="1654"/>
      <x:c r="C4" s="1654"/>
      <x:c r="D4" s="1654"/>
      <x:c r="E4" s="1654"/>
      <x:c r="F4" s="1654"/>
      <x:c r="G4" s="1654"/>
      <x:c r="H4" s="1654"/>
      <x:c r="I4" s="1654"/>
      <x:c r="J4" s="1654"/>
      <x:c r="K4" s="1654"/>
      <x:c r="L4" s="1654"/>
      <x:c r="M4" s="1654"/>
      <x:c r="N4" s="1654"/>
      <x:c r="O4" s="1654"/>
      <x:c r="P4" s="1654"/>
      <x:c r="Q4" s="1654"/>
      <x:c r="R4" s="1654"/>
      <x:c r="S4" s="1654"/>
      <x:c r="T4" s="1654"/>
    </x:row>
    <x:row r="5">
      <x:c r="A5" s="1277"/>
      <x:c r="B5" s="1277"/>
      <x:c r="C5" s="1277"/>
      <x:c r="D5" s="1277"/>
      <x:c r="E5" s="1277"/>
      <x:c r="F5" s="1277"/>
      <x:c r="G5" s="1277"/>
      <x:c r="H5" s="1277"/>
      <x:c r="I5" s="1277"/>
      <x:c r="J5" s="1277"/>
      <x:c r="K5" s="1277"/>
      <x:c r="L5" s="1277"/>
      <x:c r="M5" s="1277"/>
      <x:c r="N5" s="1277"/>
      <x:c r="O5" s="1277"/>
      <x:c r="P5" s="1277"/>
      <x:c r="Q5" s="1277"/>
      <x:c r="R5" s="1277"/>
      <x:c r="S5" s="1277"/>
      <x:c r="T5" s="1277"/>
    </x:row>
    <x:row r="6">
      <x:c r="A6" s="1772" t="str">
        <x:v>CLIENTE
+ CONTRATO
+ VERSIÓN</x:v>
      </x:c>
      <x:c r="B6" s="1773"/>
      <x:c r="C6" s="1774"/>
      <x:c r="D6" s="1277"/>
      <x:c r="E6" s="1622" t="str">
        <x:v>CONTRATO
SERVICIO</x:v>
      </x:c>
      <x:c r="F6" s="1623"/>
      <x:c r="G6" s="1624"/>
      <x:c r="H6" s="1277"/>
      <x:c r="I6" s="1619" t="str">
        <x:v>CENTRO COSTO
ITEM · UM
REGLA MEDICIÓN</x:v>
      </x:c>
      <x:c r="J6" s="1620"/>
      <x:c r="K6" s="1621"/>
      <x:c r="L6" s="1277"/>
      <x:c r="M6" s="1619" t="str">
        <x:v>REGLAS OPERATIVAS
planificación · ruteo
permisos · evidencia</x:v>
      </x:c>
      <x:c r="N6" s="1620"/>
      <x:c r="O6" s="1620"/>
      <x:c r="P6" s="1621"/>
      <x:c r="Q6" s="1277"/>
      <x:c r="R6" s="1619" t="str">
        <x:v>REGLAS COMERCIALES
agrupación · aceptación
facturación · cadencias</x:v>
      </x:c>
      <x:c r="S6" s="1620"/>
      <x:c r="T6" s="1621"/>
    </x:row>
    <x:row r="7">
      <x:c r="A7" s="1775"/>
      <x:c r="B7" s="1776"/>
      <x:c r="C7" s="1777"/>
      <x:c r="D7" s="1297" t="str">
        <x:v>→</x:v>
      </x:c>
      <x:c r="E7" s="1628"/>
      <x:c r="F7" s="1629"/>
      <x:c r="G7" s="1630"/>
      <x:c r="H7" s="1297" t="str">
        <x:v>→</x:v>
      </x:c>
      <x:c r="I7" s="1625"/>
      <x:c r="J7" s="1626"/>
      <x:c r="K7" s="1627"/>
      <x:c r="L7" s="1297" t="str">
        <x:v>→</x:v>
      </x:c>
      <x:c r="M7" s="1625"/>
      <x:c r="N7" s="1626"/>
      <x:c r="O7" s="1626"/>
      <x:c r="P7" s="1627"/>
      <x:c r="Q7" s="1297" t="str">
        <x:v>→</x:v>
      </x:c>
      <x:c r="R7" s="1625"/>
      <x:c r="S7" s="1626"/>
      <x:c r="T7" s="1627"/>
    </x:row>
    <x:row r="8">
      <x:c r="A8" s="1775"/>
      <x:c r="B8" s="1776"/>
      <x:c r="C8" s="1777"/>
      <x:c r="D8" s="1277"/>
      <x:c r="E8" s="1628"/>
      <x:c r="F8" s="1629"/>
      <x:c r="G8" s="1630"/>
      <x:c r="H8" s="1277"/>
      <x:c r="I8" s="1625"/>
      <x:c r="J8" s="1626"/>
      <x:c r="K8" s="1627"/>
      <x:c r="L8" s="1277"/>
      <x:c r="M8" s="1625"/>
      <x:c r="N8" s="1626"/>
      <x:c r="O8" s="1626"/>
      <x:c r="P8" s="1627"/>
      <x:c r="Q8" s="1277"/>
      <x:c r="R8" s="1625"/>
      <x:c r="S8" s="1626"/>
      <x:c r="T8" s="1627"/>
    </x:row>
    <x:row r="9">
      <x:c r="A9" s="1778"/>
      <x:c r="B9" s="1779"/>
      <x:c r="C9" s="1780"/>
      <x:c r="D9" s="1277"/>
      <x:c r="E9" s="1634"/>
      <x:c r="F9" s="1635"/>
      <x:c r="G9" s="1636"/>
      <x:c r="H9" s="1277"/>
      <x:c r="I9" s="1631"/>
      <x:c r="J9" s="1632"/>
      <x:c r="K9" s="1633"/>
      <x:c r="L9" s="1277"/>
      <x:c r="M9" s="1631"/>
      <x:c r="N9" s="1632"/>
      <x:c r="O9" s="1632"/>
      <x:c r="P9" s="1633"/>
      <x:c r="Q9" s="1277"/>
      <x:c r="R9" s="1631"/>
      <x:c r="S9" s="1632"/>
      <x:c r="T9" s="1633"/>
    </x:row>
    <x:row r="10">
      <x:c r="A10" s="1277"/>
      <x:c r="B10" s="1277"/>
      <x:c r="C10" s="1277"/>
      <x:c r="D10" s="1277"/>
      <x:c r="E10" s="1277"/>
      <x:c r="F10" s="1277"/>
      <x:c r="G10" s="1277"/>
      <x:c r="H10" s="1277"/>
      <x:c r="I10" s="1277"/>
      <x:c r="J10" s="1277"/>
      <x:c r="K10" s="1277"/>
      <x:c r="L10" s="1277"/>
      <x:c r="M10" s="1277"/>
      <x:c r="N10" s="1277"/>
      <x:c r="O10" s="1277"/>
      <x:c r="P10" s="1277"/>
      <x:c r="Q10" s="1277"/>
      <x:c r="R10" s="1277"/>
      <x:c r="S10" s="1277"/>
      <x:c r="T10" s="1277"/>
    </x:row>
    <x:row r="11">
      <x:c r="A11" s="1277"/>
      <x:c r="B11" s="1277"/>
      <x:c r="C11" s="1277"/>
      <x:c r="D11" s="1277"/>
      <x:c r="E11" s="1277"/>
      <x:c r="F11" s="1277"/>
      <x:c r="G11" s="1277"/>
      <x:c r="H11" s="1277"/>
      <x:c r="I11" s="1277"/>
      <x:c r="J11" s="1277"/>
      <x:c r="K11" s="1277"/>
      <x:c r="L11" s="1277"/>
      <x:c r="M11" s="1277"/>
      <x:c r="N11" s="1277"/>
      <x:c r="O11" s="1277"/>
      <x:c r="P11" s="1277"/>
      <x:c r="Q11" s="1277"/>
      <x:c r="R11" s="1277"/>
      <x:c r="S11" s="1277"/>
      <x:c r="T11" s="1277"/>
    </x:row>
    <x:row r="12">
      <x:c r="A12" s="1786" t="str">
        <x:v>01 — PLANIFICACIÓN</x:v>
      </x:c>
      <x:c r="B12" s="1786"/>
      <x:c r="C12" s="1786"/>
      <x:c r="D12" s="1786"/>
      <x:c r="E12" s="1786"/>
      <x:c r="F12" s="1786"/>
      <x:c r="G12" s="1654" t="str">
        <x:v>02 — EJECUCIÓN / PARTES</x:v>
      </x:c>
      <x:c r="H12" s="1654"/>
      <x:c r="I12" s="1654"/>
      <x:c r="J12" s="1654"/>
      <x:c r="K12" s="1654"/>
      <x:c r="L12" s="1654"/>
      <x:c r="M12" s="1654"/>
      <x:c r="N12" s="1786" t="str">
        <x:v>03 — CERTIFICACIÓN / FACTURACIÓN</x:v>
      </x:c>
      <x:c r="O12" s="1786"/>
      <x:c r="P12" s="1786"/>
      <x:c r="Q12" s="1786"/>
      <x:c r="R12" s="1786"/>
      <x:c r="S12" s="1786"/>
      <x:c r="T12" s="1786"/>
    </x:row>
    <x:row r="13">
      <x:c r="A13" s="1277"/>
      <x:c r="B13" s="1277"/>
      <x:c r="C13" s="1277"/>
      <x:c r="D13" s="1277"/>
      <x:c r="E13" s="1277"/>
      <x:c r="F13" s="1277"/>
      <x:c r="G13" s="1277"/>
      <x:c r="H13" s="1277"/>
      <x:c r="I13" s="1277"/>
      <x:c r="J13" s="1277"/>
      <x:c r="K13" s="1277"/>
      <x:c r="L13" s="1277"/>
      <x:c r="M13" s="1277"/>
      <x:c r="N13" s="1277"/>
      <x:c r="O13" s="1277"/>
      <x:c r="P13" s="1277"/>
      <x:c r="Q13" s="1277"/>
      <x:c r="R13" s="1277"/>
      <x:c r="S13" s="1277"/>
      <x:c r="T13" s="1277"/>
    </x:row>
    <x:row r="14">
      <x:c r="A14" s="1619" t="str">
        <x:v>DEMANDA OPERATIVA
backlog / necesidad</x:v>
      </x:c>
      <x:c r="B14" s="1620"/>
      <x:c r="C14" s="1620"/>
      <x:c r="D14" s="1620"/>
      <x:c r="E14" s="1620"/>
      <x:c r="F14" s="1621"/>
      <x:c r="G14" s="1622" t="str">
        <x:v>ƒ MOTOR DE RUTEO REAL
perfil + snapshot + contexto real</x:v>
      </x:c>
      <x:c r="H14" s="1623"/>
      <x:c r="I14" s="1623"/>
      <x:c r="J14" s="1623"/>
      <x:c r="K14" s="1623"/>
      <x:c r="L14" s="1623"/>
      <x:c r="M14" s="1624"/>
      <x:c r="N14" s="1622" t="str">
        <x:v>C0 · INGESTA
solo ejecución cerrada</x:v>
      </x:c>
      <x:c r="O14" s="1623"/>
      <x:c r="P14" s="1623"/>
      <x:c r="Q14" s="1623"/>
      <x:c r="R14" s="1623"/>
      <x:c r="S14" s="1623"/>
      <x:c r="T14" s="1624"/>
    </x:row>
    <x:row r="15">
      <x:c r="A15" s="1625"/>
      <x:c r="B15" s="1626"/>
      <x:c r="C15" s="1626"/>
      <x:c r="D15" s="1626"/>
      <x:c r="E15" s="1626"/>
      <x:c r="F15" s="1627"/>
      <x:c r="G15" s="1628"/>
      <x:c r="H15" s="1629"/>
      <x:c r="I15" s="1629"/>
      <x:c r="J15" s="1629"/>
      <x:c r="K15" s="1629"/>
      <x:c r="L15" s="1629"/>
      <x:c r="M15" s="1630"/>
      <x:c r="N15" s="1628"/>
      <x:c r="O15" s="1629"/>
      <x:c r="P15" s="1629"/>
      <x:c r="Q15" s="1629"/>
      <x:c r="R15" s="1629"/>
      <x:c r="S15" s="1629"/>
      <x:c r="T15" s="1630"/>
    </x:row>
    <x:row r="16">
      <x:c r="A16" s="1625"/>
      <x:c r="B16" s="1626"/>
      <x:c r="C16" s="1626"/>
      <x:c r="D16" s="1626"/>
      <x:c r="E16" s="1626"/>
      <x:c r="F16" s="1627"/>
      <x:c r="G16" s="1628"/>
      <x:c r="H16" s="1629"/>
      <x:c r="I16" s="1629"/>
      <x:c r="J16" s="1629"/>
      <x:c r="K16" s="1629"/>
      <x:c r="L16" s="1629"/>
      <x:c r="M16" s="1630"/>
      <x:c r="N16" s="1628"/>
      <x:c r="O16" s="1629"/>
      <x:c r="P16" s="1629"/>
      <x:c r="Q16" s="1629"/>
      <x:c r="R16" s="1629"/>
      <x:c r="S16" s="1629"/>
      <x:c r="T16" s="1630"/>
    </x:row>
    <x:row r="17">
      <x:c r="A17" s="1631"/>
      <x:c r="B17" s="1632"/>
      <x:c r="C17" s="1632"/>
      <x:c r="D17" s="1632"/>
      <x:c r="E17" s="1632"/>
      <x:c r="F17" s="1633"/>
      <x:c r="G17" s="1634"/>
      <x:c r="H17" s="1635"/>
      <x:c r="I17" s="1635"/>
      <x:c r="J17" s="1635"/>
      <x:c r="K17" s="1635"/>
      <x:c r="L17" s="1635"/>
      <x:c r="M17" s="1636"/>
      <x:c r="N17" s="1634"/>
      <x:c r="O17" s="1635"/>
      <x:c r="P17" s="1635"/>
      <x:c r="Q17" s="1635"/>
      <x:c r="R17" s="1635"/>
      <x:c r="S17" s="1635"/>
      <x:c r="T17" s="1636"/>
    </x:row>
    <x:row r="18">
      <x:c r="A18" s="1277"/>
      <x:c r="B18" s="1277"/>
      <x:c r="C18" s="1385" t="str">
        <x:v>↓</x:v>
      </x:c>
      <x:c r="D18" s="1277"/>
      <x:c r="E18" s="1277"/>
      <x:c r="F18" s="1277"/>
      <x:c r="G18" s="1277"/>
      <x:c r="H18" s="1277"/>
      <x:c r="I18" s="1277"/>
      <x:c r="J18" s="1385" t="str">
        <x:v>↓</x:v>
      </x:c>
      <x:c r="K18" s="1277"/>
      <x:c r="L18" s="1277"/>
      <x:c r="M18" s="1277"/>
      <x:c r="N18" s="1277"/>
      <x:c r="O18" s="1277"/>
      <x:c r="P18" s="1277"/>
      <x:c r="Q18" s="1385" t="str">
        <x:v>↓</x:v>
      </x:c>
      <x:c r="R18" s="1277"/>
      <x:c r="S18" s="1277"/>
      <x:c r="T18" s="1277"/>
    </x:row>
    <x:row r="19">
      <x:c r="A19" s="1619" t="str">
        <x:v>CALIFICAR + DEFINIR ALCANCE
ContratoServicio · tarea · ubicación</x:v>
      </x:c>
      <x:c r="B19" s="1620"/>
      <x:c r="C19" s="1620"/>
      <x:c r="D19" s="1620"/>
      <x:c r="E19" s="1620"/>
      <x:c r="F19" s="1621"/>
      <x:c r="G19" s="1622" t="str">
        <x:v>E1 · TIPO PARTE
revalidar · nunca selector libre</x:v>
      </x:c>
      <x:c r="H19" s="1623"/>
      <x:c r="I19" s="1623"/>
      <x:c r="J19" s="1623"/>
      <x:c r="K19" s="1623"/>
      <x:c r="L19" s="1623"/>
      <x:c r="M19" s="1624"/>
      <x:c r="N19" s="1622" t="str">
        <x:v>C1–C3 · NORMALIZAR
completitud · mapping contractual
cantidad + UM</x:v>
      </x:c>
      <x:c r="O19" s="1623"/>
      <x:c r="P19" s="1623"/>
      <x:c r="Q19" s="1623"/>
      <x:c r="R19" s="1623"/>
      <x:c r="S19" s="1623"/>
      <x:c r="T19" s="1624"/>
    </x:row>
    <x:row r="20">
      <x:c r="A20" s="1625"/>
      <x:c r="B20" s="1626"/>
      <x:c r="C20" s="1626"/>
      <x:c r="D20" s="1626"/>
      <x:c r="E20" s="1626"/>
      <x:c r="F20" s="1627"/>
      <x:c r="G20" s="1628"/>
      <x:c r="H20" s="1629"/>
      <x:c r="I20" s="1629"/>
      <x:c r="J20" s="1629"/>
      <x:c r="K20" s="1629"/>
      <x:c r="L20" s="1629"/>
      <x:c r="M20" s="1630"/>
      <x:c r="N20" s="1628"/>
      <x:c r="O20" s="1629"/>
      <x:c r="P20" s="1629"/>
      <x:c r="Q20" s="1629"/>
      <x:c r="R20" s="1629"/>
      <x:c r="S20" s="1629"/>
      <x:c r="T20" s="1630"/>
    </x:row>
    <x:row r="21">
      <x:c r="A21" s="1625"/>
      <x:c r="B21" s="1626"/>
      <x:c r="C21" s="1626"/>
      <x:c r="D21" s="1626"/>
      <x:c r="E21" s="1626"/>
      <x:c r="F21" s="1627"/>
      <x:c r="G21" s="1628"/>
      <x:c r="H21" s="1629"/>
      <x:c r="I21" s="1629"/>
      <x:c r="J21" s="1629"/>
      <x:c r="K21" s="1629"/>
      <x:c r="L21" s="1629"/>
      <x:c r="M21" s="1630"/>
      <x:c r="N21" s="1628"/>
      <x:c r="O21" s="1629"/>
      <x:c r="P21" s="1629"/>
      <x:c r="Q21" s="1629"/>
      <x:c r="R21" s="1629"/>
      <x:c r="S21" s="1629"/>
      <x:c r="T21" s="1630"/>
    </x:row>
    <x:row r="22">
      <x:c r="A22" s="1631"/>
      <x:c r="B22" s="1632"/>
      <x:c r="C22" s="1632"/>
      <x:c r="D22" s="1632"/>
      <x:c r="E22" s="1632"/>
      <x:c r="F22" s="1633"/>
      <x:c r="G22" s="1634"/>
      <x:c r="H22" s="1635"/>
      <x:c r="I22" s="1635"/>
      <x:c r="J22" s="1635"/>
      <x:c r="K22" s="1635"/>
      <x:c r="L22" s="1635"/>
      <x:c r="M22" s="1636"/>
      <x:c r="N22" s="1634"/>
      <x:c r="O22" s="1635"/>
      <x:c r="P22" s="1635"/>
      <x:c r="Q22" s="1635"/>
      <x:c r="R22" s="1635"/>
      <x:c r="S22" s="1635"/>
      <x:c r="T22" s="1636"/>
    </x:row>
    <x:row r="23">
      <x:c r="A23" s="1277"/>
      <x:c r="B23" s="1277"/>
      <x:c r="C23" s="1385" t="str">
        <x:v>↓</x:v>
      </x:c>
      <x:c r="D23" s="1277"/>
      <x:c r="E23" s="1277"/>
      <x:c r="F23" s="1277"/>
      <x:c r="G23" s="1277"/>
      <x:c r="H23" s="1277"/>
      <x:c r="I23" s="1277"/>
      <x:c r="J23" s="1385" t="str">
        <x:v>↓</x:v>
      </x:c>
      <x:c r="K23" s="1277"/>
      <x:c r="L23" s="1277"/>
      <x:c r="M23" s="1277"/>
      <x:c r="N23" s="1277"/>
      <x:c r="O23" s="1277"/>
      <x:c r="P23" s="1277"/>
      <x:c r="Q23" s="1385" t="str">
        <x:v>↓</x:v>
      </x:c>
      <x:c r="R23" s="1277"/>
      <x:c r="S23" s="1277"/>
      <x:c r="T23" s="1277"/>
    </x:row>
    <x:row r="24">
      <x:c r="A24" s="1619" t="str">
        <x:v>DIMENSIONAR CAPACIDAD
competencias · tipos/cantidad recursos</x:v>
      </x:c>
      <x:c r="B24" s="1620"/>
      <x:c r="C24" s="1620"/>
      <x:c r="D24" s="1620"/>
      <x:c r="E24" s="1620"/>
      <x:c r="F24" s="1621"/>
      <x:c r="G24" s="1622" t="str">
        <x:v>E2 · CONTROL DOCUMENTAL REAL
persona · recurso · contexto</x:v>
      </x:c>
      <x:c r="H24" s="1623"/>
      <x:c r="I24" s="1623"/>
      <x:c r="J24" s="1623"/>
      <x:c r="K24" s="1623"/>
      <x:c r="L24" s="1623"/>
      <x:c r="M24" s="1624"/>
      <x:c r="N24" s="1619" t="str">
        <x:v>UNIDAD COMERCIAL [N]
incompleta / elegible / observada</x:v>
      </x:c>
      <x:c r="O24" s="1620"/>
      <x:c r="P24" s="1620"/>
      <x:c r="Q24" s="1620"/>
      <x:c r="R24" s="1620"/>
      <x:c r="S24" s="1620"/>
      <x:c r="T24" s="1621"/>
    </x:row>
    <x:row r="25">
      <x:c r="A25" s="1625"/>
      <x:c r="B25" s="1626"/>
      <x:c r="C25" s="1626"/>
      <x:c r="D25" s="1626"/>
      <x:c r="E25" s="1626"/>
      <x:c r="F25" s="1627"/>
      <x:c r="G25" s="1628"/>
      <x:c r="H25" s="1629"/>
      <x:c r="I25" s="1629"/>
      <x:c r="J25" s="1629"/>
      <x:c r="K25" s="1629"/>
      <x:c r="L25" s="1629"/>
      <x:c r="M25" s="1630"/>
      <x:c r="N25" s="1625"/>
      <x:c r="O25" s="1626"/>
      <x:c r="P25" s="1626"/>
      <x:c r="Q25" s="1626"/>
      <x:c r="R25" s="1626"/>
      <x:c r="S25" s="1626"/>
      <x:c r="T25" s="1627"/>
    </x:row>
    <x:row r="26">
      <x:c r="A26" s="1625"/>
      <x:c r="B26" s="1626"/>
      <x:c r="C26" s="1626"/>
      <x:c r="D26" s="1626"/>
      <x:c r="E26" s="1626"/>
      <x:c r="F26" s="1627"/>
      <x:c r="G26" s="1628"/>
      <x:c r="H26" s="1629"/>
      <x:c r="I26" s="1629"/>
      <x:c r="J26" s="1629"/>
      <x:c r="K26" s="1629"/>
      <x:c r="L26" s="1629"/>
      <x:c r="M26" s="1630"/>
      <x:c r="N26" s="1625"/>
      <x:c r="O26" s="1626"/>
      <x:c r="P26" s="1626"/>
      <x:c r="Q26" s="1626"/>
      <x:c r="R26" s="1626"/>
      <x:c r="S26" s="1626"/>
      <x:c r="T26" s="1627"/>
    </x:row>
    <x:row r="27">
      <x:c r="A27" s="1631"/>
      <x:c r="B27" s="1632"/>
      <x:c r="C27" s="1632"/>
      <x:c r="D27" s="1632"/>
      <x:c r="E27" s="1632"/>
      <x:c r="F27" s="1633"/>
      <x:c r="G27" s="1634"/>
      <x:c r="H27" s="1635"/>
      <x:c r="I27" s="1635"/>
      <x:c r="J27" s="1635"/>
      <x:c r="K27" s="1635"/>
      <x:c r="L27" s="1635"/>
      <x:c r="M27" s="1636"/>
      <x:c r="N27" s="1631"/>
      <x:c r="O27" s="1632"/>
      <x:c r="P27" s="1632"/>
      <x:c r="Q27" s="1632"/>
      <x:c r="R27" s="1632"/>
      <x:c r="S27" s="1632"/>
      <x:c r="T27" s="1633"/>
    </x:row>
    <x:row r="28">
      <x:c r="A28" s="1277"/>
      <x:c r="B28" s="1277"/>
      <x:c r="C28" s="1385" t="str">
        <x:v>↓</x:v>
      </x:c>
      <x:c r="D28" s="1277"/>
      <x:c r="E28" s="1277"/>
      <x:c r="F28" s="1277"/>
      <x:c r="G28" s="1277"/>
      <x:c r="H28" s="1277"/>
      <x:c r="I28" s="1277"/>
      <x:c r="J28" s="1385" t="str">
        <x:v>↓</x:v>
      </x:c>
      <x:c r="K28" s="1277"/>
      <x:c r="L28" s="1277"/>
      <x:c r="M28" s="1277"/>
      <x:c r="N28" s="1277"/>
      <x:c r="O28" s="1277"/>
      <x:c r="P28" s="1277"/>
      <x:c r="Q28" s="1385" t="str">
        <x:v>↓</x:v>
      </x:c>
      <x:c r="R28" s="1277"/>
      <x:c r="S28" s="1277"/>
      <x:c r="T28" s="1277"/>
    </x:row>
    <x:row r="29">
      <x:c r="A29" s="1619" t="str">
        <x:v>PROGRAMAR / NOMINAR
ventana · turno · prioridad
personas/recursos cuando aplique</x:v>
      </x:c>
      <x:c r="B29" s="1620"/>
      <x:c r="C29" s="1620"/>
      <x:c r="D29" s="1620"/>
      <x:c r="E29" s="1620"/>
      <x:c r="F29" s="1621"/>
      <x:c r="G29" s="1622" t="str">
        <x:v>E3 · PERMISO / START-WORK
si aplica a tarea/sitio</x:v>
      </x:c>
      <x:c r="H29" s="1623"/>
      <x:c r="I29" s="1623"/>
      <x:c r="J29" s="1623"/>
      <x:c r="K29" s="1623"/>
      <x:c r="L29" s="1623"/>
      <x:c r="M29" s="1624"/>
      <x:c r="N29" s="1622" t="str">
        <x:v>C5 · AGRUPAR
ReglaAgrupacion + cadencia
→ PaqueteCertificacion</x:v>
      </x:c>
      <x:c r="O29" s="1623"/>
      <x:c r="P29" s="1623"/>
      <x:c r="Q29" s="1623"/>
      <x:c r="R29" s="1623"/>
      <x:c r="S29" s="1623"/>
      <x:c r="T29" s="1624"/>
    </x:row>
    <x:row r="30">
      <x:c r="A30" s="1625"/>
      <x:c r="B30" s="1626"/>
      <x:c r="C30" s="1626"/>
      <x:c r="D30" s="1626"/>
      <x:c r="E30" s="1626"/>
      <x:c r="F30" s="1627"/>
      <x:c r="G30" s="1628"/>
      <x:c r="H30" s="1629"/>
      <x:c r="I30" s="1629"/>
      <x:c r="J30" s="1629"/>
      <x:c r="K30" s="1629"/>
      <x:c r="L30" s="1629"/>
      <x:c r="M30" s="1630"/>
      <x:c r="N30" s="1628"/>
      <x:c r="O30" s="1629"/>
      <x:c r="P30" s="1629"/>
      <x:c r="Q30" s="1629"/>
      <x:c r="R30" s="1629"/>
      <x:c r="S30" s="1629"/>
      <x:c r="T30" s="1630"/>
    </x:row>
    <x:row r="31">
      <x:c r="A31" s="1625"/>
      <x:c r="B31" s="1626"/>
      <x:c r="C31" s="1626"/>
      <x:c r="D31" s="1626"/>
      <x:c r="E31" s="1626"/>
      <x:c r="F31" s="1627"/>
      <x:c r="G31" s="1628"/>
      <x:c r="H31" s="1629"/>
      <x:c r="I31" s="1629"/>
      <x:c r="J31" s="1629"/>
      <x:c r="K31" s="1629"/>
      <x:c r="L31" s="1629"/>
      <x:c r="M31" s="1630"/>
      <x:c r="N31" s="1628"/>
      <x:c r="O31" s="1629"/>
      <x:c r="P31" s="1629"/>
      <x:c r="Q31" s="1629"/>
      <x:c r="R31" s="1629"/>
      <x:c r="S31" s="1629"/>
      <x:c r="T31" s="1630"/>
    </x:row>
    <x:row r="32">
      <x:c r="A32" s="1631"/>
      <x:c r="B32" s="1632"/>
      <x:c r="C32" s="1632"/>
      <x:c r="D32" s="1632"/>
      <x:c r="E32" s="1632"/>
      <x:c r="F32" s="1633"/>
      <x:c r="G32" s="1634"/>
      <x:c r="H32" s="1635"/>
      <x:c r="I32" s="1635"/>
      <x:c r="J32" s="1635"/>
      <x:c r="K32" s="1635"/>
      <x:c r="L32" s="1635"/>
      <x:c r="M32" s="1636"/>
      <x:c r="N32" s="1634"/>
      <x:c r="O32" s="1635"/>
      <x:c r="P32" s="1635"/>
      <x:c r="Q32" s="1635"/>
      <x:c r="R32" s="1635"/>
      <x:c r="S32" s="1635"/>
      <x:c r="T32" s="1636"/>
    </x:row>
    <x:row r="33">
      <x:c r="A33" s="1277"/>
      <x:c r="B33" s="1277"/>
      <x:c r="C33" s="1385" t="str">
        <x:v>↓</x:v>
      </x:c>
      <x:c r="D33" s="1277"/>
      <x:c r="E33" s="1277"/>
      <x:c r="F33" s="1277"/>
      <x:c r="G33" s="1277"/>
      <x:c r="H33" s="1277"/>
      <x:c r="I33" s="1277"/>
      <x:c r="J33" s="1385" t="str">
        <x:v>↓</x:v>
      </x:c>
      <x:c r="K33" s="1277"/>
      <x:c r="L33" s="1277"/>
      <x:c r="M33" s="1277"/>
      <x:c r="N33" s="1277"/>
      <x:c r="O33" s="1277"/>
      <x:c r="P33" s="1277"/>
      <x:c r="Q33" s="1385" t="str">
        <x:v>↓</x:v>
      </x:c>
      <x:c r="R33" s="1277"/>
      <x:c r="S33" s="1277"/>
      <x:c r="T33" s="1277"/>
    </x:row>
    <x:row r="34">
      <x:c r="A34" s="1622" t="str">
        <x:v>READINESS GATES
P0 contractual · P1 alcance
P2 capacidad · P3 documental/Habilita</x:v>
      </x:c>
      <x:c r="B34" s="1623"/>
      <x:c r="C34" s="1623"/>
      <x:c r="D34" s="1623"/>
      <x:c r="E34" s="1623"/>
      <x:c r="F34" s="1624"/>
      <x:c r="G34" s="1619" t="str">
        <x:v>PARTE + UNIDAD EJECUCIÓN [N]
real: tiempo · ubicación · personas · recursos
medición · imputación · evidencia</x:v>
      </x:c>
      <x:c r="H34" s="1620"/>
      <x:c r="I34" s="1620"/>
      <x:c r="J34" s="1620"/>
      <x:c r="K34" s="1620"/>
      <x:c r="L34" s="1620"/>
      <x:c r="M34" s="1621"/>
      <x:c r="N34" s="1622" t="str">
        <x:v>C6 · CONFORMIDAD / CERTIFICAR
aceptar · observar · parcial?</x:v>
      </x:c>
      <x:c r="O34" s="1623"/>
      <x:c r="P34" s="1623"/>
      <x:c r="Q34" s="1623"/>
      <x:c r="R34" s="1623"/>
      <x:c r="S34" s="1623"/>
      <x:c r="T34" s="1624"/>
    </x:row>
    <x:row r="35">
      <x:c r="A35" s="1628"/>
      <x:c r="B35" s="1629"/>
      <x:c r="C35" s="1629"/>
      <x:c r="D35" s="1629"/>
      <x:c r="E35" s="1629"/>
      <x:c r="F35" s="1630"/>
      <x:c r="G35" s="1625"/>
      <x:c r="H35" s="1626"/>
      <x:c r="I35" s="1626"/>
      <x:c r="J35" s="1626"/>
      <x:c r="K35" s="1626"/>
      <x:c r="L35" s="1626"/>
      <x:c r="M35" s="1627"/>
      <x:c r="N35" s="1628"/>
      <x:c r="O35" s="1629"/>
      <x:c r="P35" s="1629"/>
      <x:c r="Q35" s="1629"/>
      <x:c r="R35" s="1629"/>
      <x:c r="S35" s="1629"/>
      <x:c r="T35" s="1630"/>
    </x:row>
    <x:row r="36">
      <x:c r="A36" s="1628"/>
      <x:c r="B36" s="1629"/>
      <x:c r="C36" s="1629"/>
      <x:c r="D36" s="1629"/>
      <x:c r="E36" s="1629"/>
      <x:c r="F36" s="1630"/>
      <x:c r="G36" s="1625"/>
      <x:c r="H36" s="1626"/>
      <x:c r="I36" s="1626"/>
      <x:c r="J36" s="1626"/>
      <x:c r="K36" s="1626"/>
      <x:c r="L36" s="1626"/>
      <x:c r="M36" s="1627"/>
      <x:c r="N36" s="1628"/>
      <x:c r="O36" s="1629"/>
      <x:c r="P36" s="1629"/>
      <x:c r="Q36" s="1629"/>
      <x:c r="R36" s="1629"/>
      <x:c r="S36" s="1629"/>
      <x:c r="T36" s="1630"/>
    </x:row>
    <x:row r="37">
      <x:c r="A37" s="1628"/>
      <x:c r="B37" s="1629"/>
      <x:c r="C37" s="1629"/>
      <x:c r="D37" s="1629"/>
      <x:c r="E37" s="1629"/>
      <x:c r="F37" s="1630"/>
      <x:c r="G37" s="1625"/>
      <x:c r="H37" s="1626"/>
      <x:c r="I37" s="1626"/>
      <x:c r="J37" s="1626"/>
      <x:c r="K37" s="1626"/>
      <x:c r="L37" s="1626"/>
      <x:c r="M37" s="1627"/>
      <x:c r="N37" s="1634"/>
      <x:c r="O37" s="1635"/>
      <x:c r="P37" s="1635"/>
      <x:c r="Q37" s="1635"/>
      <x:c r="R37" s="1635"/>
      <x:c r="S37" s="1635"/>
      <x:c r="T37" s="1636"/>
    </x:row>
    <x:row r="38">
      <x:c r="A38" s="1634"/>
      <x:c r="B38" s="1635"/>
      <x:c r="C38" s="1635"/>
      <x:c r="D38" s="1635"/>
      <x:c r="E38" s="1635"/>
      <x:c r="F38" s="1636"/>
      <x:c r="G38" s="1631"/>
      <x:c r="H38" s="1632"/>
      <x:c r="I38" s="1632"/>
      <x:c r="J38" s="1632"/>
      <x:c r="K38" s="1632"/>
      <x:c r="L38" s="1632"/>
      <x:c r="M38" s="1633"/>
      <x:c r="N38" s="1277"/>
      <x:c r="O38" s="1277"/>
      <x:c r="P38" s="1277"/>
      <x:c r="Q38" s="1385" t="str">
        <x:v>↓</x:v>
      </x:c>
      <x:c r="R38" s="1277"/>
      <x:c r="S38" s="1277"/>
      <x:c r="T38" s="1277"/>
    </x:row>
    <x:row r="39">
      <x:c r="A39" s="1277"/>
      <x:c r="B39" s="1277"/>
      <x:c r="C39" s="1385" t="str">
        <x:v>↓</x:v>
      </x:c>
      <x:c r="D39" s="1277"/>
      <x:c r="E39" s="1277"/>
      <x:c r="F39" s="1277"/>
      <x:c r="G39" s="1277"/>
      <x:c r="H39" s="1277"/>
      <x:c r="I39" s="1277"/>
      <x:c r="J39" s="1385" t="str">
        <x:v>↓</x:v>
      </x:c>
      <x:c r="K39" s="1277"/>
      <x:c r="L39" s="1277"/>
      <x:c r="M39" s="1277"/>
      <x:c r="N39" s="1622" t="str">
        <x:v>F1 · LINEA FACTURABLE
solo desde certificado aceptado</x:v>
      </x:c>
      <x:c r="O39" s="1623"/>
      <x:c r="P39" s="1623"/>
      <x:c r="Q39" s="1623"/>
      <x:c r="R39" s="1623"/>
      <x:c r="S39" s="1623"/>
      <x:c r="T39" s="1624"/>
    </x:row>
    <x:row r="40">
      <x:c r="A40" s="1622" t="str">
        <x:v>P4 · CONFIRMAR / DESPACHAR
SnapshotPlanConfirmado</x:v>
      </x:c>
      <x:c r="B40" s="1623"/>
      <x:c r="C40" s="1623"/>
      <x:c r="D40" s="1623"/>
      <x:c r="E40" s="1623"/>
      <x:c r="F40" s="1624"/>
      <x:c r="G40" s="1622" t="str">
        <x:v>E4 CORTE + E5 CIERRE
cerrado_operativamente
≠ documentalmente completo</x:v>
      </x:c>
      <x:c r="H40" s="1623"/>
      <x:c r="I40" s="1623"/>
      <x:c r="J40" s="1623"/>
      <x:c r="K40" s="1623"/>
      <x:c r="L40" s="1623"/>
      <x:c r="M40" s="1624"/>
      <x:c r="N40" s="1628"/>
      <x:c r="O40" s="1629"/>
      <x:c r="P40" s="1629"/>
      <x:c r="Q40" s="1629"/>
      <x:c r="R40" s="1629"/>
      <x:c r="S40" s="1629"/>
      <x:c r="T40" s="1630"/>
    </x:row>
    <x:row r="41">
      <x:c r="A41" s="1628"/>
      <x:c r="B41" s="1629"/>
      <x:c r="C41" s="1629"/>
      <x:c r="D41" s="1629"/>
      <x:c r="E41" s="1629"/>
      <x:c r="F41" s="1630"/>
      <x:c r="G41" s="1628"/>
      <x:c r="H41" s="1629"/>
      <x:c r="I41" s="1629"/>
      <x:c r="J41" s="1629"/>
      <x:c r="K41" s="1629"/>
      <x:c r="L41" s="1629"/>
      <x:c r="M41" s="1630"/>
      <x:c r="N41" s="1628"/>
      <x:c r="O41" s="1629"/>
      <x:c r="P41" s="1629"/>
      <x:c r="Q41" s="1629"/>
      <x:c r="R41" s="1629"/>
      <x:c r="S41" s="1629"/>
      <x:c r="T41" s="1630"/>
    </x:row>
    <x:row r="42">
      <x:c r="A42" s="1628"/>
      <x:c r="B42" s="1629"/>
      <x:c r="C42" s="1629"/>
      <x:c r="D42" s="1629"/>
      <x:c r="E42" s="1629"/>
      <x:c r="F42" s="1630"/>
      <x:c r="G42" s="1628"/>
      <x:c r="H42" s="1629"/>
      <x:c r="I42" s="1629"/>
      <x:c r="J42" s="1629"/>
      <x:c r="K42" s="1629"/>
      <x:c r="L42" s="1629"/>
      <x:c r="M42" s="1630"/>
      <x:c r="N42" s="1634"/>
      <x:c r="O42" s="1635"/>
      <x:c r="P42" s="1635"/>
      <x:c r="Q42" s="1635"/>
      <x:c r="R42" s="1635"/>
      <x:c r="S42" s="1635"/>
      <x:c r="T42" s="1636"/>
    </x:row>
    <x:row r="43">
      <x:c r="A43" s="1634"/>
      <x:c r="B43" s="1635"/>
      <x:c r="C43" s="1635"/>
      <x:c r="D43" s="1635"/>
      <x:c r="E43" s="1635"/>
      <x:c r="F43" s="1636"/>
      <x:c r="G43" s="1634"/>
      <x:c r="H43" s="1635"/>
      <x:c r="I43" s="1635"/>
      <x:c r="J43" s="1635"/>
      <x:c r="K43" s="1635"/>
      <x:c r="L43" s="1635"/>
      <x:c r="M43" s="1636"/>
      <x:c r="N43" s="1277"/>
      <x:c r="O43" s="1277"/>
      <x:c r="P43" s="1277"/>
      <x:c r="Q43" s="1385" t="str">
        <x:v>↓</x:v>
      </x:c>
      <x:c r="R43" s="1277"/>
      <x:c r="S43" s="1277"/>
      <x:c r="T43" s="1277"/>
    </x:row>
    <x:row r="44">
      <x:c r="A44" s="1277"/>
      <x:c r="B44" s="1277"/>
      <x:c r="C44" s="1277"/>
      <x:c r="D44" s="1277"/>
      <x:c r="E44" s="1277"/>
      <x:c r="F44" s="1277"/>
      <x:c r="G44" s="1277"/>
      <x:c r="H44" s="1277"/>
      <x:c r="I44" s="1277"/>
      <x:c r="J44" s="1277"/>
      <x:c r="K44" s="1277"/>
      <x:c r="L44" s="1277"/>
      <x:c r="M44" s="1277"/>
      <x:c r="N44" s="1619" t="str">
        <x:v>F2 · LOTE / FACTURA
requisitos administrativos
sin reinterpretar campo</x:v>
      </x:c>
      <x:c r="O44" s="1620"/>
      <x:c r="P44" s="1620"/>
      <x:c r="Q44" s="1620"/>
      <x:c r="R44" s="1620"/>
      <x:c r="S44" s="1620"/>
      <x:c r="T44" s="1621"/>
    </x:row>
    <x:row r="45">
      <x:c r="A45" s="1277"/>
      <x:c r="B45" s="1277"/>
      <x:c r="C45" s="1277"/>
      <x:c r="D45" s="1277"/>
      <x:c r="E45" s="1277"/>
      <x:c r="F45" s="1277"/>
      <x:c r="G45" s="1277"/>
      <x:c r="H45" s="1277"/>
      <x:c r="I45" s="1277"/>
      <x:c r="J45" s="1277"/>
      <x:c r="K45" s="1277"/>
      <x:c r="L45" s="1277"/>
      <x:c r="M45" s="1277"/>
      <x:c r="N45" s="1625"/>
      <x:c r="O45" s="1626"/>
      <x:c r="P45" s="1626"/>
      <x:c r="Q45" s="1626"/>
      <x:c r="R45" s="1626"/>
      <x:c r="S45" s="1626"/>
      <x:c r="T45" s="1627"/>
    </x:row>
    <x:row r="46">
      <x:c r="A46" s="1781" t="str">
        <x:v>I-A · PLANIFICACIÓN → EJECUCIÓN · INTENCIÓN CONFIRMADA / VERSIONADA</x:v>
      </x:c>
      <x:c r="B46" s="1781"/>
      <x:c r="C46" s="1781"/>
      <x:c r="D46" s="1781"/>
      <x:c r="E46" s="1781"/>
      <x:c r="F46" s="1781"/>
      <x:c r="G46" s="1781"/>
      <x:c r="H46" s="1781"/>
      <x:c r="I46" s="1781"/>
      <x:c r="J46" s="1781"/>
      <x:c r="K46" s="1781"/>
      <x:c r="L46" s="1781"/>
      <x:c r="M46" s="1781"/>
      <x:c r="N46" s="1625"/>
      <x:c r="O46" s="1626"/>
      <x:c r="P46" s="1626"/>
      <x:c r="Q46" s="1626"/>
      <x:c r="R46" s="1626"/>
      <x:c r="S46" s="1626"/>
      <x:c r="T46" s="1627"/>
    </x:row>
    <x:row r="47">
      <x:c r="A47" s="1782" t="str">
        <x:v>AsignaciónPlanificada + Unidad(es)Planificadas + ventana + contexto contractual + ubicación + servicio/tarea + personas/recursos previstos + prioridad + pre-check + TipoParte previsto</x:v>
      </x:c>
      <x:c r="B47" s="1782"/>
      <x:c r="C47" s="1782"/>
      <x:c r="D47" s="1782"/>
      <x:c r="E47" s="1782"/>
      <x:c r="F47" s="1782"/>
      <x:c r="G47" s="1782"/>
      <x:c r="H47" s="1782"/>
      <x:c r="I47" s="1782"/>
      <x:c r="J47" s="1782"/>
      <x:c r="K47" s="1782"/>
      <x:c r="L47" s="1782"/>
      <x:c r="M47" s="1782"/>
      <x:c r="N47" s="1625"/>
      <x:c r="O47" s="1626"/>
      <x:c r="P47" s="1626"/>
      <x:c r="Q47" s="1626"/>
      <x:c r="R47" s="1626"/>
      <x:c r="S47" s="1626"/>
      <x:c r="T47" s="1627"/>
    </x:row>
    <x:row r="48">
      <x:c r="A48" s="1782"/>
      <x:c r="B48" s="1782"/>
      <x:c r="C48" s="1782"/>
      <x:c r="D48" s="1782"/>
      <x:c r="E48" s="1782"/>
      <x:c r="F48" s="1782"/>
      <x:c r="G48" s="1782"/>
      <x:c r="H48" s="1782"/>
      <x:c r="I48" s="1782"/>
      <x:c r="J48" s="1782"/>
      <x:c r="K48" s="1782"/>
      <x:c r="L48" s="1782"/>
      <x:c r="M48" s="1782"/>
      <x:c r="N48" s="1631"/>
      <x:c r="O48" s="1632"/>
      <x:c r="P48" s="1632"/>
      <x:c r="Q48" s="1632"/>
      <x:c r="R48" s="1632"/>
      <x:c r="S48" s="1632"/>
      <x:c r="T48" s="1633"/>
    </x:row>
    <x:row r="49">
      <x:c r="A49" s="1782"/>
      <x:c r="B49" s="1782"/>
      <x:c r="C49" s="1782"/>
      <x:c r="D49" s="1782"/>
      <x:c r="E49" s="1782"/>
      <x:c r="F49" s="1782"/>
      <x:c r="G49" s="1782"/>
      <x:c r="H49" s="1782"/>
      <x:c r="I49" s="1782"/>
      <x:c r="J49" s="1782"/>
      <x:c r="K49" s="1782"/>
      <x:c r="L49" s="1782"/>
      <x:c r="M49" s="1782"/>
      <x:c r="N49" s="1277"/>
      <x:c r="O49" s="1277"/>
      <x:c r="P49" s="1277"/>
      <x:c r="Q49" s="1277"/>
      <x:c r="R49" s="1277"/>
      <x:c r="S49" s="1277"/>
      <x:c r="T49" s="1277"/>
    </x:row>
    <x:row r="50">
      <x:c r="A50" s="1782"/>
      <x:c r="B50" s="1782"/>
      <x:c r="C50" s="1782"/>
      <x:c r="D50" s="1782"/>
      <x:c r="E50" s="1782"/>
      <x:c r="F50" s="1782"/>
      <x:c r="G50" s="1782"/>
      <x:c r="H50" s="1782"/>
      <x:c r="I50" s="1782"/>
      <x:c r="J50" s="1782"/>
      <x:c r="K50" s="1782"/>
      <x:c r="L50" s="1782"/>
      <x:c r="M50" s="1782"/>
      <x:c r="N50" s="1277"/>
      <x:c r="O50" s="1277"/>
      <x:c r="P50" s="1277"/>
      <x:c r="Q50" s="1277"/>
      <x:c r="R50" s="1277"/>
      <x:c r="S50" s="1277"/>
      <x:c r="T50" s="1277"/>
    </x:row>
    <x:row r="51">
      <x:c r="A51" s="1277"/>
      <x:c r="B51" s="1277"/>
      <x:c r="C51" s="1277"/>
      <x:c r="D51" s="1277"/>
      <x:c r="E51" s="1277"/>
      <x:c r="F51" s="1277"/>
      <x:c r="G51" s="1277"/>
      <x:c r="H51" s="1277"/>
      <x:c r="I51" s="1277"/>
      <x:c r="J51" s="1277"/>
      <x:c r="K51" s="1277"/>
      <x:c r="L51" s="1277"/>
      <x:c r="M51" s="1277"/>
      <x:c r="N51" s="1277"/>
      <x:c r="O51" s="1277"/>
      <x:c r="P51" s="1277"/>
      <x:c r="Q51" s="1277"/>
      <x:c r="R51" s="1277"/>
      <x:c r="S51" s="1277"/>
      <x:c r="T51" s="1277"/>
    </x:row>
    <x:row r="52">
      <x:c r="A52" s="1277"/>
      <x:c r="B52" s="1277"/>
      <x:c r="C52" s="1277"/>
      <x:c r="D52" s="1277"/>
      <x:c r="E52" s="1277"/>
      <x:c r="F52" s="1277"/>
      <x:c r="G52" s="1277"/>
      <x:c r="H52" s="1277"/>
      <x:c r="I52" s="1277"/>
      <x:c r="J52" s="1277"/>
      <x:c r="K52" s="1277"/>
      <x:c r="L52" s="1277"/>
      <x:c r="M52" s="1277"/>
      <x:c r="N52" s="1277"/>
      <x:c r="O52" s="1277"/>
      <x:c r="P52" s="1277"/>
      <x:c r="Q52" s="1277"/>
      <x:c r="R52" s="1277"/>
      <x:c r="S52" s="1277"/>
      <x:c r="T52" s="1277"/>
    </x:row>
    <x:row r="53">
      <x:c r="A53" s="1277"/>
      <x:c r="B53" s="1277"/>
      <x:c r="C53" s="1277"/>
      <x:c r="D53" s="1277"/>
      <x:c r="E53" s="1277"/>
      <x:c r="F53" s="1277"/>
      <x:c r="G53" s="1781" t="str">
        <x:v>I-B · EJECUCIÓN → CERTIFICACIÓN · VERDAD OPERACIONAL NORMALIZADA</x:v>
      </x:c>
      <x:c r="H53" s="1781"/>
      <x:c r="I53" s="1781"/>
      <x:c r="J53" s="1781"/>
      <x:c r="K53" s="1781"/>
      <x:c r="L53" s="1781"/>
      <x:c r="M53" s="1781"/>
      <x:c r="N53" s="1781"/>
      <x:c r="O53" s="1781"/>
      <x:c r="P53" s="1781"/>
      <x:c r="Q53" s="1781"/>
      <x:c r="R53" s="1781"/>
      <x:c r="S53" s="1781"/>
      <x:c r="T53" s="1781"/>
    </x:row>
    <x:row r="54">
      <x:c r="A54" s="1277"/>
      <x:c r="B54" s="1277"/>
      <x:c r="C54" s="1277"/>
      <x:c r="D54" s="1277"/>
      <x:c r="E54" s="1277"/>
      <x:c r="F54" s="1277"/>
      <x:c r="G54" s="1782" t="str">
        <x:v>Parte/UnidadEjecución + servicio/ubicación real + timestamps + recursos/personas reales + CentroCosto/Item + medición base + evidencias/conformidades + resultado + eventos/desvíos + vínculo al plan</x:v>
      </x:c>
      <x:c r="H54" s="1782"/>
      <x:c r="I54" s="1782"/>
      <x:c r="J54" s="1782"/>
      <x:c r="K54" s="1782"/>
      <x:c r="L54" s="1782"/>
      <x:c r="M54" s="1782"/>
      <x:c r="N54" s="1782"/>
      <x:c r="O54" s="1782"/>
      <x:c r="P54" s="1782"/>
      <x:c r="Q54" s="1782"/>
      <x:c r="R54" s="1782"/>
      <x:c r="S54" s="1782"/>
      <x:c r="T54" s="1782"/>
    </x:row>
    <x:row r="55">
      <x:c r="A55" s="1277"/>
      <x:c r="B55" s="1277"/>
      <x:c r="C55" s="1277"/>
      <x:c r="D55" s="1277"/>
      <x:c r="E55" s="1277"/>
      <x:c r="F55" s="1277"/>
      <x:c r="G55" s="1782"/>
      <x:c r="H55" s="1782"/>
      <x:c r="I55" s="1782"/>
      <x:c r="J55" s="1782"/>
      <x:c r="K55" s="1782"/>
      <x:c r="L55" s="1782"/>
      <x:c r="M55" s="1782"/>
      <x:c r="N55" s="1782"/>
      <x:c r="O55" s="1782"/>
      <x:c r="P55" s="1782"/>
      <x:c r="Q55" s="1782"/>
      <x:c r="R55" s="1782"/>
      <x:c r="S55" s="1782"/>
      <x:c r="T55" s="1782"/>
    </x:row>
    <x:row r="56">
      <x:c r="A56" s="1277"/>
      <x:c r="B56" s="1277"/>
      <x:c r="C56" s="1277"/>
      <x:c r="D56" s="1277"/>
      <x:c r="E56" s="1277"/>
      <x:c r="F56" s="1277"/>
      <x:c r="G56" s="1782"/>
      <x:c r="H56" s="1782"/>
      <x:c r="I56" s="1782"/>
      <x:c r="J56" s="1782"/>
      <x:c r="K56" s="1782"/>
      <x:c r="L56" s="1782"/>
      <x:c r="M56" s="1782"/>
      <x:c r="N56" s="1782"/>
      <x:c r="O56" s="1782"/>
      <x:c r="P56" s="1782"/>
      <x:c r="Q56" s="1782"/>
      <x:c r="R56" s="1782"/>
      <x:c r="S56" s="1782"/>
      <x:c r="T56" s="1782"/>
    </x:row>
    <x:row r="57">
      <x:c r="A57" s="1277"/>
      <x:c r="B57" s="1277"/>
      <x:c r="C57" s="1277"/>
      <x:c r="D57" s="1277"/>
      <x:c r="E57" s="1277"/>
      <x:c r="F57" s="1277"/>
      <x:c r="G57" s="1782"/>
      <x:c r="H57" s="1782"/>
      <x:c r="I57" s="1782"/>
      <x:c r="J57" s="1782"/>
      <x:c r="K57" s="1782"/>
      <x:c r="L57" s="1782"/>
      <x:c r="M57" s="1782"/>
      <x:c r="N57" s="1782"/>
      <x:c r="O57" s="1782"/>
      <x:c r="P57" s="1782"/>
      <x:c r="Q57" s="1782"/>
      <x:c r="R57" s="1782"/>
      <x:c r="S57" s="1782"/>
      <x:c r="T57" s="1782"/>
    </x:row>
    <x:row r="58">
      <x:c r="A58" s="1277"/>
      <x:c r="B58" s="1277"/>
      <x:c r="C58" s="1277"/>
      <x:c r="D58" s="1277"/>
      <x:c r="E58" s="1277"/>
      <x:c r="F58" s="1277"/>
      <x:c r="G58" s="1277"/>
      <x:c r="H58" s="1277"/>
      <x:c r="I58" s="1277"/>
      <x:c r="J58" s="1277"/>
      <x:c r="K58" s="1277"/>
      <x:c r="L58" s="1277"/>
      <x:c r="M58" s="1277"/>
      <x:c r="N58" s="1277"/>
      <x:c r="O58" s="1277"/>
      <x:c r="P58" s="1277"/>
      <x:c r="Q58" s="1277"/>
      <x:c r="R58" s="1277"/>
      <x:c r="S58" s="1277"/>
      <x:c r="T58" s="1277"/>
    </x:row>
    <x:row r="59">
      <x:c r="A59" s="1277"/>
      <x:c r="B59" s="1277"/>
      <x:c r="C59" s="1277"/>
      <x:c r="D59" s="1277"/>
      <x:c r="E59" s="1277"/>
      <x:c r="F59" s="1277"/>
      <x:c r="G59" s="1277"/>
      <x:c r="H59" s="1277"/>
      <x:c r="I59" s="1277"/>
      <x:c r="J59" s="1277"/>
      <x:c r="K59" s="1277"/>
      <x:c r="L59" s="1277"/>
      <x:c r="M59" s="1277"/>
      <x:c r="N59" s="1277"/>
      <x:c r="O59" s="1277"/>
      <x:c r="P59" s="1277"/>
      <x:c r="Q59" s="1277"/>
      <x:c r="R59" s="1277"/>
      <x:c r="S59" s="1277"/>
      <x:c r="T59" s="1277"/>
    </x:row>
    <x:row r="60">
      <x:c r="A60" s="1654" t="str">
        <x:v>04 — LÓGICAS DE EXCEPCIÓN · LAS EXCEPCIONES NO ROMPEN EL MODELO</x:v>
      </x:c>
      <x:c r="B60" s="1654"/>
      <x:c r="C60" s="1654"/>
      <x:c r="D60" s="1654"/>
      <x:c r="E60" s="1654"/>
      <x:c r="F60" s="1654"/>
      <x:c r="G60" s="1654"/>
      <x:c r="H60" s="1654"/>
      <x:c r="I60" s="1654"/>
      <x:c r="J60" s="1654"/>
      <x:c r="K60" s="1654"/>
      <x:c r="L60" s="1654"/>
      <x:c r="M60" s="1654"/>
      <x:c r="N60" s="1654"/>
      <x:c r="O60" s="1654"/>
      <x:c r="P60" s="1654"/>
      <x:c r="Q60" s="1654"/>
      <x:c r="R60" s="1654"/>
      <x:c r="S60" s="1654"/>
      <x:c r="T60" s="1654"/>
    </x:row>
    <x:row r="61">
      <x:c r="A61" s="1277"/>
      <x:c r="B61" s="1277"/>
      <x:c r="C61" s="1277"/>
      <x:c r="D61" s="1277"/>
      <x:c r="E61" s="1277"/>
      <x:c r="F61" s="1277"/>
      <x:c r="G61" s="1277"/>
      <x:c r="H61" s="1277"/>
      <x:c r="I61" s="1277"/>
      <x:c r="J61" s="1277"/>
      <x:c r="K61" s="1277"/>
      <x:c r="L61" s="1277"/>
      <x:c r="M61" s="1277"/>
      <x:c r="N61" s="1277"/>
      <x:c r="O61" s="1277"/>
      <x:c r="P61" s="1277"/>
      <x:c r="Q61" s="1277"/>
      <x:c r="R61" s="1277"/>
      <x:c r="S61" s="1277"/>
      <x:c r="T61" s="1277"/>
    </x:row>
    <x:row r="62">
      <x:c r="A62" s="1772" t="str">
        <x:v>REPLANIFICACIÓN
clima · urgencia · recurso
→ nueva versión</x:v>
      </x:c>
      <x:c r="B62" s="1773"/>
      <x:c r="C62" s="1773"/>
      <x:c r="D62" s="1773"/>
      <x:c r="E62" s="1774"/>
      <x:c r="F62" s="1277"/>
      <x:c r="G62" s="1772" t="str">
        <x:v>FUERA DE PLAN
planificacion_id = null
motivo + contexto mínimo</x:v>
      </x:c>
      <x:c r="H62" s="1773"/>
      <x:c r="I62" s="1773"/>
      <x:c r="J62" s="1773"/>
      <x:c r="K62" s="1774"/>
      <x:c r="L62" s="1277"/>
      <x:c r="M62" s="1772" t="str">
        <x:v>OBSERVACIÓN
CERTIFICACIÓN
no editar Parte</x:v>
      </x:c>
      <x:c r="N62" s="1773"/>
      <x:c r="O62" s="1773"/>
      <x:c r="P62" s="1774"/>
      <x:c r="Q62" s="1277"/>
      <x:c r="R62" s="1772" t="str">
        <x:v>AJUSTE
COMERCIAL
autorizado + auditado</x:v>
      </x:c>
      <x:c r="S62" s="1773"/>
      <x:c r="T62" s="1774"/>
    </x:row>
    <x:row r="63">
      <x:c r="A63" s="1775"/>
      <x:c r="B63" s="1776"/>
      <x:c r="C63" s="1776"/>
      <x:c r="D63" s="1776"/>
      <x:c r="E63" s="1777"/>
      <x:c r="F63" s="1277"/>
      <x:c r="G63" s="1775"/>
      <x:c r="H63" s="1776"/>
      <x:c r="I63" s="1776"/>
      <x:c r="J63" s="1776"/>
      <x:c r="K63" s="1777"/>
      <x:c r="L63" s="1277"/>
      <x:c r="M63" s="1775"/>
      <x:c r="N63" s="1776"/>
      <x:c r="O63" s="1776"/>
      <x:c r="P63" s="1777"/>
      <x:c r="Q63" s="1277"/>
      <x:c r="R63" s="1775"/>
      <x:c r="S63" s="1776"/>
      <x:c r="T63" s="1777"/>
    </x:row>
    <x:row r="64">
      <x:c r="A64" s="1775"/>
      <x:c r="B64" s="1776"/>
      <x:c r="C64" s="1776"/>
      <x:c r="D64" s="1776"/>
      <x:c r="E64" s="1777"/>
      <x:c r="F64" s="1277"/>
      <x:c r="G64" s="1775"/>
      <x:c r="H64" s="1776"/>
      <x:c r="I64" s="1776"/>
      <x:c r="J64" s="1776"/>
      <x:c r="K64" s="1777"/>
      <x:c r="L64" s="1277"/>
      <x:c r="M64" s="1775"/>
      <x:c r="N64" s="1776"/>
      <x:c r="O64" s="1776"/>
      <x:c r="P64" s="1777"/>
      <x:c r="Q64" s="1277"/>
      <x:c r="R64" s="1775"/>
      <x:c r="S64" s="1776"/>
      <x:c r="T64" s="1777"/>
    </x:row>
    <x:row r="65">
      <x:c r="A65" s="1775"/>
      <x:c r="B65" s="1776"/>
      <x:c r="C65" s="1776"/>
      <x:c r="D65" s="1776"/>
      <x:c r="E65" s="1777"/>
      <x:c r="F65" s="1277"/>
      <x:c r="G65" s="1775"/>
      <x:c r="H65" s="1776"/>
      <x:c r="I65" s="1776"/>
      <x:c r="J65" s="1776"/>
      <x:c r="K65" s="1777"/>
      <x:c r="L65" s="1277"/>
      <x:c r="M65" s="1775"/>
      <x:c r="N65" s="1776"/>
      <x:c r="O65" s="1776"/>
      <x:c r="P65" s="1777"/>
      <x:c r="Q65" s="1277"/>
      <x:c r="R65" s="1775"/>
      <x:c r="S65" s="1776"/>
      <x:c r="T65" s="1777"/>
    </x:row>
    <x:row r="66">
      <x:c r="A66" s="1778"/>
      <x:c r="B66" s="1779"/>
      <x:c r="C66" s="1779"/>
      <x:c r="D66" s="1779"/>
      <x:c r="E66" s="1780"/>
      <x:c r="F66" s="1277"/>
      <x:c r="G66" s="1778"/>
      <x:c r="H66" s="1779"/>
      <x:c r="I66" s="1779"/>
      <x:c r="J66" s="1779"/>
      <x:c r="K66" s="1780"/>
      <x:c r="L66" s="1277"/>
      <x:c r="M66" s="1778"/>
      <x:c r="N66" s="1779"/>
      <x:c r="O66" s="1779"/>
      <x:c r="P66" s="1780"/>
      <x:c r="Q66" s="1277"/>
      <x:c r="R66" s="1778"/>
      <x:c r="S66" s="1779"/>
      <x:c r="T66" s="1780"/>
    </x:row>
    <x:row r="67">
      <x:c r="A67" s="1277"/>
      <x:c r="B67" s="1277"/>
      <x:c r="C67" s="1277"/>
      <x:c r="D67" s="1277"/>
      <x:c r="E67" s="1277"/>
      <x:c r="F67" s="1277"/>
      <x:c r="G67" s="1277"/>
      <x:c r="H67" s="1277"/>
      <x:c r="I67" s="1277"/>
      <x:c r="J67" s="1277"/>
      <x:c r="K67" s="1277"/>
      <x:c r="L67" s="1277"/>
      <x:c r="M67" s="1277"/>
      <x:c r="N67" s="1277"/>
      <x:c r="O67" s="1277"/>
      <x:c r="P67" s="1277"/>
      <x:c r="Q67" s="1277"/>
      <x:c r="R67" s="1277"/>
      <x:c r="S67" s="1277"/>
      <x:c r="T67" s="1277"/>
    </x:row>
    <x:row r="68">
      <x:c r="A68" s="1277"/>
      <x:c r="B68" s="1277"/>
      <x:c r="C68" s="1277"/>
      <x:c r="D68" s="1277"/>
      <x:c r="E68" s="1277"/>
      <x:c r="F68" s="1277"/>
      <x:c r="G68" s="1277"/>
      <x:c r="H68" s="1277"/>
      <x:c r="I68" s="1277"/>
      <x:c r="J68" s="1277"/>
      <x:c r="K68" s="1277"/>
      <x:c r="L68" s="1277"/>
      <x:c r="M68" s="1277"/>
      <x:c r="N68" s="1277"/>
      <x:c r="O68" s="1277"/>
      <x:c r="P68" s="1277"/>
      <x:c r="Q68" s="1277"/>
      <x:c r="R68" s="1277"/>
      <x:c r="S68" s="1277"/>
      <x:c r="T68" s="1277"/>
    </x:row>
    <x:row r="69">
      <x:c r="A69" s="1654" t="str">
        <x:v>05 — RAILS TRANSVERSALES · CAPAS QUE OBSERVAN TODO EL CICLO</x:v>
      </x:c>
      <x:c r="B69" s="1654"/>
      <x:c r="C69" s="1654"/>
      <x:c r="D69" s="1654"/>
      <x:c r="E69" s="1654"/>
      <x:c r="F69" s="1654"/>
      <x:c r="G69" s="1654"/>
      <x:c r="H69" s="1654"/>
      <x:c r="I69" s="1654"/>
      <x:c r="J69" s="1654"/>
      <x:c r="K69" s="1654"/>
      <x:c r="L69" s="1654"/>
      <x:c r="M69" s="1654"/>
      <x:c r="N69" s="1654"/>
      <x:c r="O69" s="1654"/>
      <x:c r="P69" s="1654"/>
      <x:c r="Q69" s="1654"/>
      <x:c r="R69" s="1654"/>
      <x:c r="S69" s="1654"/>
      <x:c r="T69" s="1654"/>
    </x:row>
    <x:row r="70">
      <x:c r="A70" s="1277"/>
      <x:c r="B70" s="1277"/>
      <x:c r="C70" s="1277"/>
      <x:c r="D70" s="1277"/>
      <x:c r="E70" s="1277"/>
      <x:c r="F70" s="1277"/>
      <x:c r="G70" s="1277"/>
      <x:c r="H70" s="1277"/>
      <x:c r="I70" s="1277"/>
      <x:c r="J70" s="1277"/>
      <x:c r="K70" s="1277"/>
      <x:c r="L70" s="1277"/>
      <x:c r="M70" s="1277"/>
      <x:c r="N70" s="1277"/>
      <x:c r="O70" s="1277"/>
      <x:c r="P70" s="1277"/>
      <x:c r="Q70" s="1277"/>
      <x:c r="R70" s="1277"/>
      <x:c r="S70" s="1277"/>
      <x:c r="T70" s="1277"/>
    </x:row>
    <x:row r="71">
      <x:c r="A71" s="1619" t="str">
        <x:v>R1 · CONTROL DOCUMENTAL
personas · recursos · fecha/contexto
pre-check futuro + revalidación real</x:v>
      </x:c>
      <x:c r="B71" s="1620"/>
      <x:c r="C71" s="1620"/>
      <x:c r="D71" s="1620"/>
      <x:c r="E71" s="1621"/>
      <x:c r="F71" s="1619" t="str">
        <x:v>R2 · DERIVACIÓN AUTOMÁTICA
perfil · ubicación · contrato · servicio
TipoParte · ítem · medición</x:v>
      </x:c>
      <x:c r="G71" s="1620"/>
      <x:c r="H71" s="1620"/>
      <x:c r="I71" s="1620"/>
      <x:c r="J71" s="1621"/>
      <x:c r="K71" s="1619" t="str">
        <x:v>R3 · ANTICIPACIÓN
vencimientos · readiness · evidencia
backlog certificable</x:v>
      </x:c>
      <x:c r="L71" s="1620"/>
      <x:c r="M71" s="1620"/>
      <x:c r="N71" s="1620"/>
      <x:c r="O71" s="1621"/>
      <x:c r="P71" s="1619" t="str">
        <x:v>R4 · TRAZABILIDAD
versiones · snapshots · eventos
observaciones · ajustes · append-only</x:v>
      </x:c>
      <x:c r="Q71" s="1620"/>
      <x:c r="R71" s="1620"/>
      <x:c r="S71" s="1620"/>
      <x:c r="T71" s="1621"/>
    </x:row>
    <x:row r="72">
      <x:c r="A72" s="1625"/>
      <x:c r="B72" s="1626"/>
      <x:c r="C72" s="1626"/>
      <x:c r="D72" s="1626"/>
      <x:c r="E72" s="1627"/>
      <x:c r="F72" s="1625"/>
      <x:c r="G72" s="1626"/>
      <x:c r="H72" s="1626"/>
      <x:c r="I72" s="1626"/>
      <x:c r="J72" s="1627"/>
      <x:c r="K72" s="1625"/>
      <x:c r="L72" s="1626"/>
      <x:c r="M72" s="1626"/>
      <x:c r="N72" s="1626"/>
      <x:c r="O72" s="1627"/>
      <x:c r="P72" s="1625"/>
      <x:c r="Q72" s="1626"/>
      <x:c r="R72" s="1626"/>
      <x:c r="S72" s="1626"/>
      <x:c r="T72" s="1627"/>
    </x:row>
    <x:row r="73">
      <x:c r="A73" s="1625"/>
      <x:c r="B73" s="1626"/>
      <x:c r="C73" s="1626"/>
      <x:c r="D73" s="1626"/>
      <x:c r="E73" s="1627"/>
      <x:c r="F73" s="1625"/>
      <x:c r="G73" s="1626"/>
      <x:c r="H73" s="1626"/>
      <x:c r="I73" s="1626"/>
      <x:c r="J73" s="1627"/>
      <x:c r="K73" s="1625"/>
      <x:c r="L73" s="1626"/>
      <x:c r="M73" s="1626"/>
      <x:c r="N73" s="1626"/>
      <x:c r="O73" s="1627"/>
      <x:c r="P73" s="1625"/>
      <x:c r="Q73" s="1626"/>
      <x:c r="R73" s="1626"/>
      <x:c r="S73" s="1626"/>
      <x:c r="T73" s="1627"/>
    </x:row>
    <x:row r="74">
      <x:c r="A74" s="1625"/>
      <x:c r="B74" s="1626"/>
      <x:c r="C74" s="1626"/>
      <x:c r="D74" s="1626"/>
      <x:c r="E74" s="1627"/>
      <x:c r="F74" s="1625"/>
      <x:c r="G74" s="1626"/>
      <x:c r="H74" s="1626"/>
      <x:c r="I74" s="1626"/>
      <x:c r="J74" s="1627"/>
      <x:c r="K74" s="1625"/>
      <x:c r="L74" s="1626"/>
      <x:c r="M74" s="1626"/>
      <x:c r="N74" s="1626"/>
      <x:c r="O74" s="1627"/>
      <x:c r="P74" s="1625"/>
      <x:c r="Q74" s="1626"/>
      <x:c r="R74" s="1626"/>
      <x:c r="S74" s="1626"/>
      <x:c r="T74" s="1627"/>
    </x:row>
    <x:row r="75">
      <x:c r="A75" s="1631"/>
      <x:c r="B75" s="1632"/>
      <x:c r="C75" s="1632"/>
      <x:c r="D75" s="1632"/>
      <x:c r="E75" s="1633"/>
      <x:c r="F75" s="1631"/>
      <x:c r="G75" s="1632"/>
      <x:c r="H75" s="1632"/>
      <x:c r="I75" s="1632"/>
      <x:c r="J75" s="1633"/>
      <x:c r="K75" s="1631"/>
      <x:c r="L75" s="1632"/>
      <x:c r="M75" s="1632"/>
      <x:c r="N75" s="1632"/>
      <x:c r="O75" s="1633"/>
      <x:c r="P75" s="1631"/>
      <x:c r="Q75" s="1632"/>
      <x:c r="R75" s="1632"/>
      <x:c r="S75" s="1632"/>
      <x:c r="T75" s="1633"/>
    </x:row>
    <x:row r="76">
      <x:c r="A76" s="1277"/>
      <x:c r="B76" s="1277"/>
      <x:c r="C76" s="1277"/>
      <x:c r="D76" s="1277"/>
      <x:c r="E76" s="1277"/>
      <x:c r="F76" s="1277"/>
      <x:c r="G76" s="1277"/>
      <x:c r="H76" s="1277"/>
      <x:c r="I76" s="1277"/>
      <x:c r="J76" s="1277"/>
      <x:c r="K76" s="1277"/>
      <x:c r="L76" s="1277"/>
      <x:c r="M76" s="1277"/>
      <x:c r="N76" s="1277"/>
      <x:c r="O76" s="1277"/>
      <x:c r="P76" s="1277"/>
      <x:c r="Q76" s="1277"/>
      <x:c r="R76" s="1277"/>
      <x:c r="S76" s="1277"/>
      <x:c r="T76" s="1277"/>
    </x:row>
    <x:row r="77">
      <x:c r="A77" s="1277"/>
      <x:c r="B77" s="1277"/>
      <x:c r="C77" s="1277"/>
      <x:c r="D77" s="1277"/>
      <x:c r="E77" s="1277"/>
      <x:c r="F77" s="1277"/>
      <x:c r="G77" s="1277"/>
      <x:c r="H77" s="1277"/>
      <x:c r="I77" s="1277"/>
      <x:c r="J77" s="1277"/>
      <x:c r="K77" s="1277"/>
      <x:c r="L77" s="1277"/>
      <x:c r="M77" s="1277"/>
      <x:c r="N77" s="1277"/>
      <x:c r="O77" s="1277"/>
      <x:c r="P77" s="1277"/>
      <x:c r="Q77" s="1277"/>
      <x:c r="R77" s="1277"/>
      <x:c r="S77" s="1277"/>
      <x:c r="T77" s="1277"/>
    </x:row>
    <x:row r="78">
      <x:c r="A78" s="1654" t="str">
        <x:v>06 — ESCALERA DE MADUREZ DEL TRABAJO · NO CONFUNDIR ESTADOS ENTRE DOMINIOS</x:v>
      </x:c>
      <x:c r="B78" s="1654"/>
      <x:c r="C78" s="1654"/>
      <x:c r="D78" s="1654"/>
      <x:c r="E78" s="1654"/>
      <x:c r="F78" s="1654"/>
      <x:c r="G78" s="1654"/>
      <x:c r="H78" s="1654"/>
      <x:c r="I78" s="1654"/>
      <x:c r="J78" s="1654"/>
      <x:c r="K78" s="1654"/>
      <x:c r="L78" s="1654"/>
      <x:c r="M78" s="1654"/>
      <x:c r="N78" s="1654"/>
      <x:c r="O78" s="1654"/>
      <x:c r="P78" s="1654"/>
      <x:c r="Q78" s="1654"/>
      <x:c r="R78" s="1654"/>
      <x:c r="S78" s="1654"/>
      <x:c r="T78" s="1654"/>
    </x:row>
    <x:row r="79">
      <x:c r="A79" s="1277"/>
      <x:c r="B79" s="1277"/>
      <x:c r="C79" s="1277"/>
      <x:c r="D79" s="1277"/>
      <x:c r="E79" s="1277"/>
      <x:c r="F79" s="1277"/>
      <x:c r="G79" s="1277"/>
      <x:c r="H79" s="1277"/>
      <x:c r="I79" s="1277"/>
      <x:c r="J79" s="1277"/>
      <x:c r="K79" s="1277"/>
      <x:c r="L79" s="1277"/>
      <x:c r="M79" s="1277"/>
      <x:c r="N79" s="1277"/>
      <x:c r="O79" s="1277"/>
      <x:c r="P79" s="1277"/>
      <x:c r="Q79" s="1277"/>
      <x:c r="R79" s="1277"/>
      <x:c r="S79" s="1277"/>
      <x:c r="T79" s="1277"/>
    </x:row>
    <x:row r="80">
      <x:c r="A80" s="1619" t="str">
        <x:v>PLANIFICADO /
READY</x:v>
      </x:c>
      <x:c r="B80" s="1620"/>
      <x:c r="C80" s="1621"/>
      <x:c r="D80" s="1277"/>
      <x:c r="E80" s="1619" t="str">
        <x:v>EN
EJECUCIÓN</x:v>
      </x:c>
      <x:c r="F80" s="1620"/>
      <x:c r="G80" s="1621"/>
      <x:c r="H80" s="1277"/>
      <x:c r="I80" s="1619" t="str">
        <x:v>CERRADO
OPERATIVAMENTE</x:v>
      </x:c>
      <x:c r="J80" s="1620"/>
      <x:c r="K80" s="1621"/>
      <x:c r="L80" s="1277"/>
      <x:c r="M80" s="1619" t="str">
        <x:v>DOCUMENTALMENTE
COMPLETO</x:v>
      </x:c>
      <x:c r="N80" s="1620"/>
      <x:c r="O80" s="1621"/>
      <x:c r="P80" s="1277"/>
      <x:c r="Q80" s="1619" t="str">
        <x:v>CERTIFICADO</x:v>
      </x:c>
      <x:c r="R80" s="1621"/>
      <x:c r="S80" s="1277"/>
      <x:c r="T80" s="1783" t="str">
        <x:v>FACTURADO</x:v>
      </x:c>
    </x:row>
    <x:row r="81">
      <x:c r="A81" s="1625"/>
      <x:c r="B81" s="1626"/>
      <x:c r="C81" s="1627"/>
      <x:c r="D81" s="1297" t="str">
        <x:v>→</x:v>
      </x:c>
      <x:c r="E81" s="1625"/>
      <x:c r="F81" s="1626"/>
      <x:c r="G81" s="1627"/>
      <x:c r="H81" s="1297" t="str">
        <x:v>→</x:v>
      </x:c>
      <x:c r="I81" s="1625"/>
      <x:c r="J81" s="1626"/>
      <x:c r="K81" s="1627"/>
      <x:c r="L81" s="1297" t="str">
        <x:v>→</x:v>
      </x:c>
      <x:c r="M81" s="1625"/>
      <x:c r="N81" s="1626"/>
      <x:c r="O81" s="1627"/>
      <x:c r="P81" s="1297" t="str">
        <x:v>→</x:v>
      </x:c>
      <x:c r="Q81" s="1625"/>
      <x:c r="R81" s="1627"/>
      <x:c r="S81" s="1297" t="str">
        <x:v>→</x:v>
      </x:c>
      <x:c r="T81" s="1784"/>
    </x:row>
    <x:row r="82">
      <x:c r="A82" s="1625"/>
      <x:c r="B82" s="1626"/>
      <x:c r="C82" s="1627"/>
      <x:c r="D82" s="1277"/>
      <x:c r="E82" s="1625"/>
      <x:c r="F82" s="1626"/>
      <x:c r="G82" s="1627"/>
      <x:c r="H82" s="1277"/>
      <x:c r="I82" s="1625"/>
      <x:c r="J82" s="1626"/>
      <x:c r="K82" s="1627"/>
      <x:c r="L82" s="1277"/>
      <x:c r="M82" s="1625"/>
      <x:c r="N82" s="1626"/>
      <x:c r="O82" s="1627"/>
      <x:c r="P82" s="1277"/>
      <x:c r="Q82" s="1625"/>
      <x:c r="R82" s="1627"/>
      <x:c r="S82" s="1277"/>
      <x:c r="T82" s="1784"/>
    </x:row>
    <x:row r="83">
      <x:c r="A83" s="1631"/>
      <x:c r="B83" s="1632"/>
      <x:c r="C83" s="1633"/>
      <x:c r="D83" s="1277"/>
      <x:c r="E83" s="1631"/>
      <x:c r="F83" s="1632"/>
      <x:c r="G83" s="1633"/>
      <x:c r="H83" s="1277"/>
      <x:c r="I83" s="1631"/>
      <x:c r="J83" s="1632"/>
      <x:c r="K83" s="1633"/>
      <x:c r="L83" s="1277"/>
      <x:c r="M83" s="1631"/>
      <x:c r="N83" s="1632"/>
      <x:c r="O83" s="1633"/>
      <x:c r="P83" s="1277"/>
      <x:c r="Q83" s="1631"/>
      <x:c r="R83" s="1633"/>
      <x:c r="S83" s="1277"/>
      <x:c r="T83" s="1785"/>
    </x:row>
    <x:row r="84">
      <x:c r="A84" s="1277"/>
      <x:c r="B84" s="1277"/>
      <x:c r="C84" s="1277"/>
      <x:c r="D84" s="1277"/>
      <x:c r="E84" s="1277"/>
      <x:c r="F84" s="1277"/>
      <x:c r="G84" s="1277"/>
      <x:c r="H84" s="1277"/>
      <x:c r="I84" s="1277"/>
      <x:c r="J84" s="1277"/>
      <x:c r="K84" s="1277"/>
      <x:c r="L84" s="1277"/>
      <x:c r="M84" s="1277"/>
      <x:c r="N84" s="1277"/>
      <x:c r="O84" s="1277"/>
      <x:c r="P84" s="1277"/>
      <x:c r="Q84" s="1277"/>
      <x:c r="R84" s="1277"/>
      <x:c r="S84" s="1277"/>
      <x:c r="T84" s="1277"/>
    </x:row>
    <x:row r="85">
      <x:c r="A85" s="1277"/>
      <x:c r="B85" s="1277"/>
      <x:c r="C85" s="1277"/>
      <x:c r="D85" s="1277"/>
      <x:c r="E85" s="1277"/>
      <x:c r="F85" s="1277"/>
      <x:c r="G85" s="1277"/>
      <x:c r="H85" s="1277"/>
      <x:c r="I85" s="1277"/>
      <x:c r="J85" s="1277"/>
      <x:c r="K85" s="1277"/>
      <x:c r="L85" s="1277"/>
      <x:c r="M85" s="1277"/>
      <x:c r="N85" s="1277"/>
      <x:c r="O85" s="1277"/>
      <x:c r="P85" s="1277"/>
      <x:c r="Q85" s="1277"/>
      <x:c r="R85" s="1277"/>
      <x:c r="S85" s="1277"/>
      <x:c r="T85" s="1277"/>
    </x:row>
    <x:row r="86">
      <x:c r="A86" s="1642" t="str">
        <x:v>ESTADO REV D.2</x:v>
      </x:c>
      <x:c r="B86" s="1642"/>
      <x:c r="C86" s="1642"/>
      <x:c r="D86" s="1642"/>
      <x:c r="E86" s="1642"/>
      <x:c r="F86" s="1642"/>
      <x:c r="G86" s="1642"/>
      <x:c r="H86" s="1642"/>
      <x:c r="I86" s="1642"/>
      <x:c r="J86" s="1642"/>
      <x:c r="K86" s="1642"/>
      <x:c r="L86" s="1642"/>
      <x:c r="M86" s="1642"/>
      <x:c r="N86" s="1642"/>
      <x:c r="O86" s="1642"/>
      <x:c r="P86" s="1642"/>
      <x:c r="Q86" s="1642"/>
      <x:c r="R86" s="1642"/>
      <x:c r="S86" s="1642"/>
      <x:c r="T86" s="1642"/>
    </x:row>
    <x:row r="87" ht="40" customHeight="1">
      <x:c r="A87" s="1396" t="str">
        <x:v>FUERTE</x:v>
      </x:c>
      <x:c r="B87" s="1327" t="str">
        <x:v>Separación Plan vs Real; TipoParte derivado; cierre operativo independiente; UnidadComercial; Certificación antes de Facturación.</x:v>
      </x:c>
      <x:c r="C87" s="1327"/>
      <x:c r="D87" s="1327"/>
      <x:c r="E87" s="1327"/>
      <x:c r="F87" s="1327"/>
      <x:c r="G87" s="1327"/>
      <x:c r="H87" s="1327"/>
      <x:c r="I87" s="1327"/>
      <x:c r="J87" s="1327"/>
      <x:c r="K87" s="1327"/>
      <x:c r="L87" s="1327"/>
      <x:c r="M87" s="1327"/>
      <x:c r="N87" s="1327"/>
      <x:c r="O87" s="1327"/>
      <x:c r="P87" s="1327"/>
      <x:c r="Q87" s="1327"/>
      <x:c r="R87" s="1327"/>
      <x:c r="S87" s="1327"/>
      <x:c r="T87" s="1327"/>
    </x:row>
    <x:row r="88" ht="40" customHeight="1">
      <x:c r="A88" s="1396" t="str">
        <x:v>HIPÓTESIS A VALIDAR</x:v>
      </x:c>
      <x:c r="B88" s="1327" t="str">
        <x:v>Capacidad vs nominación; readiness completo; granularidad UnidadComercial; certificación parcial; agrupaciones/lotes.</x:v>
      </x:c>
      <x:c r="C88" s="1327"/>
      <x:c r="D88" s="1327"/>
      <x:c r="E88" s="1327"/>
      <x:c r="F88" s="1327"/>
      <x:c r="G88" s="1327"/>
      <x:c r="H88" s="1327"/>
      <x:c r="I88" s="1327"/>
      <x:c r="J88" s="1327"/>
      <x:c r="K88" s="1327"/>
      <x:c r="L88" s="1327"/>
      <x:c r="M88" s="1327"/>
      <x:c r="N88" s="1327"/>
      <x:c r="O88" s="1327"/>
      <x:c r="P88" s="1327"/>
      <x:c r="Q88" s="1327"/>
      <x:c r="R88" s="1327"/>
      <x:c r="S88" s="1327"/>
      <x:c r="T88" s="1327"/>
    </x:row>
    <x:row r="89" ht="40" customHeight="1">
      <x:c r="A89" s="1396" t="str">
        <x:v>SLOTS CONTRACTUALES</x:v>
      </x:c>
      <x:c r="B89" s="1327" t="str">
        <x:v>Contratos/versiones reales; ítems/UM/precios; reglas exactas de facturación; maestro CentroCosto.</x:v>
      </x:c>
      <x:c r="C89" s="1327"/>
      <x:c r="D89" s="1327"/>
      <x:c r="E89" s="1327"/>
      <x:c r="F89" s="1327"/>
      <x:c r="G89" s="1327"/>
      <x:c r="H89" s="1327"/>
      <x:c r="I89" s="1327"/>
      <x:c r="J89" s="1327"/>
      <x:c r="K89" s="1327"/>
      <x:c r="L89" s="1327"/>
      <x:c r="M89" s="1327"/>
      <x:c r="N89" s="1327"/>
      <x:c r="O89" s="1327"/>
      <x:c r="P89" s="1327"/>
      <x:c r="Q89" s="1327"/>
      <x:c r="R89" s="1327"/>
      <x:c r="S89" s="1327"/>
      <x:c r="T89" s="1327"/>
    </x:row>
    <x:row r="90" ht="40" customHeight="1">
      <x:c r="A90" s="1396" t="str">
        <x:v>ENTREGABLE FINAL</x:v>
      </x:c>
      <x:c r="B90" s="1327" t="str">
        <x:v>Convertir esta arquitectura + detalles de TiposParte en una imagen vectorial/PNG legible, manteniendo lenguaje de compuertas/buses/estados.</x:v>
      </x:c>
      <x:c r="C90" s="1327"/>
      <x:c r="D90" s="1327"/>
      <x:c r="E90" s="1327"/>
      <x:c r="F90" s="1327"/>
      <x:c r="G90" s="1327"/>
      <x:c r="H90" s="1327"/>
      <x:c r="I90" s="1327"/>
      <x:c r="J90" s="1327"/>
      <x:c r="K90" s="1327"/>
      <x:c r="L90" s="1327"/>
      <x:c r="M90" s="1327"/>
      <x:c r="N90" s="1327"/>
      <x:c r="O90" s="1327"/>
      <x:c r="P90" s="1327"/>
      <x:c r="Q90" s="1327"/>
      <x:c r="R90" s="1327"/>
      <x:c r="S90" s="1327"/>
      <x:c r="T90" s="1327"/>
    </x:row>
  </x:sheetData>
  <x:mergeCells>
    <x:mergeCell ref="A1:T1"/>
    <x:mergeCell ref="A2:T2"/>
    <x:mergeCell ref="A4:T4"/>
    <x:mergeCell ref="A6:C9"/>
    <x:mergeCell ref="E6:G9"/>
    <x:mergeCell ref="I6:K9"/>
    <x:mergeCell ref="M6:P9"/>
    <x:mergeCell ref="R6:T9"/>
    <x:mergeCell ref="A12:F12"/>
    <x:mergeCell ref="G12:M12"/>
    <x:mergeCell ref="N12:T12"/>
    <x:mergeCell ref="A14:F17"/>
    <x:mergeCell ref="A19:F22"/>
    <x:mergeCell ref="A24:F27"/>
    <x:mergeCell ref="A29:F32"/>
    <x:mergeCell ref="A34:F38"/>
    <x:mergeCell ref="A40:F43"/>
    <x:mergeCell ref="A46:M46"/>
    <x:mergeCell ref="A47:M50"/>
    <x:mergeCell ref="G14:M17"/>
    <x:mergeCell ref="G19:M22"/>
    <x:mergeCell ref="G24:M27"/>
    <x:mergeCell ref="G29:M32"/>
    <x:mergeCell ref="G34:M38"/>
    <x:mergeCell ref="G40:M43"/>
    <x:mergeCell ref="G53:T53"/>
    <x:mergeCell ref="G54:T57"/>
    <x:mergeCell ref="N14:T17"/>
    <x:mergeCell ref="N19:T22"/>
    <x:mergeCell ref="N24:T27"/>
    <x:mergeCell ref="N29:T32"/>
    <x:mergeCell ref="N34:T37"/>
    <x:mergeCell ref="N39:T42"/>
    <x:mergeCell ref="N44:T48"/>
    <x:mergeCell ref="A60:T60"/>
    <x:mergeCell ref="A62:E66"/>
    <x:mergeCell ref="G62:K66"/>
    <x:mergeCell ref="M62:P66"/>
    <x:mergeCell ref="R62:T66"/>
    <x:mergeCell ref="A69:T69"/>
    <x:mergeCell ref="A71:E75"/>
    <x:mergeCell ref="F71:J75"/>
    <x:mergeCell ref="K71:O75"/>
    <x:mergeCell ref="P71:T75"/>
    <x:mergeCell ref="A78:T78"/>
    <x:mergeCell ref="A80:C83"/>
    <x:mergeCell ref="E80:G83"/>
    <x:mergeCell ref="I80:K83"/>
    <x:mergeCell ref="M80:O83"/>
    <x:mergeCell ref="Q80:R83"/>
    <x:mergeCell ref="T80:T83"/>
    <x:mergeCell ref="A86:T86"/>
    <x:mergeCell ref="B87:T87"/>
    <x:mergeCell ref="B88:T88"/>
    <x:mergeCell ref="B89:T89"/>
    <x:mergeCell ref="B90:T90"/>
  </x:mergeCells>
  <x:pageMargins left="0.7" right="0.7" top="0.75" bottom="0.75" header="0.3" footer="0.3"/>
</x:worksheet>
</file>

<file path=xl/worksheets/sheet24.xml><?xml version="1.0" encoding="utf-8"?>
<x:worksheet xmlns:x="http://schemas.openxmlformats.org/spreadsheetml/2006/main">
  <x:sheetFormatPr defaultRowHeight="15"/>
  <x:cols>
    <x:col min="1" max="1" width="15" hidden="0" customWidth="1"/>
    <x:col min="2" max="2" width="23" hidden="0" customWidth="1"/>
    <x:col min="3" max="3" width="23" hidden="0" customWidth="1"/>
    <x:col min="4" max="4" width="23" hidden="0" customWidth="1"/>
    <x:col min="5" max="5" width="23" hidden="0" customWidth="1"/>
    <x:col min="6" max="6" width="23" hidden="0" customWidth="1"/>
    <x:col min="7" max="7" width="4" hidden="0" customWidth="1"/>
    <x:col min="8" max="8" width="17"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s>
  <x:sheetData>
    <x:row r="1">
      <x:c r="A1" s="2088" t="str">
        <x:v>TP-01 · INTERVENCIÓN / TRABAJO ESPECÍFICO · CIERRE LÓGICO v0.1</x:v>
      </x:c>
      <x:c r="B1" s="2088"/>
      <x:c r="C1" s="2088"/>
      <x:c r="D1" s="2088"/>
      <x:c r="E1" s="2088"/>
      <x:c r="F1" s="2088"/>
      <x:c r="G1" s="2088"/>
      <x:c r="H1" s="2088"/>
      <x:c r="I1" s="2088"/>
      <x:c r="J1" s="2088"/>
      <x:c r="K1" s="2088"/>
      <x:c r="L1" s="2088"/>
      <x:c r="M1" s="2088"/>
      <x:c r="N1" s="2088"/>
    </x:row>
    <x:row r="2">
      <x:c r="A2" s="2030" t="str">
        <x:v>Base: T2 + T6 + homologación + respuestas operativas + arquitectura VDS. Decisión central: TP-01 registra la intervención; PermisoTrabajo es un gate Habilita separado.</x:v>
      </x:c>
      <x:c r="B2" s="2030"/>
      <x:c r="C2" s="2030"/>
      <x:c r="D2" s="2030"/>
      <x:c r="E2" s="2030"/>
      <x:c r="F2" s="2030"/>
      <x:c r="G2" s="2030"/>
      <x:c r="H2" s="2030"/>
      <x:c r="I2" s="2030"/>
      <x:c r="J2" s="2030"/>
      <x:c r="K2" s="2030"/>
      <x:c r="L2" s="2030"/>
      <x:c r="M2" s="2030"/>
      <x:c r="N2" s="2030"/>
    </x:row>
    <x:row r="3">
      <x:c r="A3" s="1277"/>
      <x:c r="B3" s="1277"/>
      <x:c r="C3" s="1277"/>
      <x:c r="D3" s="1277"/>
      <x:c r="E3" s="1277"/>
      <x:c r="F3" s="1277"/>
      <x:c r="G3" s="1277"/>
      <x:c r="H3" s="1277"/>
      <x:c r="I3" s="1277"/>
      <x:c r="J3" s="1277"/>
      <x:c r="K3" s="1277"/>
      <x:c r="L3" s="1277"/>
      <x:c r="M3" s="1277"/>
      <x:c r="N3" s="1277"/>
    </x:row>
    <x:row r="4">
      <x:c r="A4" s="2089" t="str">
        <x:v>01 — DEFINICIÓN · QUÉ ES TP-01 Y QUÉ NO ES</x:v>
      </x:c>
      <x:c r="B4" s="2089"/>
      <x:c r="C4" s="2089"/>
      <x:c r="D4" s="2089"/>
      <x:c r="E4" s="2089"/>
      <x:c r="F4" s="2089"/>
      <x:c r="G4" s="2089"/>
      <x:c r="H4" s="2089"/>
      <x:c r="I4" s="2089"/>
      <x:c r="J4" s="2089"/>
      <x:c r="K4" s="2089"/>
      <x:c r="L4" s="2089"/>
      <x:c r="M4" s="2089"/>
      <x:c r="N4" s="2089"/>
    </x:row>
    <x:row r="5">
      <x:c r="A5" s="1277"/>
      <x:c r="B5" s="1277"/>
      <x:c r="C5" s="1277"/>
      <x:c r="D5" s="1277"/>
      <x:c r="E5" s="1277"/>
      <x:c r="F5" s="1277"/>
      <x:c r="G5" s="1277"/>
      <x:c r="H5" s="1277"/>
      <x:c r="I5" s="1277"/>
      <x:c r="J5" s="1277"/>
      <x:c r="K5" s="1277"/>
      <x:c r="L5" s="1277"/>
      <x:c r="M5" s="1277"/>
      <x:c r="N5" s="1277"/>
    </x:row>
    <x:row r="6">
      <x:c r="A6" s="2032" t="str">
        <x:v>TP-01 ES
Un registro de ejecución de una intervención/work package específico: un objetivo operativo acotado, asociado a un contexto, ubicación/activo, recursos y evidencia. Se usa cuando el trabajo necesita identidad propia y no debe diluirse dentro de un reporte diario.</x:v>
      </x:c>
      <x:c r="B6" s="2032"/>
      <x:c r="C6" s="2032"/>
      <x:c r="D6" s="2032"/>
      <x:c r="E6" s="2032"/>
      <x:c r="F6" s="2032"/>
      <x:c r="G6" s="1277"/>
      <x:c r="H6" s="2033" t="str">
        <x:v>TP-01 NO ES
• un Permiso de Trabajo
• una Orden de Trabajo externa
• un Parte Diario de Cuadrilla
• una Certificación
Puede relacionarse con todos ellos, pero no se confunde con ninguno.</x:v>
      </x:c>
      <x:c r="I6" s="2033"/>
      <x:c r="J6" s="2033"/>
      <x:c r="K6" s="2033"/>
      <x:c r="L6" s="2033"/>
      <x:c r="M6" s="2033"/>
      <x:c r="N6" s="2033"/>
    </x:row>
    <x:row r="7">
      <x:c r="A7" s="2032"/>
      <x:c r="B7" s="2032"/>
      <x:c r="C7" s="2032"/>
      <x:c r="D7" s="2032"/>
      <x:c r="E7" s="2032"/>
      <x:c r="F7" s="2032"/>
      <x:c r="G7" s="1277"/>
      <x:c r="H7" s="2033"/>
      <x:c r="I7" s="2033"/>
      <x:c r="J7" s="2033"/>
      <x:c r="K7" s="2033"/>
      <x:c r="L7" s="2033"/>
      <x:c r="M7" s="2033"/>
      <x:c r="N7" s="2033"/>
    </x:row>
    <x:row r="8">
      <x:c r="A8" s="2032"/>
      <x:c r="B8" s="2032"/>
      <x:c r="C8" s="2032"/>
      <x:c r="D8" s="2032"/>
      <x:c r="E8" s="2032"/>
      <x:c r="F8" s="2032"/>
      <x:c r="G8" s="1277"/>
      <x:c r="H8" s="2033"/>
      <x:c r="I8" s="2033"/>
      <x:c r="J8" s="2033"/>
      <x:c r="K8" s="2033"/>
      <x:c r="L8" s="2033"/>
      <x:c r="M8" s="2033"/>
      <x:c r="N8" s="2033"/>
    </x:row>
    <x:row r="9">
      <x:c r="A9" s="2032"/>
      <x:c r="B9" s="2032"/>
      <x:c r="C9" s="2032"/>
      <x:c r="D9" s="2032"/>
      <x:c r="E9" s="2032"/>
      <x:c r="F9" s="2032"/>
      <x:c r="G9" s="1277"/>
      <x:c r="H9" s="2033"/>
      <x:c r="I9" s="2033"/>
      <x:c r="J9" s="2033"/>
      <x:c r="K9" s="2033"/>
      <x:c r="L9" s="2033"/>
      <x:c r="M9" s="2033"/>
      <x:c r="N9" s="2033"/>
    </x:row>
    <x:row r="10">
      <x:c r="A10" s="2032"/>
      <x:c r="B10" s="2032"/>
      <x:c r="C10" s="2032"/>
      <x:c r="D10" s="2032"/>
      <x:c r="E10" s="2032"/>
      <x:c r="F10" s="2032"/>
      <x:c r="G10" s="1277"/>
      <x:c r="H10" s="2033"/>
      <x:c r="I10" s="2033"/>
      <x:c r="J10" s="2033"/>
      <x:c r="K10" s="2033"/>
      <x:c r="L10" s="2033"/>
      <x:c r="M10" s="2033"/>
      <x:c r="N10" s="2033"/>
    </x:row>
    <x:row r="11">
      <x:c r="A11" s="2032"/>
      <x:c r="B11" s="2032"/>
      <x:c r="C11" s="2032"/>
      <x:c r="D11" s="2032"/>
      <x:c r="E11" s="2032"/>
      <x:c r="F11" s="2032"/>
      <x:c r="G11" s="1277"/>
      <x:c r="H11" s="2033"/>
      <x:c r="I11" s="2033"/>
      <x:c r="J11" s="2033"/>
      <x:c r="K11" s="2033"/>
      <x:c r="L11" s="2033"/>
      <x:c r="M11" s="2033"/>
      <x:c r="N11" s="2033"/>
    </x:row>
    <x:row r="12">
      <x:c r="A12" s="1277"/>
      <x:c r="B12" s="1277"/>
      <x:c r="C12" s="1277"/>
      <x:c r="D12" s="1277"/>
      <x:c r="E12" s="1277"/>
      <x:c r="F12" s="1277"/>
      <x:c r="G12" s="1277"/>
      <x:c r="H12" s="1277"/>
      <x:c r="I12" s="1277"/>
      <x:c r="J12" s="1277"/>
      <x:c r="K12" s="1277"/>
      <x:c r="L12" s="1277"/>
      <x:c r="M12" s="1277"/>
      <x:c r="N12" s="1277"/>
    </x:row>
    <x:row r="13">
      <x:c r="A13" s="2089" t="str">
        <x:v>02 — IDENTIDAD · EL WORK PACKAGE MANTIENE UNIDO EL PARTE</x:v>
      </x:c>
      <x:c r="B13" s="2089"/>
      <x:c r="C13" s="2089"/>
      <x:c r="D13" s="2089"/>
      <x:c r="E13" s="2089"/>
      <x:c r="F13" s="2089"/>
      <x:c r="G13" s="2089"/>
      <x:c r="H13" s="2089"/>
      <x:c r="I13" s="2089"/>
      <x:c r="J13" s="2089"/>
      <x:c r="K13" s="2089"/>
      <x:c r="L13" s="2089"/>
      <x:c r="M13" s="2089"/>
      <x:c r="N13" s="2089"/>
    </x:row>
    <x:row r="14">
      <x:c r="A14" s="1277"/>
      <x:c r="B14" s="1277"/>
      <x:c r="C14" s="1277"/>
      <x:c r="D14" s="1277"/>
      <x:c r="E14" s="1277"/>
      <x:c r="F14" s="1277"/>
      <x:c r="G14" s="1277"/>
      <x:c r="H14" s="1277"/>
      <x:c r="I14" s="1277"/>
      <x:c r="J14" s="1277"/>
      <x:c r="K14" s="1277"/>
      <x:c r="L14" s="1277"/>
      <x:c r="M14" s="1277"/>
      <x:c r="N14" s="1277"/>
    </x:row>
    <x:row r="15">
      <x:c r="A15" s="2034" t="str">
        <x:v>UNIDAD
PLANIFICADA
qué trabajo se espera</x:v>
      </x:c>
      <x:c r="B15" s="2035"/>
      <x:c r="C15" s="2036"/>
      <x:c r="D15" s="1277"/>
      <x:c r="E15" s="2037" t="str">
        <x:v>ALCANCE
INTERVENCIÓN
objetivo + activo/ubicación</x:v>
      </x:c>
      <x:c r="F15" s="2038"/>
      <x:c r="G15" s="2039"/>
      <x:c r="H15" s="1277"/>
      <x:c r="I15" s="2034" t="str">
        <x:v>TP-01
1 intervención
específica</x:v>
      </x:c>
      <x:c r="J15" s="2035"/>
      <x:c r="K15" s="2036"/>
      <x:c r="L15" s="1277"/>
      <x:c r="M15" s="2034" t="str">
        <x:v>UNIDAD(ES)
EJECUCIÓN
[1..N]
subtrabajos medibles</x:v>
      </x:c>
      <x:c r="N15" s="2036"/>
    </x:row>
    <x:row r="16">
      <x:c r="A16" s="2040"/>
      <x:c r="B16" s="2041"/>
      <x:c r="C16" s="2042"/>
      <x:c r="D16" s="1277"/>
      <x:c r="E16" s="2043"/>
      <x:c r="F16" s="2044"/>
      <x:c r="G16" s="2045"/>
      <x:c r="H16" s="1277"/>
      <x:c r="I16" s="2040"/>
      <x:c r="J16" s="2041"/>
      <x:c r="K16" s="2042"/>
      <x:c r="L16" s="1277"/>
      <x:c r="M16" s="2040"/>
      <x:c r="N16" s="2042"/>
    </x:row>
    <x:row r="17">
      <x:c r="A17" s="2040"/>
      <x:c r="B17" s="2041"/>
      <x:c r="C17" s="2042"/>
      <x:c r="D17" s="1297" t="str">
        <x:v>→</x:v>
      </x:c>
      <x:c r="E17" s="2043"/>
      <x:c r="F17" s="2044"/>
      <x:c r="G17" s="2045"/>
      <x:c r="H17" s="1297" t="str">
        <x:v>→</x:v>
      </x:c>
      <x:c r="I17" s="2040"/>
      <x:c r="J17" s="2041"/>
      <x:c r="K17" s="2042"/>
      <x:c r="L17" s="1297" t="str">
        <x:v>→</x:v>
      </x:c>
      <x:c r="M17" s="2040"/>
      <x:c r="N17" s="2042"/>
    </x:row>
    <x:row r="18">
      <x:c r="A18" s="2040"/>
      <x:c r="B18" s="2041"/>
      <x:c r="C18" s="2042"/>
      <x:c r="D18" s="1277"/>
      <x:c r="E18" s="2043"/>
      <x:c r="F18" s="2044"/>
      <x:c r="G18" s="2045"/>
      <x:c r="H18" s="1277"/>
      <x:c r="I18" s="2040"/>
      <x:c r="J18" s="2041"/>
      <x:c r="K18" s="2042"/>
      <x:c r="L18" s="1277"/>
      <x:c r="M18" s="2040"/>
      <x:c r="N18" s="2042"/>
    </x:row>
    <x:row r="19">
      <x:c r="A19" s="2046"/>
      <x:c r="B19" s="2047"/>
      <x:c r="C19" s="2048"/>
      <x:c r="D19" s="1277"/>
      <x:c r="E19" s="2049"/>
      <x:c r="F19" s="2050"/>
      <x:c r="G19" s="2051"/>
      <x:c r="H19" s="1277"/>
      <x:c r="I19" s="2046"/>
      <x:c r="J19" s="2047"/>
      <x:c r="K19" s="2048"/>
      <x:c r="L19" s="1277"/>
      <x:c r="M19" s="2046"/>
      <x:c r="N19" s="2048"/>
    </x:row>
    <x:row r="20">
      <x:c r="A20" s="1277"/>
      <x:c r="B20" s="1277"/>
      <x:c r="C20" s="1277"/>
      <x:c r="D20" s="1277"/>
      <x:c r="E20" s="1277"/>
      <x:c r="F20" s="1277"/>
      <x:c r="G20" s="1277"/>
      <x:c r="H20" s="1277"/>
      <x:c r="I20" s="1277"/>
      <x:c r="J20" s="1277"/>
      <x:c r="K20" s="1277"/>
      <x:c r="L20" s="1277"/>
      <x:c r="M20" s="1277"/>
      <x:c r="N20" s="1277"/>
    </x:row>
    <x:row r="21">
      <x:c r="A21" s="2052" t="str">
        <x:v>Hipótesis fuerte v0.9: la identidad TP-01 la define el work package/intervención, no el permiso ni el turno. Dentro del mismo work package pueden existir 1..N UnidadesEjecución con tiempos, imputaciones, recursos o mediciones diferentes. Cambiar de punto físico dentro del alcance no crea otro Parte; un nuevo objetivo/work package independiente sí.</x:v>
      </x:c>
      <x:c r="B21" s="2052"/>
      <x:c r="C21" s="2052"/>
      <x:c r="D21" s="2052"/>
      <x:c r="E21" s="2052"/>
      <x:c r="F21" s="2052"/>
      <x:c r="G21" s="2052"/>
      <x:c r="H21" s="2052"/>
      <x:c r="I21" s="2052"/>
      <x:c r="J21" s="2052"/>
      <x:c r="K21" s="2052"/>
      <x:c r="L21" s="2052"/>
      <x:c r="M21" s="2052"/>
      <x:c r="N21" s="2052"/>
    </x:row>
    <x:row r="22">
      <x:c r="A22" s="2052"/>
      <x:c r="B22" s="2052"/>
      <x:c r="C22" s="2052"/>
      <x:c r="D22" s="2052"/>
      <x:c r="E22" s="2052"/>
      <x:c r="F22" s="2052"/>
      <x:c r="G22" s="2052"/>
      <x:c r="H22" s="2052"/>
      <x:c r="I22" s="2052"/>
      <x:c r="J22" s="2052"/>
      <x:c r="K22" s="2052"/>
      <x:c r="L22" s="2052"/>
      <x:c r="M22" s="2052"/>
      <x:c r="N22" s="2052"/>
    </x:row>
    <x:row r="23">
      <x:c r="A23" s="2052"/>
      <x:c r="B23" s="2052"/>
      <x:c r="C23" s="2052"/>
      <x:c r="D23" s="2052"/>
      <x:c r="E23" s="2052"/>
      <x:c r="F23" s="2052"/>
      <x:c r="G23" s="2052"/>
      <x:c r="H23" s="2052"/>
      <x:c r="I23" s="2052"/>
      <x:c r="J23" s="2052"/>
      <x:c r="K23" s="2052"/>
      <x:c r="L23" s="2052"/>
      <x:c r="M23" s="2052"/>
      <x:c r="N23" s="2052"/>
    </x:row>
    <x:row r="24">
      <x:c r="A24" s="2052"/>
      <x:c r="B24" s="2052"/>
      <x:c r="C24" s="2052"/>
      <x:c r="D24" s="2052"/>
      <x:c r="E24" s="2052"/>
      <x:c r="F24" s="2052"/>
      <x:c r="G24" s="2052"/>
      <x:c r="H24" s="2052"/>
      <x:c r="I24" s="2052"/>
      <x:c r="J24" s="2052"/>
      <x:c r="K24" s="2052"/>
      <x:c r="L24" s="2052"/>
      <x:c r="M24" s="2052"/>
      <x:c r="N24" s="2052"/>
    </x:row>
    <x:row r="25">
      <x:c r="A25" s="1277"/>
      <x:c r="B25" s="1277"/>
      <x:c r="C25" s="1277"/>
      <x:c r="D25" s="1277"/>
      <x:c r="E25" s="1277"/>
      <x:c r="F25" s="1277"/>
      <x:c r="G25" s="1277"/>
      <x:c r="H25" s="1277"/>
      <x:c r="I25" s="1277"/>
      <x:c r="J25" s="1277"/>
      <x:c r="K25" s="1277"/>
      <x:c r="L25" s="1277"/>
      <x:c r="M25" s="1277"/>
      <x:c r="N25" s="1277"/>
    </x:row>
    <x:row r="26">
      <x:c r="A26" s="2089" t="str">
        <x:v>03 — RUTEO · CUÁNDO EL MOTOR DEBE ELEGIR TP-01</x:v>
      </x:c>
      <x:c r="B26" s="2089"/>
      <x:c r="C26" s="2089"/>
      <x:c r="D26" s="2089"/>
      <x:c r="E26" s="2089"/>
      <x:c r="F26" s="2089"/>
      <x:c r="G26" s="2089"/>
      <x:c r="H26" s="2089"/>
      <x:c r="I26" s="2089"/>
      <x:c r="J26" s="2089"/>
      <x:c r="K26" s="2089"/>
      <x:c r="L26" s="2089"/>
      <x:c r="M26" s="2089"/>
      <x:c r="N26" s="2089"/>
    </x:row>
    <x:row r="27">
      <x:c r="A27" s="2053" t="str">
        <x:v>Condición</x:v>
      </x:c>
      <x:c r="B27" s="2053" t="str">
        <x:v>Lectura del motor</x:v>
      </x:c>
      <x:c r="C27" s="2053" t="str">
        <x:v>Resultado</x:v>
      </x:c>
      <x:c r="D27" s="2053" t="str">
        <x:v>Confianza</x:v>
      </x:c>
      <x:c r="E27" s="2053" t="str">
        <x:v>Qué lo diferencia de TP-03</x:v>
      </x:c>
      <x:c r="F27" s="2053" t="str">
        <x:v>Pendiente</x:v>
      </x:c>
      <x:c r="G27" s="1277"/>
      <x:c r="H27" s="1277"/>
      <x:c r="I27" s="1277"/>
      <x:c r="J27" s="1277"/>
      <x:c r="K27" s="1277"/>
      <x:c r="L27" s="1277"/>
      <x:c r="M27" s="1277"/>
      <x:c r="N27" s="1277"/>
    </x:row>
    <x:row r="28" ht="54" customHeight="1">
      <x:c r="A28" s="1327" t="str">
        <x:v>Trabajo con objetivo/intervención puntual</x:v>
      </x:c>
      <x:c r="B28" s="1327" t="str">
        <x:v>La unidad planificada exige identidad propia</x:v>
      </x:c>
      <x:c r="C28" s="1327" t="str">
        <x:v>TP-01</x:v>
      </x:c>
      <x:c r="D28" s="1327" t="str">
        <x:v>H fuerte</x:v>
      </x:c>
      <x:c r="E28" s="1327" t="str">
        <x:v>No es una jornada contenedora de trabajos heterogéneos</x:v>
      </x:c>
      <x:c r="F28" s="1327" t="str">
        <x:v>Cerrar catálogo de casos</x:v>
      </x:c>
      <x:c r="G28" s="1277"/>
      <x:c r="H28" s="1277"/>
      <x:c r="I28" s="1277"/>
      <x:c r="J28" s="1277"/>
      <x:c r="K28" s="1277"/>
      <x:c r="L28" s="1277"/>
      <x:c r="M28" s="1277"/>
      <x:c r="N28" s="1277"/>
    </x:row>
    <x:row r="29" ht="54" customHeight="1">
      <x:c r="A29" s="1327" t="str">
        <x:v>Trabajo con certificación puntual</x:v>
      </x:c>
      <x:c r="B29" s="1327" t="str">
        <x:v>Debe preservarse como unidad diferenciada</x:v>
      </x:c>
      <x:c r="C29" s="1327" t="str">
        <x:v>TP-01 probable</x:v>
      </x:c>
      <x:c r="D29" s="1327" t="str">
        <x:v>✓ respuesta operativa</x:v>
      </x:c>
      <x:c r="E29" s="1327" t="str">
        <x:v>TP-03 no debe mezclarlo con otras tareas</x:v>
      </x:c>
      <x:c r="F29" s="1327" t="str">
        <x:v>Validar por contrato</x:v>
      </x:c>
      <x:c r="G29" s="1277"/>
      <x:c r="H29" s="1277"/>
      <x:c r="I29" s="1277"/>
      <x:c r="J29" s="1277"/>
      <x:c r="K29" s="1277"/>
      <x:c r="L29" s="1277"/>
      <x:c r="M29" s="1277"/>
      <x:c r="N29" s="1277"/>
    </x:row>
    <x:row r="30" ht="54" customHeight="1">
      <x:c r="A30" s="1327" t="str">
        <x:v>Trabajo ligado a OT externa</x:v>
      </x:c>
      <x:c r="B30" s="1327" t="str">
        <x:v>La OT referencia un work package</x:v>
      </x:c>
      <x:c r="C30" s="1327" t="str">
        <x:v>TP-01 probable</x:v>
      </x:c>
      <x:c r="D30" s="1327" t="str">
        <x:v>H</x:v>
      </x:c>
      <x:c r="E30" s="1327" t="str">
        <x:v>TP-03 puede tener múltiples trabajos sin OT propia</x:v>
      </x:c>
      <x:c r="F30" s="1327" t="str">
        <x:v>Validar clientes</x:v>
      </x:c>
      <x:c r="G30" s="1277"/>
      <x:c r="H30" s="1277"/>
      <x:c r="I30" s="1277"/>
      <x:c r="J30" s="1277"/>
      <x:c r="K30" s="1277"/>
      <x:c r="L30" s="1277"/>
      <x:c r="M30" s="1277"/>
      <x:c r="N30" s="1277"/>
    </x:row>
    <x:row r="31" ht="54" customHeight="1">
      <x:c r="A31" s="1327" t="str">
        <x:v>Tarea de alto riesgo con PTW</x:v>
      </x:c>
      <x:c r="B31" s="1327" t="str">
        <x:v>El PTW no define TipoParte por sí solo</x:v>
      </x:c>
      <x:c r="C31" s="1327" t="str">
        <x:v>TP-01 o TP-03 según work package</x:v>
      </x:c>
      <x:c r="D31" s="1327" t="str">
        <x:v>✓/H</x:v>
      </x:c>
      <x:c r="E31" s="1327" t="str">
        <x:v>Seguridad es gate transversal</x:v>
      </x:c>
      <x:c r="F31" s="1327" t="str">
        <x:v>No usar PTW como selector</x:v>
      </x:c>
      <x:c r="G31" s="1277"/>
      <x:c r="H31" s="1277"/>
      <x:c r="I31" s="1277"/>
      <x:c r="J31" s="1277"/>
      <x:c r="K31" s="1277"/>
      <x:c r="L31" s="1277"/>
      <x:c r="M31" s="1277"/>
      <x:c r="N31" s="1277"/>
    </x:row>
    <x:row r="32" ht="54" customHeight="1">
      <x:c r="A32" s="1327" t="str">
        <x:v>Jornada de cuadrilla con varias tareas</x:v>
      </x:c>
      <x:c r="B32" s="1327" t="str">
        <x:v>No hay work package único</x:v>
      </x:c>
      <x:c r="C32" s="1327" t="str">
        <x:v>TP-03</x:v>
      </x:c>
      <x:c r="D32" s="1327" t="str">
        <x:v>✓ fuerte</x:v>
      </x:c>
      <x:c r="E32" s="1327" t="str">
        <x:v>TP-03 es contenedor jornada/turno</x:v>
      </x:c>
      <x:c r="F32" s="1327" t="str">
        <x:v>—</x:v>
      </x:c>
      <x:c r="G32" s="1277"/>
      <x:c r="H32" s="1277"/>
      <x:c r="I32" s="1277"/>
      <x:c r="J32" s="1277"/>
      <x:c r="K32" s="1277"/>
      <x:c r="L32" s="1277"/>
      <x:c r="M32" s="1277"/>
      <x:c r="N32" s="1277"/>
    </x:row>
    <x:row r="33" ht="54" customHeight="1">
      <x:c r="A33" s="1327" t="str">
        <x:v>Movimiento/logística repetitiva</x:v>
      </x:c>
      <x:c r="B33" s="1327" t="str">
        <x:v>La unidad natural es movimiento/asignación transporte</x:v>
      </x:c>
      <x:c r="C33" s="1327" t="str">
        <x:v>TP-02</x:v>
      </x:c>
      <x:c r="D33" s="1327" t="str">
        <x:v>✓ fuerte</x:v>
      </x:c>
      <x:c r="E33" s="1327" t="str">
        <x:v>TP-02 tiene origen/destino y configuración transporte</x:v>
      </x:c>
      <x:c r="F33" s="1327" t="str">
        <x:v>—</x:v>
      </x:c>
      <x:c r="G33" s="1277"/>
      <x:c r="H33" s="1277"/>
      <x:c r="I33" s="1277"/>
      <x:c r="J33" s="1277"/>
      <x:c r="K33" s="1277"/>
      <x:c r="L33" s="1277"/>
      <x:c r="M33" s="1277"/>
      <x:c r="N33" s="1277"/>
    </x:row>
    <x:row r="34">
      <x:c r="A34" s="1277"/>
      <x:c r="B34" s="1277"/>
      <x:c r="C34" s="1277"/>
      <x:c r="D34" s="1277"/>
      <x:c r="E34" s="1277"/>
      <x:c r="F34" s="1277"/>
      <x:c r="G34" s="1277"/>
      <x:c r="H34" s="1277"/>
      <x:c r="I34" s="1277"/>
      <x:c r="J34" s="1277"/>
      <x:c r="K34" s="1277"/>
      <x:c r="L34" s="1277"/>
      <x:c r="M34" s="1277"/>
      <x:c r="N34" s="1277"/>
    </x:row>
    <x:row r="35">
      <x:c r="A35" s="2089" t="str">
        <x:v>04 — REGLAS DE CORTE · NO CONFUNDIR CAMBIO OPERATIVO CON NUEVO WORK PACKAGE</x:v>
      </x:c>
      <x:c r="B35" s="2089"/>
      <x:c r="C35" s="2089"/>
      <x:c r="D35" s="2089"/>
      <x:c r="E35" s="2089"/>
      <x:c r="F35" s="2089"/>
      <x:c r="G35" s="2089"/>
      <x:c r="H35" s="3657" t="str">
        <x:v>PATCH REV E v2 · IDENTIDAD TP-01
WORK PACKAGE define el Parte.
Recurso adicional:
• apoyo misma UE → sumar recurso
• subtrabajo autónomo → nueva UE
• nuevo objetivo/work package → nuevo TP-01
PTW distinto NO es por sí mismo driver de nuevo Parte.
Cambio de turno: default continuidad + handover; excepción configurable.</x:v>
      </x:c>
      <x:c r="I35" s="3657"/>
      <x:c r="J35" s="3657"/>
      <x:c r="K35" s="3657"/>
      <x:c r="L35" s="3657"/>
      <x:c r="M35" s="3657"/>
      <x:c r="N35" s="3657"/>
    </x:row>
    <x:row r="36">
      <x:c r="A36" s="2053" t="str">
        <x:v>Dimensión</x:v>
      </x:c>
      <x:c r="B36" s="2053" t="str">
        <x:v>Regla v0.1</x:v>
      </x:c>
      <x:c r="C36" s="2053" t="str">
        <x:v>Acción</x:v>
      </x:c>
      <x:c r="D36" s="2053" t="str">
        <x:v>Confianza</x:v>
      </x:c>
      <x:c r="E36" s="2053" t="str">
        <x:v>Razonamiento</x:v>
      </x:c>
      <x:c r="F36" s="2053" t="str">
        <x:v>Validar</x:v>
      </x:c>
      <x:c r="G36" s="1277"/>
      <x:c r="H36" s="3657"/>
      <x:c r="I36" s="3657"/>
      <x:c r="J36" s="3657"/>
      <x:c r="K36" s="3657"/>
      <x:c r="L36" s="3657"/>
      <x:c r="M36" s="3657"/>
      <x:c r="N36" s="3657"/>
    </x:row>
    <x:row r="37" ht="50" customHeight="1">
      <x:c r="A37" s="1327" t="str">
        <x:v>Nuevo objetivo/work package</x:v>
      </x:c>
      <x:c r="B37" s="1327" t="str">
        <x:v>SÍ corta</x:v>
      </x:c>
      <x:c r="C37" s="1327" t="str">
        <x:v>Nuevo TP-01</x:v>
      </x:c>
      <x:c r="D37" s="1327" t="str">
        <x:v>H fuerte</x:v>
      </x:c>
      <x:c r="E37" s="1327" t="str">
        <x:v>Cambió la identidad operacional</x:v>
      </x:c>
      <x:c r="F37" s="1327" t="str">
        <x:v>V53</x:v>
      </x:c>
      <x:c r="G37" s="1277"/>
      <x:c r="H37" s="3657"/>
      <x:c r="I37" s="3657"/>
      <x:c r="J37" s="3657"/>
      <x:c r="K37" s="3657"/>
      <x:c r="L37" s="3657"/>
      <x:c r="M37" s="3657"/>
      <x:c r="N37" s="3657"/>
    </x:row>
    <x:row r="38" ht="50" customHeight="1">
      <x:c r="A38" s="1327" t="str">
        <x:v>Cambio cliente</x:v>
      </x:c>
      <x:c r="B38" s="1327" t="str">
        <x:v>SÍ corta</x:v>
      </x:c>
      <x:c r="C38" s="1327" t="str">
        <x:v>Nuevo TP-01</x:v>
      </x:c>
      <x:c r="D38" s="1327" t="str">
        <x:v>✓ inicial</x:v>
      </x:c>
      <x:c r="E38" s="1327" t="str">
        <x:v>Otro contexto contractual/comercial</x:v>
      </x:c>
      <x:c r="F38" s="1327" t="str">
        <x:v>—</x:v>
      </x:c>
      <x:c r="G38" s="1277"/>
      <x:c r="H38" s="3657"/>
      <x:c r="I38" s="3657"/>
      <x:c r="J38" s="3657"/>
      <x:c r="K38" s="3657"/>
      <x:c r="L38" s="3657"/>
      <x:c r="M38" s="3657"/>
      <x:c r="N38" s="3657"/>
    </x:row>
    <x:row r="39" ht="50" customHeight="1">
      <x:c r="A39" s="1327" t="str">
        <x:v>Cambio servicio</x:v>
      </x:c>
      <x:c r="B39" s="1327" t="str">
        <x:v>CONDICIONAL</x:v>
      </x:c>
      <x:c r="C39" s="1327" t="str">
        <x:v>Sigue si es subactividad compatible; corta si es nuevo objetivo</x:v>
      </x:c>
      <x:c r="D39" s="1327" t="str">
        <x:v>H fuerte</x:v>
      </x:c>
      <x:c r="E39" s="1327" t="str">
        <x:v>Servicio no debe ser proxy ciego de identidad</x:v>
      </x:c>
      <x:c r="F39" s="1327" t="str">
        <x:v>V53</x:v>
      </x:c>
      <x:c r="G39" s="1277"/>
      <x:c r="H39" s="3657"/>
      <x:c r="I39" s="3657"/>
      <x:c r="J39" s="3657"/>
      <x:c r="K39" s="3657"/>
      <x:c r="L39" s="3657"/>
      <x:c r="M39" s="3657"/>
      <x:c r="N39" s="3657"/>
    </x:row>
    <x:row r="40" ht="50" customHeight="1">
      <x:c r="A40" s="1327" t="str">
        <x:v>Cambio ubicación</x:v>
      </x:c>
      <x:c r="B40" s="1327" t="str">
        <x:v>CONDICIONAL</x:v>
      </x:c>
      <x:c r="C40" s="1327" t="str">
        <x:v>Sigue dentro del mismo alcance; corta si cambia asset/perímetro/PTW</x:v>
      </x:c>
      <x:c r="D40" s="1327" t="str">
        <x:v>H fuerte</x:v>
      </x:c>
      <x:c r="E40" s="1327" t="str">
        <x:v>Evita un Parte por cada coordenada</x:v>
      </x:c>
      <x:c r="F40" s="1327" t="str">
        <x:v>V53/V59</x:v>
      </x:c>
      <x:c r="G40" s="1277"/>
      <x:c r="H40" s="3657"/>
      <x:c r="I40" s="3657"/>
      <x:c r="J40" s="3657"/>
      <x:c r="K40" s="3657"/>
      <x:c r="L40" s="3657"/>
      <x:c r="M40" s="3657"/>
      <x:c r="N40" s="3657"/>
    </x:row>
    <x:row r="41" ht="50" customHeight="1">
      <x:c r="A41" s="1327" t="str">
        <x:v>Cambio recurso</x:v>
      </x:c>
      <x:c r="B41" s="1327" t="str">
        <x:v>NO por defecto</x:v>
      </x:c>
      <x:c r="C41" s="1327" t="str">
        <x:v>Evento + revalidación documental</x:v>
      </x:c>
      <x:c r="D41" s="1327" t="str">
        <x:v>✓/H</x:v>
      </x:c>
      <x:c r="E41" s="1327" t="str">
        <x:v>Recurso es medio, no identidad</x:v>
      </x:c>
      <x:c r="F41" s="1327" t="str">
        <x:v>—</x:v>
      </x:c>
      <x:c r="G41" s="1277"/>
      <x:c r="H41" s="3657"/>
      <x:c r="I41" s="3657"/>
      <x:c r="J41" s="3657"/>
      <x:c r="K41" s="3657"/>
      <x:c r="L41" s="3657"/>
      <x:c r="M41" s="3657"/>
      <x:c r="N41" s="3657"/>
    </x:row>
    <x:row r="42" ht="50" customHeight="1">
      <x:c r="A42" s="1327" t="str">
        <x:v>Recurso adicional</x:v>
      </x:c>
      <x:c r="B42" s="1327" t="str">
        <x:v>NO corta por sí solo</x:v>
      </x:c>
      <x:c r="C42" s="1327" t="str">
        <x:v>Si apoya la misma UE: agregar AsignacionRecursoEjecucion. Si ejecuta subtrabajo autónomo: nueva UE dentro del mismo TP-01. Nuevo TP-01 solo si cambia work package.</x:v>
      </x:c>
      <x:c r="D42" s="1327" t="str">
        <x:v>H fuerte</x:v>
      </x:c>
      <x:c r="E42" s="1327" t="str">
        <x:v>PTW distinto puede requerir gate separado, pero NO define automáticamente otro Parte</x:v>
      </x:c>
      <x:c r="F42" s="1327" t="str">
        <x:v>Q-03 resuelta arquitectura</x:v>
      </x:c>
      <x:c r="G42" s="1277"/>
      <x:c r="H42" s="3657"/>
      <x:c r="I42" s="3657"/>
      <x:c r="J42" s="3657"/>
      <x:c r="K42" s="3657"/>
      <x:c r="L42" s="3657"/>
      <x:c r="M42" s="3657"/>
      <x:c r="N42" s="3657"/>
    </x:row>
    <x:row r="43" ht="50" customHeight="1">
      <x:c r="A43" s="1327" t="str">
        <x:v>Cambio turno</x:v>
      </x:c>
      <x:c r="B43" s="1327" t="str">
        <x:v>DEFAULT: NO corta</x:v>
      </x:c>
      <x:c r="C43" s="1327" t="str">
        <x:v>EventoHandover + cerrar/abrir intervalos de AsignacionPersonaEjecucion + revalidar PTW/documental; ReglaCorte puede imponer split si un contexto validado lo exige</x:v>
      </x:c>
      <x:c r="D43" s="1327" t="str">
        <x:v>H fuerte / política VDS pendiente</x:v>
      </x:c>
      <x:c r="E43" s="1327" t="str">
        <x:v>Preserva identidad work package y trazabilidad temporal sin convertir turno en identidad universal</x:v>
      </x:c>
      <x:c r="F43" s="1327" t="str">
        <x:v>Q-01</x:v>
      </x:c>
      <x:c r="G43" s="1277"/>
      <x:c r="H43" s="3657"/>
      <x:c r="I43" s="3657"/>
      <x:c r="J43" s="3657"/>
      <x:c r="K43" s="3657"/>
      <x:c r="L43" s="3657"/>
      <x:c r="M43" s="3657"/>
      <x:c r="N43" s="3657"/>
    </x:row>
    <x:row r="44" ht="50" customHeight="1">
      <x:c r="A44" s="1327" t="str">
        <x:v>Permiso vence/se suspende</x:v>
      </x:c>
      <x:c r="B44" s="1327" t="str">
        <x:v>NO corta por sí solo</x:v>
      </x:c>
      <x:c r="C44" s="1327" t="str">
        <x:v>suspender ejecución; extender/nuevo PTW</x:v>
      </x:c>
      <x:c r="D44" s="1327" t="str">
        <x:v>H fuerte</x:v>
      </x:c>
      <x:c r="E44" s="1327" t="str">
        <x:v>PTW controla seguridad, no identidad del Parte</x:v>
      </x:c>
      <x:c r="F44" s="1327" t="str">
        <x:v>V56</x:v>
      </x:c>
      <x:c r="G44" s="1277"/>
      <x:c r="H44" s="3657"/>
      <x:c r="I44" s="3657"/>
      <x:c r="J44" s="3657"/>
      <x:c r="K44" s="3657"/>
      <x:c r="L44" s="3657"/>
      <x:c r="M44" s="3657"/>
      <x:c r="N44" s="3657"/>
    </x:row>
    <x:row r="45" ht="50" customHeight="1">
      <x:c r="A45" s="1327" t="str">
        <x:v>Incidente</x:v>
      </x:c>
      <x:c r="B45" s="1327" t="str">
        <x:v>NO corta automáticamente</x:v>
      </x:c>
      <x:c r="C45" s="1327" t="str">
        <x:v>suspender/registrar + TP-04/evento paralelo</x:v>
      </x:c>
      <x:c r="D45" s="1327" t="str">
        <x:v>H</x:v>
      </x:c>
      <x:c r="E45" s="1327" t="str">
        <x:v>Incidente es otra entidad</x:v>
      </x:c>
      <x:c r="F45" s="1327" t="str">
        <x:v>TP-04 pendiente</x:v>
      </x:c>
      <x:c r="G45" s="1277"/>
      <x:c r="H45" s="3657"/>
      <x:c r="I45" s="3657"/>
      <x:c r="J45" s="3657"/>
      <x:c r="K45" s="3657"/>
      <x:c r="L45" s="3657"/>
      <x:c r="M45" s="3657"/>
      <x:c r="N45" s="3657"/>
    </x:row>
    <x:row r="46">
      <x:c r="A46" s="1277"/>
      <x:c r="B46" s="1277"/>
      <x:c r="C46" s="1277"/>
      <x:c r="D46" s="1277"/>
      <x:c r="E46" s="1277"/>
      <x:c r="F46" s="1277"/>
      <x:c r="G46" s="1277"/>
      <x:c r="H46" s="1277"/>
      <x:c r="I46" s="1277"/>
      <x:c r="J46" s="1277"/>
      <x:c r="K46" s="1277"/>
      <x:c r="L46" s="1277"/>
      <x:c r="M46" s="1277"/>
      <x:c r="N46" s="1277"/>
    </x:row>
    <x:row r="47">
      <x:c r="A47" s="2089" t="str">
        <x:v>05 — PERMISO DE TRABAJO · GATE Habilita SEPARADO DEL PARTE</x:v>
      </x:c>
      <x:c r="B47" s="2089"/>
      <x:c r="C47" s="2089"/>
      <x:c r="D47" s="2089"/>
      <x:c r="E47" s="2089"/>
      <x:c r="F47" s="2089"/>
      <x:c r="G47" s="2089"/>
      <x:c r="H47" s="2089"/>
      <x:c r="I47" s="2089"/>
      <x:c r="J47" s="2089"/>
      <x:c r="K47" s="2089"/>
      <x:c r="L47" s="2089"/>
      <x:c r="M47" s="2089"/>
      <x:c r="N47" s="2089"/>
    </x:row>
    <x:row r="48">
      <x:c r="A48" s="1277"/>
      <x:c r="B48" s="1277"/>
      <x:c r="C48" s="1277"/>
      <x:c r="D48" s="1277"/>
      <x:c r="E48" s="1277"/>
      <x:c r="F48" s="1277"/>
      <x:c r="G48" s="1277"/>
      <x:c r="H48" s="1277"/>
      <x:c r="I48" s="1277"/>
      <x:c r="J48" s="1277"/>
      <x:c r="K48" s="1277"/>
      <x:c r="L48" s="1277"/>
      <x:c r="M48" s="1277"/>
      <x:c r="N48" s="1277"/>
    </x:row>
    <x:row r="49">
      <x:c r="A49" s="2034" t="str">
        <x:v>ALCANCE TP-01
tarea · ubicación/activo
personas/recursos</x:v>
      </x:c>
      <x:c r="B49" s="2035"/>
      <x:c r="C49" s="2036"/>
      <x:c r="D49" s="1277"/>
      <x:c r="E49" s="2054" t="str">
        <x:v>¿REQUIERE PTW?
regla servicio/tarea
+ cliente/sitio</x:v>
      </x:c>
      <x:c r="F49" s="2055"/>
      <x:c r="G49" s="2056"/>
      <x:c r="H49" s="1277"/>
      <x:c r="I49" s="2057" t="str">
        <x:v>PERMISO(S)
[0..N]
vigencia · controles
roles</x:v>
      </x:c>
      <x:c r="J49" s="2058"/>
      <x:c r="K49" s="2059"/>
      <x:c r="L49" s="1277"/>
      <x:c r="M49" s="2060" t="str">
        <x:v>START
WORK</x:v>
      </x:c>
      <x:c r="N49" s="2061"/>
    </x:row>
    <x:row r="50">
      <x:c r="A50" s="2040"/>
      <x:c r="B50" s="2041"/>
      <x:c r="C50" s="2042"/>
      <x:c r="D50" s="1277"/>
      <x:c r="E50" s="2062"/>
      <x:c r="F50" s="2063"/>
      <x:c r="G50" s="2064"/>
      <x:c r="H50" s="1277"/>
      <x:c r="I50" s="2065"/>
      <x:c r="J50" s="2066"/>
      <x:c r="K50" s="2067"/>
      <x:c r="L50" s="1277"/>
      <x:c r="M50" s="2068"/>
      <x:c r="N50" s="2069"/>
    </x:row>
    <x:row r="51">
      <x:c r="A51" s="2040"/>
      <x:c r="B51" s="2041"/>
      <x:c r="C51" s="2042"/>
      <x:c r="D51" s="1297" t="str">
        <x:v>→</x:v>
      </x:c>
      <x:c r="E51" s="2062"/>
      <x:c r="F51" s="2063"/>
      <x:c r="G51" s="2064"/>
      <x:c r="H51" s="1297" t="str">
        <x:v>→</x:v>
      </x:c>
      <x:c r="I51" s="2065"/>
      <x:c r="J51" s="2066"/>
      <x:c r="K51" s="2067"/>
      <x:c r="L51" s="1297" t="str">
        <x:v>→</x:v>
      </x:c>
      <x:c r="M51" s="2068"/>
      <x:c r="N51" s="2069"/>
    </x:row>
    <x:row r="52">
      <x:c r="A52" s="2040"/>
      <x:c r="B52" s="2041"/>
      <x:c r="C52" s="2042"/>
      <x:c r="D52" s="1277"/>
      <x:c r="E52" s="2062"/>
      <x:c r="F52" s="2063"/>
      <x:c r="G52" s="2064"/>
      <x:c r="H52" s="1277"/>
      <x:c r="I52" s="2065"/>
      <x:c r="J52" s="2066"/>
      <x:c r="K52" s="2067"/>
      <x:c r="L52" s="1277"/>
      <x:c r="M52" s="2068"/>
      <x:c r="N52" s="2069"/>
    </x:row>
    <x:row r="53">
      <x:c r="A53" s="2046"/>
      <x:c r="B53" s="2047"/>
      <x:c r="C53" s="2048"/>
      <x:c r="D53" s="1277"/>
      <x:c r="E53" s="2070"/>
      <x:c r="F53" s="2071"/>
      <x:c r="G53" s="2072"/>
      <x:c r="H53" s="1277"/>
      <x:c r="I53" s="2073"/>
      <x:c r="J53" s="2074"/>
      <x:c r="K53" s="2075"/>
      <x:c r="L53" s="1277"/>
      <x:c r="M53" s="2076"/>
      <x:c r="N53" s="2077"/>
    </x:row>
    <x:row r="54">
      <x:c r="A54" s="1277"/>
      <x:c r="B54" s="1277"/>
      <x:c r="C54" s="1277"/>
      <x:c r="D54" s="1277"/>
      <x:c r="E54" s="1277"/>
      <x:c r="F54" s="1277"/>
      <x:c r="G54" s="1277"/>
      <x:c r="H54" s="1277"/>
      <x:c r="I54" s="1277"/>
      <x:c r="J54" s="1277"/>
      <x:c r="K54" s="1277"/>
      <x:c r="L54" s="1277"/>
      <x:c r="M54" s="1277"/>
      <x:c r="N54" s="1277"/>
    </x:row>
    <x:row r="55">
      <x:c r="A55" s="2078" t="str">
        <x:v>La respuesta operativa ya establece que el Permiso debe estar aprobado antes de iniciar y cerrado por el supervisor. Benchmark de Habilita/EI/IOGP refuerza que PTW es un proceso formal de control del trabajo peligroso, con tarea, autorización, controles, ventana temporal y responsabilidades; no sustituye evaluación de riesgo ni se confunde con el registro comercial/operativo del trabajo.</x:v>
      </x:c>
      <x:c r="B55" s="2078"/>
      <x:c r="C55" s="2078"/>
      <x:c r="D55" s="2078"/>
      <x:c r="E55" s="2078"/>
      <x:c r="F55" s="2078"/>
      <x:c r="G55" s="2078"/>
      <x:c r="H55" s="2078"/>
      <x:c r="I55" s="2078"/>
      <x:c r="J55" s="2078"/>
      <x:c r="K55" s="2078"/>
      <x:c r="L55" s="2078"/>
      <x:c r="M55" s="2078"/>
      <x:c r="N55" s="2078"/>
    </x:row>
    <x:row r="56">
      <x:c r="A56" s="2078"/>
      <x:c r="B56" s="2078"/>
      <x:c r="C56" s="2078"/>
      <x:c r="D56" s="2078"/>
      <x:c r="E56" s="2078"/>
      <x:c r="F56" s="2078"/>
      <x:c r="G56" s="2078"/>
      <x:c r="H56" s="2078"/>
      <x:c r="I56" s="2078"/>
      <x:c r="J56" s="2078"/>
      <x:c r="K56" s="2078"/>
      <x:c r="L56" s="2078"/>
      <x:c r="M56" s="2078"/>
      <x:c r="N56" s="2078"/>
    </x:row>
    <x:row r="57">
      <x:c r="A57" s="2078"/>
      <x:c r="B57" s="2078"/>
      <x:c r="C57" s="2078"/>
      <x:c r="D57" s="2078"/>
      <x:c r="E57" s="2078"/>
      <x:c r="F57" s="2078"/>
      <x:c r="G57" s="2078"/>
      <x:c r="H57" s="2078"/>
      <x:c r="I57" s="2078"/>
      <x:c r="J57" s="2078"/>
      <x:c r="K57" s="2078"/>
      <x:c r="L57" s="2078"/>
      <x:c r="M57" s="2078"/>
      <x:c r="N57" s="2078"/>
    </x:row>
    <x:row r="58">
      <x:c r="A58" s="2078"/>
      <x:c r="B58" s="2078"/>
      <x:c r="C58" s="2078"/>
      <x:c r="D58" s="2078"/>
      <x:c r="E58" s="2078"/>
      <x:c r="F58" s="2078"/>
      <x:c r="G58" s="2078"/>
      <x:c r="H58" s="2078"/>
      <x:c r="I58" s="2078"/>
      <x:c r="J58" s="2078"/>
      <x:c r="K58" s="2078"/>
      <x:c r="L58" s="2078"/>
      <x:c r="M58" s="2078"/>
      <x:c r="N58" s="2078"/>
    </x:row>
    <x:row r="59">
      <x:c r="A59" s="1277"/>
      <x:c r="B59" s="1277"/>
      <x:c r="C59" s="1277"/>
      <x:c r="D59" s="1277"/>
      <x:c r="E59" s="1277"/>
      <x:c r="F59" s="1277"/>
      <x:c r="G59" s="1277"/>
      <x:c r="H59" s="1277"/>
      <x:c r="I59" s="1277"/>
      <x:c r="J59" s="1277"/>
      <x:c r="K59" s="1277"/>
      <x:c r="L59" s="1277"/>
      <x:c r="M59" s="1277"/>
      <x:c r="N59" s="1277"/>
    </x:row>
    <x:row r="60">
      <x:c r="A60" s="2053" t="str">
        <x:v>Evento PTW</x:v>
      </x:c>
      <x:c r="B60" s="2053" t="str">
        <x:v>Estado TP-01</x:v>
      </x:c>
      <x:c r="C60" s="2053" t="str">
        <x:v>Estado Permiso</x:v>
      </x:c>
      <x:c r="D60" s="2053" t="str">
        <x:v>Acción</x:v>
      </x:c>
      <x:c r="E60" s="2053" t="str">
        <x:v>¿Nuevo Parte?</x:v>
      </x:c>
      <x:c r="F60" s="2053" t="str">
        <x:v>Nota</x:v>
      </x:c>
      <x:c r="G60" s="1277"/>
      <x:c r="H60" s="1277"/>
      <x:c r="I60" s="1277"/>
      <x:c r="J60" s="1277"/>
      <x:c r="K60" s="1277"/>
      <x:c r="L60" s="1277"/>
      <x:c r="M60" s="1277"/>
      <x:c r="N60" s="1277"/>
    </x:row>
    <x:row r="61" ht="48" customHeight="1">
      <x:c r="A61" s="1327" t="str">
        <x:v>Permiso aprobado</x:v>
      </x:c>
      <x:c r="B61" s="1327" t="str">
        <x:v>ready/en curso</x:v>
      </x:c>
      <x:c r="C61" s="1327" t="str">
        <x:v>abierto</x:v>
      </x:c>
      <x:c r="D61" s="1327" t="str">
        <x:v>habilitar Start Work</x:v>
      </x:c>
      <x:c r="E61" s="1327" t="str">
        <x:v>No</x:v>
      </x:c>
      <x:c r="F61" s="1327" t="str">
        <x:v>secuencia demostrable</x:v>
      </x:c>
      <x:c r="G61" s="1277"/>
      <x:c r="H61" s="1277"/>
      <x:c r="I61" s="1277"/>
      <x:c r="J61" s="1277"/>
      <x:c r="K61" s="1277"/>
      <x:c r="L61" s="1277"/>
      <x:c r="M61" s="1277"/>
      <x:c r="N61" s="1277"/>
    </x:row>
    <x:row r="62" ht="48" customHeight="1">
      <x:c r="A62" s="1327" t="str">
        <x:v>Permiso suspendido</x:v>
      </x:c>
      <x:c r="B62" s="1327" t="str">
        <x:v>suspendido</x:v>
      </x:c>
      <x:c r="C62" s="1327" t="str">
        <x:v>suspendido/pausado</x:v>
      </x:c>
      <x:c r="D62" s="1327" t="str">
        <x:v>detener tarea de forma segura</x:v>
      </x:c>
      <x:c r="E62" s="1327" t="str">
        <x:v>No por defecto</x:v>
      </x:c>
      <x:c r="F62" s="1327" t="str">
        <x:v>registrar motivo</x:v>
      </x:c>
      <x:c r="G62" s="1277"/>
      <x:c r="H62" s="1277"/>
      <x:c r="I62" s="1277"/>
      <x:c r="J62" s="1277"/>
      <x:c r="K62" s="1277"/>
      <x:c r="L62" s="1277"/>
      <x:c r="M62" s="1277"/>
      <x:c r="N62" s="1277"/>
    </x:row>
    <x:row r="63" ht="48" customHeight="1">
      <x:c r="A63" s="1327" t="str">
        <x:v>Cambio turno</x:v>
      </x:c>
      <x:c r="B63" s="1327" t="str">
        <x:v>en curso/suspendido</x:v>
      </x:c>
      <x:c r="C63" s="1327" t="str">
        <x:v>handover/extensión/nuevo</x:v>
      </x:c>
      <x:c r="D63" s="1327" t="str">
        <x:v>revalidar responsable/condiciones</x:v>
      </x:c>
      <x:c r="E63" s="1327" t="str">
        <x:v>No universal</x:v>
      </x:c>
      <x:c r="F63" s="1327" t="str">
        <x:v>depende cliente/regla</x:v>
      </x:c>
      <x:c r="G63" s="1277"/>
      <x:c r="H63" s="1277"/>
      <x:c r="I63" s="1277"/>
      <x:c r="J63" s="1277"/>
      <x:c r="K63" s="1277"/>
      <x:c r="L63" s="1277"/>
      <x:c r="M63" s="1277"/>
      <x:c r="N63" s="1277"/>
    </x:row>
    <x:row r="64" ht="48" customHeight="1">
      <x:c r="A64" s="1327" t="str">
        <x:v>Permiso expira</x:v>
      </x:c>
      <x:c r="B64" s="1327" t="str">
        <x:v>suspendido</x:v>
      </x:c>
      <x:c r="C64" s="1327" t="str">
        <x:v>vencido</x:v>
      </x:c>
      <x:c r="D64" s="1327" t="str">
        <x:v>no continuar hasta nueva autorización</x:v>
      </x:c>
      <x:c r="E64" s="1327" t="str">
        <x:v>No por sí solo</x:v>
      </x:c>
      <x:c r="F64" s="1327" t="str">
        <x:v>V56</x:v>
      </x:c>
      <x:c r="G64" s="1277"/>
      <x:c r="H64" s="1277"/>
      <x:c r="I64" s="1277"/>
      <x:c r="J64" s="1277"/>
      <x:c r="K64" s="1277"/>
      <x:c r="L64" s="1277"/>
      <x:c r="M64" s="1277"/>
      <x:c r="N64" s="1277"/>
    </x:row>
    <x:row r="65" ht="48" customHeight="1">
      <x:c r="A65" s="1327" t="str">
        <x:v>Permiso cerrado</x:v>
      </x:c>
      <x:c r="B65" s="1327" t="str">
        <x:v>cierre pendiente/cerrado</x:v>
      </x:c>
      <x:c r="C65" s="1327" t="str">
        <x:v>cerrado</x:v>
      </x:c>
      <x:c r="D65" s="1327" t="str">
        <x:v>habilita cierre Habilita</x:v>
      </x:c>
      <x:c r="E65" s="1327" t="str">
        <x:v>No</x:v>
      </x:c>
      <x:c r="F65" s="1327" t="str">
        <x:v>no equivale a aceptación comercial</x:v>
      </x:c>
      <x:c r="G65" s="1277"/>
      <x:c r="H65" s="1277"/>
      <x:c r="I65" s="1277"/>
      <x:c r="J65" s="1277"/>
      <x:c r="K65" s="1277"/>
      <x:c r="L65" s="1277"/>
      <x:c r="M65" s="1277"/>
      <x:c r="N65" s="1277"/>
    </x:row>
    <x:row r="66">
      <x:c r="A66" s="2234" t="str">
        <x:v>PATCH v0.9 · PTW COLGADO: un timeout jamás cierra silenciosamente el permiso. El sistema alerta y escala; si el trabajo fue abandonado y no puede cerrarse por el flujo normal, un rol Habilita/Supervisión autorizado registra EventoCierreAdministrativoPTW con causa, actor y evidencia.</x:v>
      </x:c>
      <x:c r="B66" s="2234"/>
      <x:c r="C66" s="2234"/>
      <x:c r="D66" s="2234"/>
      <x:c r="E66" s="2234"/>
      <x:c r="F66" s="2234"/>
      <x:c r="G66" s="2234"/>
      <x:c r="H66" s="2234"/>
      <x:c r="I66" s="2234"/>
      <x:c r="J66" s="2234"/>
      <x:c r="K66" s="2234"/>
      <x:c r="L66" s="2234"/>
      <x:c r="M66" s="2234"/>
      <x:c r="N66" s="2234"/>
    </x:row>
    <x:row r="67">
      <x:c r="A67" s="2089" t="str">
        <x:v>06 — ESTADOS TP-01 · INCLUIR SUSPENSIÓN SIN CONVERTIRLA EN UN NUEVO PARTE</x:v>
      </x:c>
      <x:c r="B67" s="2089"/>
      <x:c r="C67" s="2089"/>
      <x:c r="D67" s="2089"/>
      <x:c r="E67" s="2089"/>
      <x:c r="F67" s="2089"/>
      <x:c r="G67" s="2089"/>
      <x:c r="H67" s="2089"/>
      <x:c r="I67" s="2089"/>
      <x:c r="J67" s="2089"/>
      <x:c r="K67" s="2089"/>
      <x:c r="L67" s="2089"/>
      <x:c r="M67" s="2089"/>
      <x:c r="N67" s="2089"/>
    </x:row>
    <x:row r="68">
      <x:c r="A68" s="1277"/>
      <x:c r="B68" s="1277"/>
      <x:c r="C68" s="1277"/>
      <x:c r="D68" s="1277"/>
      <x:c r="E68" s="1277"/>
      <x:c r="F68" s="1277"/>
      <x:c r="G68" s="1277"/>
      <x:c r="H68" s="1277"/>
      <x:c r="I68" s="1277"/>
      <x:c r="J68" s="1277"/>
      <x:c r="K68" s="1277"/>
      <x:c r="L68" s="1277"/>
      <x:c r="M68" s="1277"/>
      <x:c r="N68" s="1277"/>
    </x:row>
    <x:row r="69">
      <x:c r="A69" s="2034" t="str">
        <x:v>ASIGNADO</x:v>
      </x:c>
      <x:c r="B69" s="2036"/>
      <x:c r="C69" s="1277"/>
      <x:c r="D69" s="2034" t="str">
        <x:v>READY</x:v>
      </x:c>
      <x:c r="E69" s="2036"/>
      <x:c r="F69" s="1277"/>
      <x:c r="G69" s="2034" t="str">
        <x:v>EN
CURSO</x:v>
      </x:c>
      <x:c r="H69" s="2036"/>
      <x:c r="I69" s="1277"/>
      <x:c r="J69" s="2034" t="str">
        <x:v>SUSPENDIDO</x:v>
      </x:c>
      <x:c r="K69" s="2036"/>
      <x:c r="L69" s="1277"/>
      <x:c r="M69" s="2034" t="str">
        <x:v>CIERRE
PENDIENTE</x:v>
      </x:c>
      <x:c r="N69" s="2036"/>
    </x:row>
    <x:row r="70">
      <x:c r="A70" s="2040"/>
      <x:c r="B70" s="2042"/>
      <x:c r="C70" s="1297" t="str">
        <x:v>→</x:v>
      </x:c>
      <x:c r="D70" s="2040"/>
      <x:c r="E70" s="2042"/>
      <x:c r="F70" s="1297" t="str">
        <x:v>→</x:v>
      </x:c>
      <x:c r="G70" s="2040"/>
      <x:c r="H70" s="2042"/>
      <x:c r="I70" s="1297" t="str">
        <x:v>→</x:v>
      </x:c>
      <x:c r="J70" s="2040"/>
      <x:c r="K70" s="2042"/>
      <x:c r="L70" s="1297" t="str">
        <x:v>→</x:v>
      </x:c>
      <x:c r="M70" s="2040"/>
      <x:c r="N70" s="2042"/>
    </x:row>
    <x:row r="71">
      <x:c r="A71" s="2040"/>
      <x:c r="B71" s="2042"/>
      <x:c r="C71" s="1277"/>
      <x:c r="D71" s="2040"/>
      <x:c r="E71" s="2042"/>
      <x:c r="F71" s="1277"/>
      <x:c r="G71" s="2040"/>
      <x:c r="H71" s="2042"/>
      <x:c r="I71" s="1277"/>
      <x:c r="J71" s="2040"/>
      <x:c r="K71" s="2042"/>
      <x:c r="L71" s="1277"/>
      <x:c r="M71" s="2040"/>
      <x:c r="N71" s="2042"/>
    </x:row>
    <x:row r="72">
      <x:c r="A72" s="2046"/>
      <x:c r="B72" s="2048"/>
      <x:c r="C72" s="1277"/>
      <x:c r="D72" s="2046"/>
      <x:c r="E72" s="2048"/>
      <x:c r="F72" s="1277"/>
      <x:c r="G72" s="2046"/>
      <x:c r="H72" s="2048"/>
      <x:c r="I72" s="1277"/>
      <x:c r="J72" s="2046"/>
      <x:c r="K72" s="2048"/>
      <x:c r="L72" s="1277"/>
      <x:c r="M72" s="2046"/>
      <x:c r="N72" s="2048"/>
    </x:row>
    <x:row r="73">
      <x:c r="A73" s="1277"/>
      <x:c r="B73" s="1277"/>
      <x:c r="C73" s="1277"/>
      <x:c r="D73" s="1277"/>
      <x:c r="E73" s="1277"/>
      <x:c r="F73" s="1277"/>
      <x:c r="G73" s="1277"/>
      <x:c r="H73" s="1277"/>
      <x:c r="I73" s="1277"/>
      <x:c r="J73" s="1277"/>
      <x:c r="K73" s="1277"/>
      <x:c r="L73" s="1277"/>
      <x:c r="M73" s="1277"/>
      <x:c r="N73" s="1277"/>
    </x:row>
    <x:row r="74">
      <x:c r="A74" s="1277"/>
      <x:c r="B74" s="1277"/>
      <x:c r="C74" s="1277"/>
      <x:c r="D74" s="1277"/>
      <x:c r="E74" s="1277"/>
      <x:c r="F74" s="1277"/>
      <x:c r="G74" s="1277"/>
      <x:c r="H74" s="1277"/>
      <x:c r="I74" s="1277"/>
      <x:c r="J74" s="1277"/>
      <x:c r="K74" s="1277"/>
      <x:c r="L74" s="1277"/>
      <x:c r="M74" s="1277"/>
      <x:c r="N74" s="1277"/>
    </x:row>
    <x:row r="75">
      <x:c r="A75" s="1277"/>
      <x:c r="B75" s="1277"/>
      <x:c r="C75" s="1277"/>
      <x:c r="D75" s="1277"/>
      <x:c r="E75" s="1277"/>
      <x:c r="F75" s="2079" t="str">
        <x:v>CERRADO
OPERATIVAMENTE</x:v>
      </x:c>
      <x:c r="G75" s="2080"/>
      <x:c r="H75" s="2080"/>
      <x:c r="I75" s="2081"/>
      <x:c r="J75" s="1277"/>
      <x:c r="K75" s="1277"/>
      <x:c r="L75" s="1277"/>
      <x:c r="M75" s="1277"/>
      <x:c r="N75" s="1277"/>
    </x:row>
    <x:row r="76">
      <x:c r="A76" s="1277"/>
      <x:c r="B76" s="1277"/>
      <x:c r="C76" s="1277"/>
      <x:c r="D76" s="1277"/>
      <x:c r="E76" s="1277"/>
      <x:c r="F76" s="2082"/>
      <x:c r="G76" s="2083"/>
      <x:c r="H76" s="2083"/>
      <x:c r="I76" s="2084"/>
      <x:c r="J76" s="1277"/>
      <x:c r="K76" s="1277"/>
      <x:c r="L76" s="1277"/>
      <x:c r="M76" s="1277"/>
      <x:c r="N76" s="1277"/>
    </x:row>
    <x:row r="77">
      <x:c r="A77" s="1277"/>
      <x:c r="B77" s="1277"/>
      <x:c r="C77" s="1277"/>
      <x:c r="D77" s="1277"/>
      <x:c r="E77" s="1277"/>
      <x:c r="F77" s="2082"/>
      <x:c r="G77" s="2083"/>
      <x:c r="H77" s="2083"/>
      <x:c r="I77" s="2084"/>
      <x:c r="J77" s="1277"/>
      <x:c r="K77" s="1277"/>
      <x:c r="L77" s="1277"/>
      <x:c r="M77" s="1277"/>
      <x:c r="N77" s="1277"/>
    </x:row>
    <x:row r="78">
      <x:c r="A78" s="1277"/>
      <x:c r="B78" s="1277"/>
      <x:c r="C78" s="1277"/>
      <x:c r="D78" s="1277"/>
      <x:c r="E78" s="1277"/>
      <x:c r="F78" s="2085"/>
      <x:c r="G78" s="2086"/>
      <x:c r="H78" s="2086"/>
      <x:c r="I78" s="2087"/>
      <x:c r="J78" s="1277"/>
      <x:c r="K78" s="1277"/>
      <x:c r="L78" s="1277"/>
      <x:c r="M78" s="1277"/>
      <x:c r="N78" s="1277"/>
    </x:row>
    <x:row r="79">
      <x:c r="A79" s="1277"/>
      <x:c r="B79" s="1277"/>
      <x:c r="C79" s="1277"/>
      <x:c r="D79" s="1277"/>
      <x:c r="E79" s="1277"/>
      <x:c r="F79" s="1277"/>
      <x:c r="G79" s="1277"/>
      <x:c r="H79" s="1277"/>
      <x:c r="I79" s="1277"/>
      <x:c r="J79" s="1277"/>
      <x:c r="K79" s="1277"/>
      <x:c r="L79" s="1277"/>
      <x:c r="M79" s="1277"/>
      <x:c r="N79" s="1277"/>
    </x:row>
    <x:row r="80">
      <x:c r="A80" s="2052" t="str">
        <x:v>Ramas terminales: NO_REALIZADO / CANCELADO según causa. 'Suspendido' no es terminal: puede volver a EN_CURSO tras revalidación. Cambio de turno se modela como handover temporal y NO como corte universal; si Operaciones/ContratoServicio exige split, ReglaCorte lo aplica. Conformidad del cliente y Certificación permanecen downstream.</x:v>
      </x:c>
      <x:c r="B80" s="2052"/>
      <x:c r="C80" s="2052"/>
      <x:c r="D80" s="2052"/>
      <x:c r="E80" s="2052"/>
      <x:c r="F80" s="2052"/>
      <x:c r="G80" s="2052"/>
      <x:c r="H80" s="2052"/>
      <x:c r="I80" s="2052"/>
      <x:c r="J80" s="2052"/>
      <x:c r="K80" s="2052"/>
      <x:c r="L80" s="2052"/>
      <x:c r="M80" s="2052"/>
      <x:c r="N80" s="2052"/>
    </x:row>
    <x:row r="81">
      <x:c r="A81" s="2052"/>
      <x:c r="B81" s="2052"/>
      <x:c r="C81" s="2052"/>
      <x:c r="D81" s="2052"/>
      <x:c r="E81" s="2052"/>
      <x:c r="F81" s="2052"/>
      <x:c r="G81" s="2052"/>
      <x:c r="H81" s="2052"/>
      <x:c r="I81" s="2052"/>
      <x:c r="J81" s="2052"/>
      <x:c r="K81" s="2052"/>
      <x:c r="L81" s="2052"/>
      <x:c r="M81" s="2052"/>
      <x:c r="N81" s="2052"/>
    </x:row>
    <x:row r="82">
      <x:c r="A82" s="2052"/>
      <x:c r="B82" s="2052"/>
      <x:c r="C82" s="2052"/>
      <x:c r="D82" s="2052"/>
      <x:c r="E82" s="2052"/>
      <x:c r="F82" s="2052"/>
      <x:c r="G82" s="2052"/>
      <x:c r="H82" s="2052"/>
      <x:c r="I82" s="2052"/>
      <x:c r="J82" s="2052"/>
      <x:c r="K82" s="2052"/>
      <x:c r="L82" s="2052"/>
      <x:c r="M82" s="2052"/>
      <x:c r="N82" s="2052"/>
    </x:row>
    <x:row r="83">
      <x:c r="A83" s="1277"/>
      <x:c r="B83" s="1277"/>
      <x:c r="C83" s="1277"/>
      <x:c r="D83" s="1277"/>
      <x:c r="E83" s="1277"/>
      <x:c r="F83" s="1277"/>
      <x:c r="G83" s="1277"/>
      <x:c r="H83" s="1277"/>
      <x:c r="I83" s="1277"/>
      <x:c r="J83" s="1277"/>
      <x:c r="K83" s="1277"/>
      <x:c r="L83" s="1277"/>
      <x:c r="M83" s="1277"/>
      <x:c r="N83" s="1277"/>
    </x:row>
    <x:row r="84">
      <x:c r="A84" s="2089" t="str">
        <x:v>07 — T2 / T6 → MODELO CANÓNICO · QUÉ SOBREVIVE DEL PAPEL</x:v>
      </x:c>
      <x:c r="B84" s="2089"/>
      <x:c r="C84" s="2089"/>
      <x:c r="D84" s="2089"/>
      <x:c r="E84" s="2089"/>
      <x:c r="F84" s="2089"/>
      <x:c r="G84" s="2089"/>
      <x:c r="H84" s="2089"/>
      <x:c r="I84" s="2089"/>
      <x:c r="J84" s="2089"/>
      <x:c r="K84" s="2089"/>
      <x:c r="L84" s="2089"/>
      <x:c r="M84" s="2089"/>
      <x:c r="N84" s="2089"/>
    </x:row>
    <x:row r="85">
      <x:c r="A85" s="2053" t="str">
        <x:v>Campo histórico</x:v>
      </x:c>
      <x:c r="B85" s="2053" t="str">
        <x:v>Destino canónico</x:v>
      </x:c>
      <x:c r="C85" s="2053" t="str">
        <x:v>Nivel</x:v>
      </x:c>
      <x:c r="D85" s="2053" t="str">
        <x:v>Tratamiento</x:v>
      </x:c>
      <x:c r="E85" s="2053" t="str">
        <x:v>Input futuro</x:v>
      </x:c>
      <x:c r="F85" s="2053" t="str">
        <x:v>Nota</x:v>
      </x:c>
      <x:c r="G85" s="1277"/>
      <x:c r="H85" s="1277"/>
      <x:c r="I85" s="1277"/>
      <x:c r="J85" s="1277"/>
      <x:c r="K85" s="1277"/>
      <x:c r="L85" s="1277"/>
      <x:c r="M85" s="1277"/>
      <x:c r="N85" s="1277"/>
    </x:row>
    <x:row r="86" ht="50" customHeight="1">
      <x:c r="A86" s="1327" t="str">
        <x:v>Trabajo Solicitado</x:v>
      </x:c>
      <x:c r="B86" s="1327" t="str">
        <x:v>UnidadPlanificada / alcance_intervencion_id</x:v>
      </x:c>
      <x:c r="C86" s="1327" t="str">
        <x:v>Intervención</x:v>
      </x:c>
      <x:c r="D86" s="1327" t="str">
        <x:v>Estructurar servicio/tarea + texto excepcional</x:v>
      </x:c>
      <x:c r="E86" s="1327" t="str">
        <x:v>Precargado/confirmable</x:v>
      </x:c>
      <x:c r="F86" s="1327" t="str">
        <x:v>No usar descripción libre como identidad única</x:v>
      </x:c>
      <x:c r="G86" s="1277"/>
      <x:c r="H86" s="1277"/>
      <x:c r="I86" s="1277"/>
      <x:c r="J86" s="1277"/>
      <x:c r="K86" s="1277"/>
      <x:c r="L86" s="1277"/>
      <x:c r="M86" s="1277"/>
      <x:c r="N86" s="1277"/>
    </x:row>
    <x:row r="87" ht="50" customHeight="1">
      <x:c r="A87" s="1327" t="str">
        <x:v>Orden de Trabajo (OT N°)</x:v>
      </x:c>
      <x:c r="B87" s="1327" t="str">
        <x:v>referencia_orden_trabajo_externa</x:v>
      </x:c>
      <x:c r="C87" s="1327" t="str">
        <x:v>Intervención</x:v>
      </x:c>
      <x:c r="D87" s="1327" t="str">
        <x:v>Referencia condicional</x:v>
      </x:c>
      <x:c r="E87" s="1327" t="str">
        <x:v>No normalmente</x:v>
      </x:c>
      <x:c r="F87" s="1327" t="str">
        <x:v>No PK del Parte</x:v>
      </x:c>
      <x:c r="G87" s="1277"/>
      <x:c r="H87" s="1277"/>
      <x:c r="I87" s="1277"/>
      <x:c r="J87" s="1277"/>
      <x:c r="K87" s="1277"/>
      <x:c r="L87" s="1277"/>
      <x:c r="M87" s="1277"/>
      <x:c r="N87" s="1277"/>
    </x:row>
    <x:row r="88" ht="50" customHeight="1">
      <x:c r="A88" s="1327" t="str">
        <x:v>Personal / internos</x:v>
      </x:c>
      <x:c r="B88" s="1327" t="str">
        <x:v>Persona + AsignacionPersonaEjecucion + rol + intervalo</x:v>
      </x:c>
      <x:c r="C88" s="1327" t="str">
        <x:v>Parte/Unidad/intervalo</x:v>
      </x:c>
      <x:c r="D88" s="1327" t="str">
        <x:v>Derivar de plan/login; handover cierra/abre intervalos</x:v>
      </x:c>
      <x:c r="E88" s="1327" t="str">
        <x:v>Solo excepción/handover</x:v>
      </x:c>
      <x:c r="F88" s="1327" t="str">
        <x:v>permite saber quién hizo qué sin microcarga manual</x:v>
      </x:c>
      <x:c r="G88" s="1277"/>
      <x:c r="H88" s="1277"/>
      <x:c r="I88" s="1277"/>
      <x:c r="J88" s="1277"/>
      <x:c r="K88" s="1277"/>
      <x:c r="L88" s="1277"/>
      <x:c r="M88" s="1277"/>
      <x:c r="N88" s="1277"/>
    </x:row>
    <x:row r="89" ht="50" customHeight="1">
      <x:c r="A89" s="1327" t="str">
        <x:v>Equipo/equipamiento</x:v>
      </x:c>
      <x:c r="B89" s="1327" t="str">
        <x:v>Recurso / ActivoCliente según semántica</x:v>
      </x:c>
      <x:c r="C89" s="1327" t="str">
        <x:v>Intervención</x:v>
      </x:c>
      <x:c r="D89" s="1327" t="str">
        <x:v>Normalizar</x:v>
      </x:c>
      <x:c r="E89" s="1327" t="str">
        <x:v>Confirmación/cambio</x:v>
      </x:c>
      <x:c r="F89" s="1327" t="str">
        <x:v>validar por servicio</x:v>
      </x:c>
      <x:c r="G89" s="1277"/>
      <x:c r="H89" s="1277"/>
      <x:c r="I89" s="1277"/>
      <x:c r="J89" s="1277"/>
      <x:c r="K89" s="1277"/>
      <x:c r="L89" s="1277"/>
      <x:c r="M89" s="1277"/>
      <x:c r="N89" s="1277"/>
    </x:row>
    <x:row r="90" ht="50" customHeight="1">
      <x:c r="A90" s="1327" t="str">
        <x:v>Hora inicio/fin</x:v>
      </x:c>
      <x:c r="B90" s="1327" t="str">
        <x:v>inicio_ejecucion_at / fin_ejecucion_at</x:v>
      </x:c>
      <x:c r="C90" s="1327" t="str">
        <x:v>Intervención</x:v>
      </x:c>
      <x:c r="D90" s="1327" t="str">
        <x:v>timestamps por acción</x:v>
      </x:c>
      <x:c r="E90" s="1327" t="str">
        <x:v>mínimo</x:v>
      </x:c>
      <x:c r="F90" s="1327" t="str">
        <x:v>duración calculada</x:v>
      </x:c>
      <x:c r="G90" s="1277"/>
      <x:c r="H90" s="1277"/>
      <x:c r="I90" s="1277"/>
      <x:c r="J90" s="1277"/>
      <x:c r="K90" s="1277"/>
      <x:c r="L90" s="1277"/>
      <x:c r="M90" s="1277"/>
      <x:c r="N90" s="1277"/>
    </x:row>
    <x:row r="91" ht="50" customHeight="1">
      <x:c r="A91" s="1327" t="str">
        <x:v>Ejecutó</x:v>
      </x:c>
      <x:c r="B91" s="1327" t="str">
        <x:v>Evidencia + actor + rol ejecutante</x:v>
      </x:c>
      <x:c r="C91" s="1327" t="str">
        <x:v>Intervención</x:v>
      </x:c>
      <x:c r="D91" s="1327" t="str">
        <x:v>Evento/firma según regla</x:v>
      </x:c>
      <x:c r="E91" s="1327" t="str">
        <x:v>automático/firma cond.</x:v>
      </x:c>
      <x:c r="F91" s="1327" t="str">
        <x:v>no campo compuesto</x:v>
      </x:c>
      <x:c r="G91" s="1277"/>
      <x:c r="H91" s="1277"/>
      <x:c r="I91" s="1277"/>
      <x:c r="J91" s="1277"/>
      <x:c r="K91" s="1277"/>
      <x:c r="L91" s="1277"/>
      <x:c r="M91" s="1277"/>
      <x:c r="N91" s="1277"/>
    </x:row>
    <x:row r="92" ht="50" customHeight="1">
      <x:c r="A92" s="1327" t="str">
        <x:v>Firma solicitante</x:v>
      </x:c>
      <x:c r="B92" s="1327" t="str">
        <x:v>Evidencia/Conformidad + actor/rol</x:v>
      </x:c>
      <x:c r="C92" s="1327" t="str">
        <x:v>Intervención/comercial</x:v>
      </x:c>
      <x:c r="D92" s="1327" t="str">
        <x:v>scope configurable</x:v>
      </x:c>
      <x:c r="E92" s="1327" t="str">
        <x:v>firma cond.</x:v>
      </x:c>
      <x:c r="F92" s="1327" t="str">
        <x:v>puede ocurrir después del cierre</x:v>
      </x:c>
      <x:c r="G92" s="1277"/>
      <x:c r="H92" s="1277"/>
      <x:c r="I92" s="1277"/>
      <x:c r="J92" s="1277"/>
      <x:c r="K92" s="1277"/>
      <x:c r="L92" s="1277"/>
      <x:c r="M92" s="1277"/>
      <x:c r="N92" s="1277"/>
    </x:row>
    <x:row r="93" ht="50" customHeight="1">
      <x:c r="A93" s="1327" t="str">
        <x:v>Observaciones</x:v>
      </x:c>
      <x:c r="B93" s="1327" t="str">
        <x:v>observacion_excepcion</x:v>
      </x:c>
      <x:c r="C93" s="1327" t="str">
        <x:v>Intervención</x:v>
      </x:c>
      <x:c r="D93" s="1327" t="str">
        <x:v>Solo excepción</x:v>
      </x:c>
      <x:c r="E93" s="1327" t="str">
        <x:v>Condicional</x:v>
      </x:c>
      <x:c r="F93" s="1327" t="str">
        <x:v>estructurar recurrencias</x:v>
      </x:c>
      <x:c r="G93" s="1277"/>
      <x:c r="H93" s="1277"/>
      <x:c r="I93" s="1277"/>
      <x:c r="J93" s="1277"/>
      <x:c r="K93" s="1277"/>
      <x:c r="L93" s="1277"/>
      <x:c r="M93" s="1277"/>
      <x:c r="N93" s="1277"/>
    </x:row>
    <x:row r="94">
      <x:c r="A94" s="1277"/>
      <x:c r="B94" s="1277"/>
      <x:c r="C94" s="1277"/>
      <x:c r="D94" s="1277"/>
      <x:c r="E94" s="1277"/>
      <x:c r="F94" s="1277"/>
      <x:c r="G94" s="1277"/>
      <x:c r="H94" s="1277"/>
      <x:c r="I94" s="1277"/>
      <x:c r="J94" s="1277"/>
      <x:c r="K94" s="1277"/>
      <x:c r="L94" s="1277"/>
      <x:c r="M94" s="1277"/>
      <x:c r="N94" s="1277"/>
    </x:row>
    <x:row r="95">
      <x:c r="A95" s="2089" t="str">
        <x:v>08 — INTERFACE A / INTERFACE B · TP-01 ENTRE PLANIFICACIÓN Y CERTIFICACIÓN</x:v>
      </x:c>
      <x:c r="B95" s="2089"/>
      <x:c r="C95" s="2089"/>
      <x:c r="D95" s="2089"/>
      <x:c r="E95" s="2089"/>
      <x:c r="F95" s="2089"/>
      <x:c r="G95" s="2089"/>
      <x:c r="H95" s="2089"/>
      <x:c r="I95" s="2089"/>
      <x:c r="J95" s="2089"/>
      <x:c r="K95" s="2089"/>
      <x:c r="L95" s="2089"/>
      <x:c r="M95" s="2089"/>
      <x:c r="N95" s="2089"/>
    </x:row>
    <x:row r="96">
      <x:c r="A96" s="1277"/>
      <x:c r="B96" s="1277"/>
      <x:c r="C96" s="1277"/>
      <x:c r="D96" s="1277"/>
      <x:c r="E96" s="1277"/>
      <x:c r="F96" s="1277"/>
      <x:c r="G96" s="1277"/>
      <x:c r="H96" s="1277"/>
      <x:c r="I96" s="1277"/>
      <x:c r="J96" s="1277"/>
      <x:c r="K96" s="1277"/>
      <x:c r="L96" s="1277"/>
      <x:c r="M96" s="1277"/>
      <x:c r="N96" s="1277"/>
    </x:row>
    <x:row r="97">
      <x:c r="A97" s="2032" t="str">
        <x:v>DESDE PLANIFICACIÓN
UnidadPlanificada + alcance/intervención + servicio + ubicación/activo + ventana + prioridad + recursos/competencias previstas + ContratoServicio/CC/Item si resuelto + PTW esperado + OT externa si existe.</x:v>
      </x:c>
      <x:c r="B97" s="2032"/>
      <x:c r="C97" s="2032"/>
      <x:c r="D97" s="2032"/>
      <x:c r="E97" s="2032"/>
      <x:c r="F97" s="2032"/>
      <x:c r="G97" s="1277"/>
      <x:c r="H97" s="2032" t="str">
        <x:v>HACIA CERTIFICACIÓN
UnidadEjecución cerrada + ubicación/activo real + recursos/personas reales + timestamps + medición base + Item/CC + evidencia + conformidad cuando aplique + eventos/desvíos + referencia OT. El PTW aporta trazabilidad de seguridad, pero no es por sí mismo la unidad comercial.</x:v>
      </x:c>
      <x:c r="I97" s="2032"/>
      <x:c r="J97" s="2032"/>
      <x:c r="K97" s="2032"/>
      <x:c r="L97" s="2032"/>
      <x:c r="M97" s="2032"/>
      <x:c r="N97" s="2032"/>
    </x:row>
    <x:row r="98">
      <x:c r="A98" s="2032"/>
      <x:c r="B98" s="2032"/>
      <x:c r="C98" s="2032"/>
      <x:c r="D98" s="2032"/>
      <x:c r="E98" s="2032"/>
      <x:c r="F98" s="2032"/>
      <x:c r="G98" s="1277"/>
      <x:c r="H98" s="2032"/>
      <x:c r="I98" s="2032"/>
      <x:c r="J98" s="2032"/>
      <x:c r="K98" s="2032"/>
      <x:c r="L98" s="2032"/>
      <x:c r="M98" s="2032"/>
      <x:c r="N98" s="2032"/>
    </x:row>
    <x:row r="99">
      <x:c r="A99" s="2032"/>
      <x:c r="B99" s="2032"/>
      <x:c r="C99" s="2032"/>
      <x:c r="D99" s="2032"/>
      <x:c r="E99" s="2032"/>
      <x:c r="F99" s="2032"/>
      <x:c r="G99" s="1277"/>
      <x:c r="H99" s="2032"/>
      <x:c r="I99" s="2032"/>
      <x:c r="J99" s="2032"/>
      <x:c r="K99" s="2032"/>
      <x:c r="L99" s="2032"/>
      <x:c r="M99" s="2032"/>
      <x:c r="N99" s="2032"/>
    </x:row>
    <x:row r="100">
      <x:c r="A100" s="2032"/>
      <x:c r="B100" s="2032"/>
      <x:c r="C100" s="2032"/>
      <x:c r="D100" s="2032"/>
      <x:c r="E100" s="2032"/>
      <x:c r="F100" s="2032"/>
      <x:c r="G100" s="1277"/>
      <x:c r="H100" s="2032"/>
      <x:c r="I100" s="2032"/>
      <x:c r="J100" s="2032"/>
      <x:c r="K100" s="2032"/>
      <x:c r="L100" s="2032"/>
      <x:c r="M100" s="2032"/>
      <x:c r="N100" s="2032"/>
    </x:row>
    <x:row r="101">
      <x:c r="A101" s="2032"/>
      <x:c r="B101" s="2032"/>
      <x:c r="C101" s="2032"/>
      <x:c r="D101" s="2032"/>
      <x:c r="E101" s="2032"/>
      <x:c r="F101" s="2032"/>
      <x:c r="G101" s="1277"/>
      <x:c r="H101" s="2032"/>
      <x:c r="I101" s="2032"/>
      <x:c r="J101" s="2032"/>
      <x:c r="K101" s="2032"/>
      <x:c r="L101" s="2032"/>
      <x:c r="M101" s="2032"/>
      <x:c r="N101" s="2032"/>
    </x:row>
    <x:row r="102">
      <x:c r="A102" s="2032"/>
      <x:c r="B102" s="2032"/>
      <x:c r="C102" s="2032"/>
      <x:c r="D102" s="2032"/>
      <x:c r="E102" s="2032"/>
      <x:c r="F102" s="2032"/>
      <x:c r="G102" s="1277"/>
      <x:c r="H102" s="2032"/>
      <x:c r="I102" s="2032"/>
      <x:c r="J102" s="2032"/>
      <x:c r="K102" s="2032"/>
      <x:c r="L102" s="2032"/>
      <x:c r="M102" s="2032"/>
      <x:c r="N102" s="2032"/>
    </x:row>
    <x:row r="103">
      <x:c r="A103" s="1277"/>
      <x:c r="B103" s="1277"/>
      <x:c r="C103" s="1277"/>
      <x:c r="D103" s="1277"/>
      <x:c r="E103" s="1277"/>
      <x:c r="F103" s="1277"/>
      <x:c r="G103" s="1277"/>
      <x:c r="H103" s="1277"/>
      <x:c r="I103" s="1277"/>
      <x:c r="J103" s="1277"/>
      <x:c r="K103" s="1277"/>
      <x:c r="L103" s="1277"/>
      <x:c r="M103" s="1277"/>
      <x:c r="N103" s="1277"/>
    </x:row>
    <x:row r="104">
      <x:c r="A104" s="2089" t="str">
        <x:v>09 — BENCHMARK Habilita / OIL &amp; GAS · QUÉ CONFIRMA Y QUÉ NO IMPONE</x:v>
      </x:c>
      <x:c r="B104" s="2089"/>
      <x:c r="C104" s="2089"/>
      <x:c r="D104" s="2089"/>
      <x:c r="E104" s="2089"/>
      <x:c r="F104" s="2089"/>
      <x:c r="G104" s="2089"/>
      <x:c r="H104" s="2089"/>
      <x:c r="I104" s="2089"/>
      <x:c r="J104" s="2089"/>
      <x:c r="K104" s="2089"/>
      <x:c r="L104" s="2089"/>
      <x:c r="M104" s="2089"/>
      <x:c r="N104" s="2089"/>
    </x:row>
    <x:row r="105">
      <x:c r="A105" s="2053" t="str">
        <x:v>Fuente</x:v>
      </x:c>
      <x:c r="B105" s="2053" t="str">
        <x:v>Principio relevante</x:v>
      </x:c>
      <x:c r="C105" s="2053" t="str">
        <x:v>Qué valida</x:v>
      </x:c>
      <x:c r="D105" s="2053" t="str">
        <x:v>Qué NO implica</x:v>
      </x:c>
      <x:c r="E105" s="2053" t="str">
        <x:v>URL</x:v>
      </x:c>
      <x:c r="F105" s="2053" t="str">
        <x:v>Uso</x:v>
      </x:c>
      <x:c r="G105" s="1277"/>
      <x:c r="H105" s="1277"/>
      <x:c r="I105" s="1277"/>
      <x:c r="J105" s="1277"/>
      <x:c r="K105" s="1277"/>
      <x:c r="L105" s="1277"/>
      <x:c r="M105" s="1277"/>
      <x:c r="N105" s="1277"/>
    </x:row>
    <x:row r="106" ht="66" customHeight="1">
      <x:c r="A106" s="1327" t="str">
        <x:v>HSE HSG250</x:v>
      </x:c>
      <x:c r="B106" s="1327" t="str">
        <x:v>PTW es proceso formal para controlar trabajo peligroso; identifica tareas, autorizantes, precauciones, duración y responsabilidades.</x:v>
      </x:c>
      <x:c r="C106" s="1327" t="str">
        <x:v>Permiso separado del Parte; vigencia/roles/closure propios.</x:v>
      </x:c>
      <x:c r="D106" s="1327" t="str">
        <x:v>Que todo trabajo VDS requiera PTW.</x:v>
      </x:c>
      <x:c r="E106" s="1327" t="str">
        <x:v>https://www.hse.gov.uk/pubns/books/hsg250.htm</x:v>
      </x:c>
      <x:c r="F106" s="1327" t="str">
        <x:v>Benchmark PTW</x:v>
      </x:c>
      <x:c r="G106" s="1277"/>
      <x:c r="H106" s="1277"/>
      <x:c r="I106" s="1277"/>
      <x:c r="J106" s="1277"/>
      <x:c r="K106" s="1277"/>
      <x:c r="L106" s="1277"/>
      <x:c r="M106" s="1277"/>
      <x:c r="N106" s="1277"/>
    </x:row>
    <x:row r="107" ht="66" customHeight="1">
      <x:c r="A107" s="1327" t="str">
        <x:v>Habilita PTW systems</x:v>
      </x:c>
      <x:c r="B107" s="1327" t="str">
        <x:v>Cambio de turno/continuidad exige dejar estado seguro e instrucciones claras; PTW coordina actividades y responsables.</x:v>
      </x:c>
      <x:c r="C107" s="1327" t="str">
        <x:v>Handover/revalidación en vez de corte automático del Parte.</x:v>
      </x:c>
      <x:c r="D107" s="1327" t="str">
        <x:v>Política exacta de VDS/clientes.</x:v>
      </x:c>
      <x:c r="E107" s="1327" t="str">
        <x:v>https://www.hse.gov.uk/humanfactors/topics/ptw.htm</x:v>
      </x:c>
      <x:c r="F107" s="1327" t="str">
        <x:v>Benchmark shift handover</x:v>
      </x:c>
      <x:c r="G107" s="1277"/>
      <x:c r="H107" s="1277"/>
      <x:c r="I107" s="1277"/>
      <x:c r="J107" s="1277"/>
      <x:c r="K107" s="1277"/>
      <x:c r="L107" s="1277"/>
      <x:c r="M107" s="1277"/>
      <x:c r="N107" s="1277"/>
    </x:row>
    <x:row r="108" ht="66" customHeight="1">
      <x:c r="A108" s="1327" t="str">
        <x:v>IOGP Start Work Checks</x:v>
      </x:c>
      <x:c r="B108" s="1327" t="str">
        <x:v>Controles deben confirmarse en el lugar exacto justo antes de empezar.</x:v>
      </x:c>
      <x:c r="C108" s="1327" t="str">
        <x:v>Pre-check de Planificación + revalidación real antes de Start Work.</x:v>
      </x:c>
      <x:c r="D108" s="1327" t="str">
        <x:v>Que SWC sustituya PTW o risk assessment.</x:v>
      </x:c>
      <x:c r="E108" s="1327" t="str">
        <x:v>https://idms.iogp.org/Documents/1084</x:v>
      </x:c>
      <x:c r="F108" s="1327" t="str">
        <x:v>Benchmark start-work</x:v>
      </x:c>
      <x:c r="G108" s="1277"/>
      <x:c r="H108" s="1277"/>
      <x:c r="I108" s="1277"/>
      <x:c r="J108" s="1277"/>
      <x:c r="K108" s="1277"/>
      <x:c r="L108" s="1277"/>
      <x:c r="M108" s="1277"/>
      <x:c r="N108" s="1277"/>
    </x:row>
    <x:row r="109" ht="66" customHeight="1">
      <x:c r="A109" s="1327" t="str">
        <x:v>Energy Institute Element 17</x:v>
      </x:c>
      <x:c r="B109" s="1327" t="str">
        <x:v>Work control, PTW y task risk management deben integrarse para gestionar riesgo de mantenimiento/construcción.</x:v>
      </x:c>
      <x:c r="C109" s="1327" t="str">
        <x:v>Readiness, PTW y Ejecución como capas coordinadas.</x:v>
      </x:c>
      <x:c r="D109" s="1327" t="str">
        <x:v>Su modelo exacto de workflow.</x:v>
      </x:c>
      <x:c r="E109" s="1327" t="str">
        <x:v>https://www.energyinst.org/industry/publications/topics/process-safety/guidance-on-meeting-expectations-of-ei-process-safety-management-framework-element-17-work-control%2C-permit-to-work-and-task-risk-management</x:v>
      </x:c>
      <x:c r="F109" s="1327" t="str">
        <x:v>Benchmark work control</x:v>
      </x:c>
      <x:c r="G109" s="1277"/>
      <x:c r="H109" s="1277"/>
      <x:c r="I109" s="1277"/>
      <x:c r="J109" s="1277"/>
      <x:c r="K109" s="1277"/>
      <x:c r="L109" s="1277"/>
      <x:c r="M109" s="1277"/>
      <x:c r="N109" s="1277"/>
    </x:row>
    <x:row r="110">
      <x:c r="A110" s="1277"/>
      <x:c r="B110" s="1277"/>
      <x:c r="C110" s="1277"/>
      <x:c r="D110" s="1277"/>
      <x:c r="E110" s="1277"/>
      <x:c r="F110" s="1277"/>
      <x:c r="G110" s="1277"/>
      <x:c r="H110" s="1277"/>
      <x:c r="I110" s="1277"/>
      <x:c r="J110" s="1277"/>
      <x:c r="K110" s="1277"/>
      <x:c r="L110" s="1277"/>
      <x:c r="M110" s="1277"/>
      <x:c r="N110" s="1277"/>
    </x:row>
    <x:row r="111">
      <x:c r="A111" s="2089" t="str">
        <x:v>10 — DECISIONES CRÍTICAS ABIERTAS · LAS QUE PUEDEN CAMBIAR TP-01</x:v>
      </x:c>
      <x:c r="B111" s="2089"/>
      <x:c r="C111" s="2089"/>
      <x:c r="D111" s="2089"/>
      <x:c r="E111" s="2089"/>
      <x:c r="F111" s="2089"/>
      <x:c r="G111" s="2089"/>
      <x:c r="H111" s="2089"/>
      <x:c r="I111" s="2089"/>
      <x:c r="J111" s="2089"/>
      <x:c r="K111" s="2089"/>
      <x:c r="L111" s="2089"/>
      <x:c r="M111" s="2089"/>
      <x:c r="N111" s="2089"/>
    </x:row>
    <x:row r="112">
      <x:c r="A112" s="2053" t="str">
        <x:v>ID</x:v>
      </x:c>
      <x:c r="B112" s="2053" t="str">
        <x:v>Decisión</x:v>
      </x:c>
      <x:c r="C112" s="2053" t="str">
        <x:v>Pregunta</x:v>
      </x:c>
      <x:c r="D112" s="2053" t="str">
        <x:v>Quién</x:v>
      </x:c>
      <x:c r="E112" s="2053" t="str">
        <x:v>Prioridad</x:v>
      </x:c>
      <x:c r="F112" s="2053" t="str">
        <x:v>Impacto</x:v>
      </x:c>
      <x:c r="G112" s="1277"/>
      <x:c r="H112" s="1277"/>
      <x:c r="I112" s="1277"/>
      <x:c r="J112" s="1277"/>
      <x:c r="K112" s="1277"/>
      <x:c r="L112" s="1277"/>
      <x:c r="M112" s="1277"/>
      <x:c r="N112" s="1277"/>
    </x:row>
    <x:row r="113" ht="48" customHeight="1">
      <x:c r="A113" s="1327" t="str">
        <x:v>TP1-V1</x:v>
      </x:c>
      <x:c r="B113" s="1327" t="str">
        <x:v>Frontera work package</x:v>
      </x:c>
      <x:c r="C113" s="1327" t="str">
        <x:v>Qué cambio crea realmente otra intervención?</x:v>
      </x:c>
      <x:c r="D113" s="1327" t="str">
        <x:v>Operaciones/Supervisión</x:v>
      </x:c>
      <x:c r="E113" s="1327" t="str">
        <x:v>Crítica</x:v>
      </x:c>
      <x:c r="F113" s="1327" t="str">
        <x:v>Identidad/corte</x:v>
      </x:c>
      <x:c r="G113" s="1277"/>
      <x:c r="H113" s="1277"/>
      <x:c r="I113" s="1277"/>
      <x:c r="J113" s="1277"/>
      <x:c r="K113" s="1277"/>
      <x:c r="L113" s="1277"/>
      <x:c r="M113" s="1277"/>
      <x:c r="N113" s="1277"/>
    </x:row>
    <x:row r="114" ht="48" customHeight="1">
      <x:c r="A114" s="1327" t="str">
        <x:v>TP1-V2</x:v>
      </x:c>
      <x:c r="B114" s="1327" t="str">
        <x:v>Turno/handover</x:v>
      </x:c>
      <x:c r="C114" s="1327" t="str">
        <x:v>Cruzar turno mantiene Parte o crea otro según servicio?</x:v>
      </x:c>
      <x:c r="D114" s="1327" t="str">
        <x:v>Operaciones/Habilita</x:v>
      </x:c>
      <x:c r="E114" s="1327" t="str">
        <x:v>Crítica</x:v>
      </x:c>
      <x:c r="F114" s="1327" t="str">
        <x:v>Temporal/PTW</x:v>
      </x:c>
      <x:c r="G114" s="1277"/>
      <x:c r="H114" s="1277"/>
      <x:c r="I114" s="1277"/>
      <x:c r="J114" s="1277"/>
      <x:c r="K114" s="1277"/>
      <x:c r="L114" s="1277"/>
      <x:c r="M114" s="1277"/>
      <x:c r="N114" s="1277"/>
    </x:row>
    <x:row r="115" ht="48" customHeight="1">
      <x:c r="A115" s="1327" t="str">
        <x:v>TP1-V3</x:v>
      </x:c>
      <x:c r="B115" s="1327" t="str">
        <x:v>Permisos múltiples</x:v>
      </x:c>
      <x:c r="C115" s="1327" t="str">
        <x:v>Puede una intervención requerir 0..N PTW simultáneos/secuenciales?</x:v>
      </x:c>
      <x:c r="D115" s="1327" t="str">
        <x:v>Habilita/Ops</x:v>
      </x:c>
      <x:c r="E115" s="1327" t="str">
        <x:v>Crítica</x:v>
      </x:c>
      <x:c r="F115" s="1327" t="str">
        <x:v>Cardinalidad</x:v>
      </x:c>
      <x:c r="G115" s="1277"/>
      <x:c r="H115" s="1277"/>
      <x:c r="I115" s="1277"/>
      <x:c r="J115" s="1277"/>
      <x:c r="K115" s="1277"/>
      <x:c r="L115" s="1277"/>
      <x:c r="M115" s="1277"/>
      <x:c r="N115" s="1277"/>
    </x:row>
    <x:row r="116" ht="48" customHeight="1">
      <x:c r="A116" s="1327" t="str">
        <x:v>TP1-V4</x:v>
      </x:c>
      <x:c r="B116" s="1327" t="str">
        <x:v>Scope de firma</x:v>
      </x:c>
      <x:c r="C116" s="1327" t="str">
        <x:v>Solicitante firma ejecución, conformidad comercial o ambas?</x:v>
      </x:c>
      <x:c r="D116" s="1327" t="str">
        <x:v>Ops/Certificaciones</x:v>
      </x:c>
      <x:c r="E116" s="1327" t="str">
        <x:v>Crítica</x:v>
      </x:c>
      <x:c r="F116" s="1327" t="str">
        <x:v>Evidencia/Interface B</x:v>
      </x:c>
      <x:c r="G116" s="1277"/>
      <x:c r="H116" s="1277"/>
      <x:c r="I116" s="1277"/>
      <x:c r="J116" s="1277"/>
      <x:c r="K116" s="1277"/>
      <x:c r="L116" s="1277"/>
      <x:c r="M116" s="1277"/>
      <x:c r="N116" s="1277"/>
    </x:row>
    <x:row r="117" ht="48" customHeight="1">
      <x:c r="A117" s="1327" t="str">
        <x:v>TP1-V5</x:v>
      </x:c>
      <x:c r="B117" s="1327" t="str">
        <x:v>OT externa</x:v>
      </x:c>
      <x:c r="C117" s="1327" t="str">
        <x:v>Qué relación real tiene OT con Parte/intervención/certificación?</x:v>
      </x:c>
      <x:c r="D117" s="1327" t="str">
        <x:v>Ops/Cliente</x:v>
      </x:c>
      <x:c r="E117" s="1327" t="str">
        <x:v>Alta</x:v>
      </x:c>
      <x:c r="F117" s="1327" t="str">
        <x:v>Referencia/agrupación</x:v>
      </x:c>
      <x:c r="G117" s="1277"/>
      <x:c r="H117" s="1277"/>
      <x:c r="I117" s="1277"/>
      <x:c r="J117" s="1277"/>
      <x:c r="K117" s="1277"/>
      <x:c r="L117" s="1277"/>
      <x:c r="M117" s="1277"/>
      <x:c r="N117" s="1277"/>
    </x:row>
    <x:row r="118" ht="48" customHeight="1">
      <x:c r="A118" s="1327" t="str">
        <x:v>TP1-V6</x:v>
      </x:c>
      <x:c r="B118" s="1327" t="str">
        <x:v>Activo/ubicación</x:v>
      </x:c>
      <x:c r="C118" s="1327" t="str">
        <x:v>Qué intervenciones viven sobre activo y cuáles sobre ubicación?</x:v>
      </x:c>
      <x:c r="D118" s="1327" t="str">
        <x:v>Ops/Mantenimiento</x:v>
      </x:c>
      <x:c r="E118" s="1327" t="str">
        <x:v>Alta</x:v>
      </x:c>
      <x:c r="F118" s="1327" t="str">
        <x:v>Modelo técnico</x:v>
      </x:c>
      <x:c r="G118" s="1277"/>
      <x:c r="H118" s="1277"/>
      <x:c r="I118" s="1277"/>
      <x:c r="J118" s="1277"/>
      <x:c r="K118" s="1277"/>
      <x:c r="L118" s="1277"/>
      <x:c r="M118" s="1277"/>
      <x:c r="N118" s="1277"/>
    </x:row>
  </x:sheetData>
  <x:mergeCells>
    <x:mergeCell ref="A1:N1"/>
    <x:mergeCell ref="A2:N2"/>
    <x:mergeCell ref="A4:N4"/>
    <x:mergeCell ref="A6:F11"/>
    <x:mergeCell ref="H6:N11"/>
    <x:mergeCell ref="A13:N13"/>
    <x:mergeCell ref="A15:C19"/>
    <x:mergeCell ref="E15:G19"/>
    <x:mergeCell ref="I15:K19"/>
    <x:mergeCell ref="M15:N19"/>
    <x:mergeCell ref="A21:N24"/>
    <x:mergeCell ref="A26:N26"/>
    <x:mergeCell ref="A35:N35"/>
    <x:mergeCell ref="A47:N47"/>
    <x:mergeCell ref="A49:C53"/>
    <x:mergeCell ref="E49:G53"/>
    <x:mergeCell ref="I49:K53"/>
    <x:mergeCell ref="M49:N53"/>
    <x:mergeCell ref="A55:N58"/>
    <x:mergeCell ref="A67:N67"/>
    <x:mergeCell ref="A69:B72"/>
    <x:mergeCell ref="D69:E72"/>
    <x:mergeCell ref="G69:H72"/>
    <x:mergeCell ref="J69:K72"/>
    <x:mergeCell ref="M69:N72"/>
    <x:mergeCell ref="F75:I78"/>
    <x:mergeCell ref="A80:N82"/>
    <x:mergeCell ref="A84:N84"/>
    <x:mergeCell ref="A95:N95"/>
    <x:mergeCell ref="A97:F102"/>
    <x:mergeCell ref="H97:N102"/>
    <x:mergeCell ref="A104:N104"/>
    <x:mergeCell ref="A111:N111"/>
    <x:mergeCell ref="A66:N66"/>
    <x:mergeCell ref="H35:N45"/>
  </x:mergeCells>
  <x:pageMargins left="0.7" right="0.7" top="0.75" bottom="0.75" header="0.3" footer="0.3"/>
</x:worksheet>
</file>

<file path=xl/worksheets/sheet25.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s>
  <x:sheetData>
    <x:row r="1">
      <x:c r="A1" s="2088" t="str">
        <x:v>ARQUITECTURA INTEGRAL VDS · REV D.3 · PRIMER BORRADOR DEL DIAGRAMA FINAL</x:v>
      </x:c>
      <x:c r="B1" s="2088"/>
      <x:c r="C1" s="2088"/>
      <x:c r="D1" s="2088"/>
      <x:c r="E1" s="2088"/>
      <x:c r="F1" s="2088"/>
      <x:c r="G1" s="2088"/>
      <x:c r="H1" s="2088"/>
      <x:c r="I1" s="2088"/>
      <x:c r="J1" s="2088"/>
      <x:c r="K1" s="2088"/>
      <x:c r="L1" s="2088"/>
      <x:c r="M1" s="2088"/>
      <x:c r="N1" s="2088"/>
      <x:c r="O1" s="2088"/>
      <x:c r="P1" s="2088"/>
      <x:c r="Q1" s="2088"/>
      <x:c r="R1" s="2088"/>
      <x:c r="S1" s="2088"/>
      <x:c r="T1" s="2088"/>
      <x:c r="U1" s="2088"/>
      <x:c r="V1" s="2088"/>
    </x:row>
    <x:row r="2">
      <x:c r="A2" s="2030" t="str">
        <x:v>Contrato configura · Planificación prepara · Motor enruta · TiposParte ejecutan · PermisoTrabajo controla seguridad · Certificación acepta · Facturación emite.</x:v>
      </x:c>
      <x:c r="B2" s="2030"/>
      <x:c r="C2" s="2030"/>
      <x:c r="D2" s="2030"/>
      <x:c r="E2" s="2030"/>
      <x:c r="F2" s="2030"/>
      <x:c r="G2" s="2030"/>
      <x:c r="H2" s="2030"/>
      <x:c r="I2" s="2030"/>
      <x:c r="J2" s="2030"/>
      <x:c r="K2" s="2030"/>
      <x:c r="L2" s="2030"/>
      <x:c r="M2" s="2030"/>
      <x:c r="N2" s="2030"/>
      <x:c r="O2" s="2030"/>
      <x:c r="P2" s="2030"/>
      <x:c r="Q2" s="2030"/>
      <x:c r="R2" s="2030"/>
      <x:c r="S2" s="2030"/>
      <x:c r="T2" s="2030"/>
      <x:c r="U2" s="2030"/>
      <x:c r="V2" s="2030"/>
    </x:row>
    <x:row r="3">
      <x:c r="A3" s="1277"/>
      <x:c r="B3" s="1277"/>
      <x:c r="C3" s="1277"/>
      <x:c r="D3" s="1277"/>
      <x:c r="E3" s="1277"/>
      <x:c r="F3" s="1277"/>
      <x:c r="G3" s="1277"/>
      <x:c r="H3" s="1277"/>
      <x:c r="I3" s="1277"/>
      <x:c r="J3" s="1277"/>
      <x:c r="K3" s="1277"/>
      <x:c r="L3" s="1277"/>
      <x:c r="M3" s="1277"/>
      <x:c r="N3" s="1277"/>
      <x:c r="O3" s="1277"/>
      <x:c r="P3" s="1277"/>
      <x:c r="Q3" s="1277"/>
      <x:c r="R3" s="1277"/>
      <x:c r="S3" s="1277"/>
      <x:c r="T3" s="1277"/>
      <x:c r="U3" s="1277"/>
      <x:c r="V3" s="1277"/>
    </x:row>
    <x:row r="4">
      <x:c r="A4" s="2089" t="str">
        <x:v>00 — PLANO CONTRACTUAL / CONFIGURACIÓN</x:v>
      </x:c>
      <x:c r="B4" s="2089"/>
      <x:c r="C4" s="2089"/>
      <x:c r="D4" s="2089"/>
      <x:c r="E4" s="2089"/>
      <x:c r="F4" s="2089"/>
      <x:c r="G4" s="2089"/>
      <x:c r="H4" s="2089"/>
      <x:c r="I4" s="2089"/>
      <x:c r="J4" s="2089"/>
      <x:c r="K4" s="2089"/>
      <x:c r="L4" s="2089"/>
      <x:c r="M4" s="2089"/>
      <x:c r="N4" s="2089"/>
      <x:c r="O4" s="2089"/>
      <x:c r="P4" s="2089"/>
      <x:c r="Q4" s="2089"/>
      <x:c r="R4" s="2089"/>
      <x:c r="S4" s="2089"/>
      <x:c r="T4" s="2089"/>
      <x:c r="U4" s="2089"/>
      <x:c r="V4" s="2089"/>
    </x:row>
    <x:row r="5">
      <x:c r="A5" s="1277"/>
      <x:c r="B5" s="1277"/>
      <x:c r="C5" s="1277"/>
      <x:c r="D5" s="1277"/>
      <x:c r="E5" s="1277"/>
      <x:c r="F5" s="1277"/>
      <x:c r="G5" s="1277"/>
      <x:c r="H5" s="1277"/>
      <x:c r="I5" s="1277"/>
      <x:c r="J5" s="1277"/>
      <x:c r="K5" s="1277"/>
      <x:c r="L5" s="1277"/>
      <x:c r="M5" s="1277"/>
      <x:c r="N5" s="1277"/>
      <x:c r="O5" s="1277"/>
      <x:c r="P5" s="1277"/>
      <x:c r="Q5" s="1277"/>
      <x:c r="R5" s="1277"/>
      <x:c r="S5" s="1277"/>
      <x:c r="T5" s="1277"/>
      <x:c r="U5" s="1277"/>
      <x:c r="V5" s="1277"/>
    </x:row>
    <x:row r="6">
      <x:c r="A6" s="2057" t="str">
        <x:v>CLIENTE
CONTRATO
VERSIÓN</x:v>
      </x:c>
      <x:c r="B6" s="2058"/>
      <x:c r="C6" s="2058"/>
      <x:c r="D6" s="2059"/>
      <x:c r="E6" s="1277"/>
      <x:c r="F6" s="2054" t="str">
        <x:v>CONTRATO
SERVICIO</x:v>
      </x:c>
      <x:c r="G6" s="2055"/>
      <x:c r="H6" s="2055"/>
      <x:c r="I6" s="2056"/>
      <x:c r="J6" s="1277"/>
      <x:c r="K6" s="2034" t="str">
        <x:v>CENTRO COSTO
ITEM · UM
REGLA MEDICIÓN</x:v>
      </x:c>
      <x:c r="L6" s="2035"/>
      <x:c r="M6" s="2035"/>
      <x:c r="N6" s="2036"/>
      <x:c r="O6" s="1277"/>
      <x:c r="P6" s="2034" t="str">
        <x:v>REGLAS CONFIGURABLES
Planificación · TipoParte · PTW esperado
Evidencia · Agrupación · Cadencias · Facturación</x:v>
      </x:c>
      <x:c r="Q6" s="2035"/>
      <x:c r="R6" s="2035"/>
      <x:c r="S6" s="2035"/>
      <x:c r="T6" s="2035"/>
      <x:c r="U6" s="2035"/>
      <x:c r="V6" s="2036"/>
    </x:row>
    <x:row r="7">
      <x:c r="A7" s="2065"/>
      <x:c r="B7" s="2066"/>
      <x:c r="C7" s="2066"/>
      <x:c r="D7" s="2067"/>
      <x:c r="E7" s="1297" t="str">
        <x:v>→</x:v>
      </x:c>
      <x:c r="F7" s="2062"/>
      <x:c r="G7" s="2063"/>
      <x:c r="H7" s="2063"/>
      <x:c r="I7" s="2064"/>
      <x:c r="J7" s="1297" t="str">
        <x:v>→</x:v>
      </x:c>
      <x:c r="K7" s="2040"/>
      <x:c r="L7" s="2041"/>
      <x:c r="M7" s="2041"/>
      <x:c r="N7" s="2042"/>
      <x:c r="O7" s="1297" t="str">
        <x:v>→</x:v>
      </x:c>
      <x:c r="P7" s="2040"/>
      <x:c r="Q7" s="2041"/>
      <x:c r="R7" s="2041"/>
      <x:c r="S7" s="2041"/>
      <x:c r="T7" s="2041"/>
      <x:c r="U7" s="2041"/>
      <x:c r="V7" s="2042"/>
    </x:row>
    <x:row r="8">
      <x:c r="A8" s="2065"/>
      <x:c r="B8" s="2066"/>
      <x:c r="C8" s="2066"/>
      <x:c r="D8" s="2067"/>
      <x:c r="E8" s="1277"/>
      <x:c r="F8" s="2062"/>
      <x:c r="G8" s="2063"/>
      <x:c r="H8" s="2063"/>
      <x:c r="I8" s="2064"/>
      <x:c r="J8" s="1277"/>
      <x:c r="K8" s="2040"/>
      <x:c r="L8" s="2041"/>
      <x:c r="M8" s="2041"/>
      <x:c r="N8" s="2042"/>
      <x:c r="O8" s="1277"/>
      <x:c r="P8" s="2040"/>
      <x:c r="Q8" s="2041"/>
      <x:c r="R8" s="2041"/>
      <x:c r="S8" s="2041"/>
      <x:c r="T8" s="2041"/>
      <x:c r="U8" s="2041"/>
      <x:c r="V8" s="2042"/>
    </x:row>
    <x:row r="9">
      <x:c r="A9" s="2073"/>
      <x:c r="B9" s="2074"/>
      <x:c r="C9" s="2074"/>
      <x:c r="D9" s="2075"/>
      <x:c r="E9" s="1277"/>
      <x:c r="F9" s="2070"/>
      <x:c r="G9" s="2071"/>
      <x:c r="H9" s="2071"/>
      <x:c r="I9" s="2072"/>
      <x:c r="J9" s="1277"/>
      <x:c r="K9" s="2046"/>
      <x:c r="L9" s="2047"/>
      <x:c r="M9" s="2047"/>
      <x:c r="N9" s="2048"/>
      <x:c r="O9" s="1277"/>
      <x:c r="P9" s="2046"/>
      <x:c r="Q9" s="2047"/>
      <x:c r="R9" s="2047"/>
      <x:c r="S9" s="2047"/>
      <x:c r="T9" s="2047"/>
      <x:c r="U9" s="2047"/>
      <x:c r="V9" s="2048"/>
    </x:row>
    <x:row r="10">
      <x:c r="A10" s="1277"/>
      <x:c r="B10" s="1277"/>
      <x:c r="C10" s="1277"/>
      <x:c r="D10" s="1277"/>
      <x:c r="E10" s="1277"/>
      <x:c r="F10" s="1277"/>
      <x:c r="G10" s="1277"/>
      <x:c r="H10" s="1277"/>
      <x:c r="I10" s="1277"/>
      <x:c r="J10" s="1277"/>
      <x:c r="K10" s="1277"/>
      <x:c r="L10" s="1277"/>
      <x:c r="M10" s="1277"/>
      <x:c r="N10" s="1277"/>
      <x:c r="O10" s="1277"/>
      <x:c r="P10" s="1277"/>
      <x:c r="Q10" s="1277"/>
      <x:c r="R10" s="1277"/>
      <x:c r="S10" s="1277"/>
      <x:c r="T10" s="1277"/>
      <x:c r="U10" s="1277"/>
      <x:c r="V10" s="1277"/>
    </x:row>
    <x:row r="11">
      <x:c r="A11" s="1277"/>
      <x:c r="B11" s="1277"/>
      <x:c r="C11" s="1277"/>
      <x:c r="D11" s="1277"/>
      <x:c r="E11" s="1277"/>
      <x:c r="F11" s="1277"/>
      <x:c r="G11" s="1277"/>
      <x:c r="H11" s="1277"/>
      <x:c r="I11" s="1277"/>
      <x:c r="J11" s="1277"/>
      <x:c r="K11" s="1277"/>
      <x:c r="L11" s="1277"/>
      <x:c r="M11" s="1277"/>
      <x:c r="N11" s="1277"/>
      <x:c r="O11" s="1277"/>
      <x:c r="P11" s="1277"/>
      <x:c r="Q11" s="1277"/>
      <x:c r="R11" s="1277"/>
      <x:c r="S11" s="1277"/>
      <x:c r="T11" s="1277"/>
      <x:c r="U11" s="1277"/>
      <x:c r="V11" s="1277"/>
    </x:row>
    <x:row r="12">
      <x:c r="A12" s="2208" t="str">
        <x:v>01 · PLANIFICACIÓN</x:v>
      </x:c>
      <x:c r="B12" s="2208"/>
      <x:c r="C12" s="2208"/>
      <x:c r="D12" s="2208"/>
      <x:c r="E12" s="2208"/>
      <x:c r="F12" s="2208"/>
      <x:c r="G12" s="2208"/>
      <x:c r="H12" s="2089" t="str">
        <x:v>02 · EJECUCIÓN / PARTES</x:v>
      </x:c>
      <x:c r="I12" s="2089"/>
      <x:c r="J12" s="2089"/>
      <x:c r="K12" s="2089"/>
      <x:c r="L12" s="2089"/>
      <x:c r="M12" s="2089"/>
      <x:c r="N12" s="2089"/>
      <x:c r="O12" s="2089"/>
      <x:c r="P12" s="2208" t="str">
        <x:v>03 · CERTIFICACIÓN + FACTURACIÓN</x:v>
      </x:c>
      <x:c r="Q12" s="2208"/>
      <x:c r="R12" s="2208"/>
      <x:c r="S12" s="2208"/>
      <x:c r="T12" s="2208"/>
      <x:c r="U12" s="2208"/>
      <x:c r="V12" s="2208"/>
    </x:row>
    <x:row r="13">
      <x:c r="A13" s="1277"/>
      <x:c r="B13" s="1277"/>
      <x:c r="C13" s="1277"/>
      <x:c r="D13" s="1277"/>
      <x:c r="E13" s="1277"/>
      <x:c r="F13" s="1277"/>
      <x:c r="G13" s="1277"/>
      <x:c r="H13" s="1277"/>
      <x:c r="I13" s="1277"/>
      <x:c r="J13" s="1277"/>
      <x:c r="K13" s="1277"/>
      <x:c r="L13" s="1277"/>
      <x:c r="M13" s="1277"/>
      <x:c r="N13" s="1277"/>
      <x:c r="O13" s="1277"/>
      <x:c r="P13" s="1277"/>
      <x:c r="Q13" s="1277"/>
      <x:c r="R13" s="1277"/>
      <x:c r="S13" s="1277"/>
      <x:c r="T13" s="1277"/>
      <x:c r="U13" s="1277"/>
      <x:c r="V13" s="1277"/>
    </x:row>
    <x:row r="14">
      <x:c r="A14" s="2034" t="str">
        <x:v>DEMANDA → CALIFICAR → ALCANCE</x:v>
      </x:c>
      <x:c r="B14" s="2035"/>
      <x:c r="C14" s="2035"/>
      <x:c r="D14" s="2035"/>
      <x:c r="E14" s="2035"/>
      <x:c r="F14" s="2035"/>
      <x:c r="G14" s="2036"/>
      <x:c r="H14" s="2054" t="str">
        <x:v>ƒ MOTOR DE RUTEO REAL
perfil + plan + contexto real</x:v>
      </x:c>
      <x:c r="I14" s="2055"/>
      <x:c r="J14" s="2055"/>
      <x:c r="K14" s="2055"/>
      <x:c r="L14" s="2055"/>
      <x:c r="M14" s="2055"/>
      <x:c r="N14" s="2055"/>
      <x:c r="O14" s="2056"/>
      <x:c r="P14" s="2054" t="str">
        <x:v>C0 · RECIBIR EJECUCIÓN CERRADA</x:v>
      </x:c>
      <x:c r="Q14" s="2055"/>
      <x:c r="R14" s="2055"/>
      <x:c r="S14" s="2055"/>
      <x:c r="T14" s="2055"/>
      <x:c r="U14" s="2055"/>
      <x:c r="V14" s="2056"/>
    </x:row>
    <x:row r="15">
      <x:c r="A15" s="2040"/>
      <x:c r="B15" s="2041"/>
      <x:c r="C15" s="2041"/>
      <x:c r="D15" s="2041"/>
      <x:c r="E15" s="2041"/>
      <x:c r="F15" s="2041"/>
      <x:c r="G15" s="2042"/>
      <x:c r="H15" s="2062"/>
      <x:c r="I15" s="2063"/>
      <x:c r="J15" s="2063"/>
      <x:c r="K15" s="2063"/>
      <x:c r="L15" s="2063"/>
      <x:c r="M15" s="2063"/>
      <x:c r="N15" s="2063"/>
      <x:c r="O15" s="2064"/>
      <x:c r="P15" s="2062"/>
      <x:c r="Q15" s="2063"/>
      <x:c r="R15" s="2063"/>
      <x:c r="S15" s="2063"/>
      <x:c r="T15" s="2063"/>
      <x:c r="U15" s="2063"/>
      <x:c r="V15" s="2064"/>
    </x:row>
    <x:row r="16">
      <x:c r="A16" s="2040"/>
      <x:c r="B16" s="2041"/>
      <x:c r="C16" s="2041"/>
      <x:c r="D16" s="2041"/>
      <x:c r="E16" s="2041"/>
      <x:c r="F16" s="2041"/>
      <x:c r="G16" s="2042"/>
      <x:c r="H16" s="2062"/>
      <x:c r="I16" s="2063"/>
      <x:c r="J16" s="2063"/>
      <x:c r="K16" s="2063"/>
      <x:c r="L16" s="2063"/>
      <x:c r="M16" s="2063"/>
      <x:c r="N16" s="2063"/>
      <x:c r="O16" s="2064"/>
      <x:c r="P16" s="2062"/>
      <x:c r="Q16" s="2063"/>
      <x:c r="R16" s="2063"/>
      <x:c r="S16" s="2063"/>
      <x:c r="T16" s="2063"/>
      <x:c r="U16" s="2063"/>
      <x:c r="V16" s="2064"/>
    </x:row>
    <x:row r="17">
      <x:c r="A17" s="2046"/>
      <x:c r="B17" s="2047"/>
      <x:c r="C17" s="2047"/>
      <x:c r="D17" s="2047"/>
      <x:c r="E17" s="2047"/>
      <x:c r="F17" s="2047"/>
      <x:c r="G17" s="2048"/>
      <x:c r="H17" s="2070"/>
      <x:c r="I17" s="2071"/>
      <x:c r="J17" s="2071"/>
      <x:c r="K17" s="2071"/>
      <x:c r="L17" s="2071"/>
      <x:c r="M17" s="2071"/>
      <x:c r="N17" s="2071"/>
      <x:c r="O17" s="2072"/>
      <x:c r="P17" s="2070"/>
      <x:c r="Q17" s="2071"/>
      <x:c r="R17" s="2071"/>
      <x:c r="S17" s="2071"/>
      <x:c r="T17" s="2071"/>
      <x:c r="U17" s="2071"/>
      <x:c r="V17" s="2072"/>
    </x:row>
    <x:row r="18">
      <x:c r="A18" s="1277"/>
      <x:c r="B18" s="1277"/>
      <x:c r="C18" s="1277"/>
      <x:c r="D18" s="1385" t="str">
        <x:v>↓</x:v>
      </x:c>
      <x:c r="E18" s="1277"/>
      <x:c r="F18" s="1277"/>
      <x:c r="G18" s="1277"/>
      <x:c r="H18" s="1277"/>
      <x:c r="I18" s="1277"/>
      <x:c r="J18" s="1277"/>
      <x:c r="K18" s="1277"/>
      <x:c r="L18" s="1385" t="str">
        <x:v>↓</x:v>
      </x:c>
      <x:c r="M18" s="1277"/>
      <x:c r="N18" s="1277"/>
      <x:c r="O18" s="1277"/>
      <x:c r="P18" s="1277"/>
      <x:c r="Q18" s="1277"/>
      <x:c r="R18" s="1277"/>
      <x:c r="S18" s="1385" t="str">
        <x:v>↓</x:v>
      </x:c>
      <x:c r="T18" s="1277"/>
      <x:c r="U18" s="1277"/>
      <x:c r="V18" s="1277"/>
    </x:row>
    <x:row r="19">
      <x:c r="A19" s="2034" t="str">
        <x:v>CAPACIDAD → PROGRAMAR → NOMINAR</x:v>
      </x:c>
      <x:c r="B19" s="2035"/>
      <x:c r="C19" s="2035"/>
      <x:c r="D19" s="2035"/>
      <x:c r="E19" s="2035"/>
      <x:c r="F19" s="2035"/>
      <x:c r="G19" s="2036"/>
      <x:c r="H19" s="2190" t="str">
        <x:v>TIPO PARTE RESUELTO · NO SELECTOR MANUAL</x:v>
      </x:c>
      <x:c r="I19" s="2190"/>
      <x:c r="J19" s="2190"/>
      <x:c r="K19" s="2190"/>
      <x:c r="L19" s="2190"/>
      <x:c r="M19" s="2190"/>
      <x:c r="N19" s="2190"/>
      <x:c r="O19" s="2190"/>
      <x:c r="P19" s="2054" t="str">
        <x:v>C1–C3 · NORMALIZAR
completitud · item/CC · cantidad/UM</x:v>
      </x:c>
      <x:c r="Q19" s="2055"/>
      <x:c r="R19" s="2055"/>
      <x:c r="S19" s="2055"/>
      <x:c r="T19" s="2055"/>
      <x:c r="U19" s="2055"/>
      <x:c r="V19" s="2056"/>
    </x:row>
    <x:row r="20">
      <x:c r="A20" s="2040"/>
      <x:c r="B20" s="2041"/>
      <x:c r="C20" s="2041"/>
      <x:c r="D20" s="2041"/>
      <x:c r="E20" s="2041"/>
      <x:c r="F20" s="2041"/>
      <x:c r="G20" s="2042"/>
      <x:c r="H20" s="1277"/>
      <x:c r="I20" s="1277"/>
      <x:c r="J20" s="1277"/>
      <x:c r="K20" s="1277"/>
      <x:c r="L20" s="1277"/>
      <x:c r="M20" s="1277"/>
      <x:c r="N20" s="1277"/>
      <x:c r="O20" s="1277"/>
      <x:c r="P20" s="2062"/>
      <x:c r="Q20" s="2063"/>
      <x:c r="R20" s="2063"/>
      <x:c r="S20" s="2063"/>
      <x:c r="T20" s="2063"/>
      <x:c r="U20" s="2063"/>
      <x:c r="V20" s="2064"/>
    </x:row>
    <x:row r="21">
      <x:c r="A21" s="2040"/>
      <x:c r="B21" s="2041"/>
      <x:c r="C21" s="2041"/>
      <x:c r="D21" s="2041"/>
      <x:c r="E21" s="2041"/>
      <x:c r="F21" s="2041"/>
      <x:c r="G21" s="2042"/>
      <x:c r="H21" s="2037" t="str">
        <x:v>TP-01
INTERVENCIÓN /
TRABAJO ESPECÍFICO</x:v>
      </x:c>
      <x:c r="I21" s="2038"/>
      <x:c r="J21" s="2039"/>
      <x:c r="K21" s="2037" t="str">
        <x:v>TP-02
TRANSPORTE
DE CARGAS</x:v>
      </x:c>
      <x:c r="L21" s="2038"/>
      <x:c r="M21" s="2039"/>
      <x:c r="N21" s="2037" t="str">
        <x:v>TP-03
REPORTE
CUADRILLA</x:v>
      </x:c>
      <x:c r="O21" s="2039"/>
      <x:c r="P21" s="2062"/>
      <x:c r="Q21" s="2063"/>
      <x:c r="R21" s="2063"/>
      <x:c r="S21" s="2063"/>
      <x:c r="T21" s="2063"/>
      <x:c r="U21" s="2063"/>
      <x:c r="V21" s="2064"/>
    </x:row>
    <x:row r="22">
      <x:c r="A22" s="2046"/>
      <x:c r="B22" s="2047"/>
      <x:c r="C22" s="2047"/>
      <x:c r="D22" s="2047"/>
      <x:c r="E22" s="2047"/>
      <x:c r="F22" s="2047"/>
      <x:c r="G22" s="2048"/>
      <x:c r="H22" s="2043"/>
      <x:c r="I22" s="2044"/>
      <x:c r="J22" s="2045"/>
      <x:c r="K22" s="2043"/>
      <x:c r="L22" s="2044"/>
      <x:c r="M22" s="2045"/>
      <x:c r="N22" s="2043"/>
      <x:c r="O22" s="2045"/>
      <x:c r="P22" s="2062"/>
      <x:c r="Q22" s="2063"/>
      <x:c r="R22" s="2063"/>
      <x:c r="S22" s="2063"/>
      <x:c r="T22" s="2063"/>
      <x:c r="U22" s="2063"/>
      <x:c r="V22" s="2064"/>
    </x:row>
    <x:row r="23">
      <x:c r="A23" s="1277"/>
      <x:c r="B23" s="1277"/>
      <x:c r="C23" s="1277"/>
      <x:c r="D23" s="1385" t="str">
        <x:v>↓</x:v>
      </x:c>
      <x:c r="E23" s="1277"/>
      <x:c r="F23" s="1277"/>
      <x:c r="G23" s="1277"/>
      <x:c r="H23" s="2043"/>
      <x:c r="I23" s="2044"/>
      <x:c r="J23" s="2045"/>
      <x:c r="K23" s="2043"/>
      <x:c r="L23" s="2044"/>
      <x:c r="M23" s="2045"/>
      <x:c r="N23" s="2043"/>
      <x:c r="O23" s="2045"/>
      <x:c r="P23" s="2070"/>
      <x:c r="Q23" s="2071"/>
      <x:c r="R23" s="2071"/>
      <x:c r="S23" s="2071"/>
      <x:c r="T23" s="2071"/>
      <x:c r="U23" s="2071"/>
      <x:c r="V23" s="2072"/>
    </x:row>
    <x:row r="24">
      <x:c r="A24" s="2054" t="str">
        <x:v>READINESS GATES
P0 contractual · P1 alcance
P2 capacidad · P3 documental/Habilita</x:v>
      </x:c>
      <x:c r="B24" s="2055"/>
      <x:c r="C24" s="2055"/>
      <x:c r="D24" s="2055"/>
      <x:c r="E24" s="2055"/>
      <x:c r="F24" s="2055"/>
      <x:c r="G24" s="2056"/>
      <x:c r="H24" s="2043"/>
      <x:c r="I24" s="2044"/>
      <x:c r="J24" s="2045"/>
      <x:c r="K24" s="2043"/>
      <x:c r="L24" s="2044"/>
      <x:c r="M24" s="2045"/>
      <x:c r="N24" s="2043"/>
      <x:c r="O24" s="2045"/>
      <x:c r="P24" s="1277"/>
      <x:c r="Q24" s="1277"/>
      <x:c r="R24" s="1277"/>
      <x:c r="S24" s="1385" t="str">
        <x:v>↓</x:v>
      </x:c>
      <x:c r="T24" s="1277"/>
      <x:c r="U24" s="1277"/>
      <x:c r="V24" s="1277"/>
    </x:row>
    <x:row r="25">
      <x:c r="A25" s="2062"/>
      <x:c r="B25" s="2063"/>
      <x:c r="C25" s="2063"/>
      <x:c r="D25" s="2063"/>
      <x:c r="E25" s="2063"/>
      <x:c r="F25" s="2063"/>
      <x:c r="G25" s="2064"/>
      <x:c r="H25" s="2049"/>
      <x:c r="I25" s="2050"/>
      <x:c r="J25" s="2051"/>
      <x:c r="K25" s="2049"/>
      <x:c r="L25" s="2050"/>
      <x:c r="M25" s="2051"/>
      <x:c r="N25" s="2049"/>
      <x:c r="O25" s="2051"/>
      <x:c r="P25" s="2034" t="str">
        <x:v>UNIDAD COMERCIAL [N]
incompleta · elegible · observada</x:v>
      </x:c>
      <x:c r="Q25" s="2035"/>
      <x:c r="R25" s="2035"/>
      <x:c r="S25" s="2035"/>
      <x:c r="T25" s="2035"/>
      <x:c r="U25" s="2035"/>
      <x:c r="V25" s="2036"/>
    </x:row>
    <x:row r="26">
      <x:c r="A26" s="2062"/>
      <x:c r="B26" s="2063"/>
      <x:c r="C26" s="2063"/>
      <x:c r="D26" s="2063"/>
      <x:c r="E26" s="2063"/>
      <x:c r="F26" s="2063"/>
      <x:c r="G26" s="2064"/>
      <x:c r="H26" s="1277"/>
      <x:c r="I26" s="1277"/>
      <x:c r="J26" s="1277"/>
      <x:c r="K26" s="1277"/>
      <x:c r="L26" s="1277"/>
      <x:c r="M26" s="1277"/>
      <x:c r="N26" s="1277"/>
      <x:c r="O26" s="1277"/>
      <x:c r="P26" s="2040"/>
      <x:c r="Q26" s="2041"/>
      <x:c r="R26" s="2041"/>
      <x:c r="S26" s="2041"/>
      <x:c r="T26" s="2041"/>
      <x:c r="U26" s="2041"/>
      <x:c r="V26" s="2042"/>
    </x:row>
    <x:row r="27">
      <x:c r="A27" s="2062"/>
      <x:c r="B27" s="2063"/>
      <x:c r="C27" s="2063"/>
      <x:c r="D27" s="2063"/>
      <x:c r="E27" s="2063"/>
      <x:c r="F27" s="2063"/>
      <x:c r="G27" s="2064"/>
      <x:c r="H27" s="2052" t="str">
        <x:v>Cada TipoParte aporta: identidad · reglas de corte · componentes · tiempos · evidencia · medición · estados. TP-04 Incidente/Habilita queda candidato paralelo, todavía no cerrado.</x:v>
      </x:c>
      <x:c r="I27" s="2052"/>
      <x:c r="J27" s="2052"/>
      <x:c r="K27" s="2052"/>
      <x:c r="L27" s="2052"/>
      <x:c r="M27" s="2052"/>
      <x:c r="N27" s="2052"/>
      <x:c r="O27" s="2052"/>
      <x:c r="P27" s="2040"/>
      <x:c r="Q27" s="2041"/>
      <x:c r="R27" s="2041"/>
      <x:c r="S27" s="2041"/>
      <x:c r="T27" s="2041"/>
      <x:c r="U27" s="2041"/>
      <x:c r="V27" s="2042"/>
    </x:row>
    <x:row r="28">
      <x:c r="A28" s="2070"/>
      <x:c r="B28" s="2071"/>
      <x:c r="C28" s="2071"/>
      <x:c r="D28" s="2071"/>
      <x:c r="E28" s="2071"/>
      <x:c r="F28" s="2071"/>
      <x:c r="G28" s="2072"/>
      <x:c r="H28" s="2052"/>
      <x:c r="I28" s="2052"/>
      <x:c r="J28" s="2052"/>
      <x:c r="K28" s="2052"/>
      <x:c r="L28" s="2052"/>
      <x:c r="M28" s="2052"/>
      <x:c r="N28" s="2052"/>
      <x:c r="O28" s="2052"/>
      <x:c r="P28" s="2046"/>
      <x:c r="Q28" s="2047"/>
      <x:c r="R28" s="2047"/>
      <x:c r="S28" s="2047"/>
      <x:c r="T28" s="2047"/>
      <x:c r="U28" s="2047"/>
      <x:c r="V28" s="2048"/>
    </x:row>
    <x:row r="29">
      <x:c r="A29" s="1277"/>
      <x:c r="B29" s="1277"/>
      <x:c r="C29" s="1277"/>
      <x:c r="D29" s="1385" t="str">
        <x:v>↓</x:v>
      </x:c>
      <x:c r="E29" s="1277"/>
      <x:c r="F29" s="1277"/>
      <x:c r="G29" s="1277"/>
      <x:c r="H29" s="2052"/>
      <x:c r="I29" s="2052"/>
      <x:c r="J29" s="2052"/>
      <x:c r="K29" s="2052"/>
      <x:c r="L29" s="2052"/>
      <x:c r="M29" s="2052"/>
      <x:c r="N29" s="2052"/>
      <x:c r="O29" s="2052"/>
      <x:c r="P29" s="1277"/>
      <x:c r="Q29" s="1277"/>
      <x:c r="R29" s="1277"/>
      <x:c r="S29" s="1385" t="str">
        <x:v>↓</x:v>
      </x:c>
      <x:c r="T29" s="1277"/>
      <x:c r="U29" s="1277"/>
      <x:c r="V29" s="1277"/>
    </x:row>
    <x:row r="30">
      <x:c r="A30" s="2054" t="str">
        <x:v>P4 · CONFIRMAR / VERSIONAR
SnapshotPlanConfirmado</x:v>
      </x:c>
      <x:c r="B30" s="2055"/>
      <x:c r="C30" s="2055"/>
      <x:c r="D30" s="2055"/>
      <x:c r="E30" s="2055"/>
      <x:c r="F30" s="2055"/>
      <x:c r="G30" s="2056"/>
      <x:c r="H30" s="2052"/>
      <x:c r="I30" s="2052"/>
      <x:c r="J30" s="2052"/>
      <x:c r="K30" s="2052"/>
      <x:c r="L30" s="2052"/>
      <x:c r="M30" s="2052"/>
      <x:c r="N30" s="2052"/>
      <x:c r="O30" s="2052"/>
      <x:c r="P30" s="2054" t="str">
        <x:v>C5 · AGRUPAR
→ PaqueteCertificacion
pozo · período · ítem · CC · regla</x:v>
      </x:c>
      <x:c r="Q30" s="2055"/>
      <x:c r="R30" s="2055"/>
      <x:c r="S30" s="2055"/>
      <x:c r="T30" s="2055"/>
      <x:c r="U30" s="2055"/>
      <x:c r="V30" s="2056"/>
    </x:row>
    <x:row r="31">
      <x:c r="A31" s="2062"/>
      <x:c r="B31" s="2063"/>
      <x:c r="C31" s="2063"/>
      <x:c r="D31" s="2063"/>
      <x:c r="E31" s="2063"/>
      <x:c r="F31" s="2063"/>
      <x:c r="G31" s="2064"/>
      <x:c r="H31" s="1277"/>
      <x:c r="I31" s="1277"/>
      <x:c r="J31" s="1277"/>
      <x:c r="K31" s="1277"/>
      <x:c r="L31" s="1277"/>
      <x:c r="M31" s="1277"/>
      <x:c r="N31" s="1277"/>
      <x:c r="O31" s="1277"/>
      <x:c r="P31" s="2062"/>
      <x:c r="Q31" s="2063"/>
      <x:c r="R31" s="2063"/>
      <x:c r="S31" s="2063"/>
      <x:c r="T31" s="2063"/>
      <x:c r="U31" s="2063"/>
      <x:c r="V31" s="2064"/>
    </x:row>
    <x:row r="32">
      <x:c r="A32" s="2062"/>
      <x:c r="B32" s="2063"/>
      <x:c r="C32" s="2063"/>
      <x:c r="D32" s="2063"/>
      <x:c r="E32" s="2063"/>
      <x:c r="F32" s="2063"/>
      <x:c r="G32" s="2064"/>
      <x:c r="H32" s="2190" t="str">
        <x:v>GATES DE INICIO / EJECUCIÓN</x:v>
      </x:c>
      <x:c r="I32" s="2190"/>
      <x:c r="J32" s="2190"/>
      <x:c r="K32" s="2190"/>
      <x:c r="L32" s="2190"/>
      <x:c r="M32" s="2190"/>
      <x:c r="N32" s="2190"/>
      <x:c r="O32" s="2190"/>
      <x:c r="P32" s="2062"/>
      <x:c r="Q32" s="2063"/>
      <x:c r="R32" s="2063"/>
      <x:c r="S32" s="2063"/>
      <x:c r="T32" s="2063"/>
      <x:c r="U32" s="2063"/>
      <x:c r="V32" s="2064"/>
    </x:row>
    <x:row r="33">
      <x:c r="A33" s="2070"/>
      <x:c r="B33" s="2071"/>
      <x:c r="C33" s="2071"/>
      <x:c r="D33" s="2071"/>
      <x:c r="E33" s="2071"/>
      <x:c r="F33" s="2071"/>
      <x:c r="G33" s="2072"/>
      <x:c r="H33" s="1277"/>
      <x:c r="I33" s="1277"/>
      <x:c r="J33" s="1277"/>
      <x:c r="K33" s="1277"/>
      <x:c r="L33" s="1277"/>
      <x:c r="M33" s="1277"/>
      <x:c r="N33" s="1277"/>
      <x:c r="O33" s="1277"/>
      <x:c r="P33" s="2062"/>
      <x:c r="Q33" s="2063"/>
      <x:c r="R33" s="2063"/>
      <x:c r="S33" s="2063"/>
      <x:c r="T33" s="2063"/>
      <x:c r="U33" s="2063"/>
      <x:c r="V33" s="2064"/>
    </x:row>
    <x:row r="34">
      <x:c r="A34" s="1277"/>
      <x:c r="B34" s="1277"/>
      <x:c r="C34" s="1277"/>
      <x:c r="D34" s="1277"/>
      <x:c r="E34" s="1277"/>
      <x:c r="F34" s="1277"/>
      <x:c r="G34" s="1277"/>
      <x:c r="H34" s="2054" t="str">
        <x:v>E2
CONTROL
DOCUMENTAL REAL</x:v>
      </x:c>
      <x:c r="I34" s="2055"/>
      <x:c r="J34" s="2056"/>
      <x:c r="K34" s="1277"/>
      <x:c r="L34" s="2191" t="str">
        <x:v>E3
PERMISO DE TRABAJO
[0..N] SI APLICA</x:v>
      </x:c>
      <x:c r="M34" s="2192"/>
      <x:c r="N34" s="2193"/>
      <x:c r="O34" s="1277"/>
      <x:c r="P34" s="2070"/>
      <x:c r="Q34" s="2071"/>
      <x:c r="R34" s="2071"/>
      <x:c r="S34" s="2071"/>
      <x:c r="T34" s="2071"/>
      <x:c r="U34" s="2071"/>
      <x:c r="V34" s="2072"/>
    </x:row>
    <x:row r="35">
      <x:c r="A35" s="1277"/>
      <x:c r="B35" s="1277"/>
      <x:c r="C35" s="1277"/>
      <x:c r="D35" s="1277"/>
      <x:c r="E35" s="1277"/>
      <x:c r="F35" s="1277"/>
      <x:c r="G35" s="1277"/>
      <x:c r="H35" s="2062"/>
      <x:c r="I35" s="2063"/>
      <x:c r="J35" s="2064"/>
      <x:c r="K35" s="1277"/>
      <x:c r="L35" s="2194"/>
      <x:c r="M35" s="2066"/>
      <x:c r="N35" s="2195"/>
      <x:c r="O35" s="1277"/>
      <x:c r="P35" s="1277"/>
      <x:c r="Q35" s="1277"/>
      <x:c r="R35" s="1277"/>
      <x:c r="S35" s="1385" t="str">
        <x:v>↓</x:v>
      </x:c>
      <x:c r="T35" s="1277"/>
      <x:c r="U35" s="1277"/>
      <x:c r="V35" s="1277"/>
    </x:row>
    <x:row r="36">
      <x:c r="A36" s="2196" t="str">
        <x:v>I-A · INTENCIÓN CONFIRMADA / VERSIONADA → MOTOR DE EJECUCIÓN</x:v>
      </x:c>
      <x:c r="B36" s="2196"/>
      <x:c r="C36" s="2196"/>
      <x:c r="D36" s="2196"/>
      <x:c r="E36" s="2196"/>
      <x:c r="F36" s="2196"/>
      <x:c r="G36" s="2196"/>
      <x:c r="H36" s="2197"/>
      <x:c r="I36" s="2198"/>
      <x:c r="J36" s="2199"/>
      <x:c r="K36" s="2200" t="str">
        <x:v>→</x:v>
      </x:c>
      <x:c r="L36" s="2201"/>
      <x:c r="M36" s="2202"/>
      <x:c r="N36" s="2203"/>
      <x:c r="O36" s="2200" t="str">
        <x:v>→</x:v>
      </x:c>
      <x:c r="P36" s="2054" t="str">
        <x:v>C6 · CONFORMIDAD / CERTIFICAR
aceptar · observar · ajustar</x:v>
      </x:c>
      <x:c r="Q36" s="2055"/>
      <x:c r="R36" s="2055"/>
      <x:c r="S36" s="2055"/>
      <x:c r="T36" s="2055"/>
      <x:c r="U36" s="2055"/>
      <x:c r="V36" s="2056"/>
    </x:row>
    <x:row r="37">
      <x:c r="A37" s="2204" t="str">
        <x:v>Asignación + UnidadesPlanificadas + ventana + servicio/tarea + ubicación + personas/recursos previstos + ContratoServicio/CC/Item si resuelto + prioridad + pre-check + TipoParte previsto</x:v>
      </x:c>
      <x:c r="B37" s="2204"/>
      <x:c r="C37" s="2204"/>
      <x:c r="D37" s="2204"/>
      <x:c r="E37" s="2204"/>
      <x:c r="F37" s="2204"/>
      <x:c r="G37" s="2204"/>
      <x:c r="H37" s="2062"/>
      <x:c r="I37" s="2063"/>
      <x:c r="J37" s="2064"/>
      <x:c r="K37" s="2204"/>
      <x:c r="L37" s="2194"/>
      <x:c r="M37" s="2066"/>
      <x:c r="N37" s="2195"/>
      <x:c r="O37" s="2204"/>
      <x:c r="P37" s="2062"/>
      <x:c r="Q37" s="2063"/>
      <x:c r="R37" s="2063"/>
      <x:c r="S37" s="2063"/>
      <x:c r="T37" s="2063"/>
      <x:c r="U37" s="2063"/>
      <x:c r="V37" s="2064"/>
    </x:row>
    <x:row r="38">
      <x:c r="A38" s="2204"/>
      <x:c r="B38" s="2204"/>
      <x:c r="C38" s="2204"/>
      <x:c r="D38" s="2204"/>
      <x:c r="E38" s="2204"/>
      <x:c r="F38" s="2204"/>
      <x:c r="G38" s="2204"/>
      <x:c r="H38" s="2070"/>
      <x:c r="I38" s="2071"/>
      <x:c r="J38" s="2072"/>
      <x:c r="K38" s="2204"/>
      <x:c r="L38" s="2205"/>
      <x:c r="M38" s="2206"/>
      <x:c r="N38" s="2207"/>
      <x:c r="O38" s="2204"/>
      <x:c r="P38" s="2062"/>
      <x:c r="Q38" s="2063"/>
      <x:c r="R38" s="2063"/>
      <x:c r="S38" s="2063"/>
      <x:c r="T38" s="2063"/>
      <x:c r="U38" s="2063"/>
      <x:c r="V38" s="2064"/>
    </x:row>
    <x:row r="39">
      <x:c r="A39" s="2204"/>
      <x:c r="B39" s="2204"/>
      <x:c r="C39" s="2204"/>
      <x:c r="D39" s="2204"/>
      <x:c r="E39" s="2204"/>
      <x:c r="F39" s="2204"/>
      <x:c r="G39" s="2204"/>
      <x:c r="H39" s="2204"/>
      <x:c r="I39" s="2204"/>
      <x:c r="J39" s="2204"/>
      <x:c r="K39" s="2204"/>
      <x:c r="L39" s="2204"/>
      <x:c r="M39" s="2204"/>
      <x:c r="N39" s="2204"/>
      <x:c r="O39" s="2204"/>
      <x:c r="P39" s="2062"/>
      <x:c r="Q39" s="2063"/>
      <x:c r="R39" s="2063"/>
      <x:c r="S39" s="2063"/>
      <x:c r="T39" s="2063"/>
      <x:c r="U39" s="2063"/>
      <x:c r="V39" s="2064"/>
    </x:row>
    <x:row r="40">
      <x:c r="A40" s="1277"/>
      <x:c r="B40" s="1277"/>
      <x:c r="C40" s="1277"/>
      <x:c r="D40" s="1277"/>
      <x:c r="E40" s="1277"/>
      <x:c r="F40" s="1277"/>
      <x:c r="G40" s="1277"/>
      <x:c r="H40" s="1277"/>
      <x:c r="I40" s="1277"/>
      <x:c r="J40" s="1277"/>
      <x:c r="K40" s="1277"/>
      <x:c r="L40" s="1277"/>
      <x:c r="M40" s="1277"/>
      <x:c r="N40" s="1277"/>
      <x:c r="O40" s="1277"/>
      <x:c r="P40" s="2070"/>
      <x:c r="Q40" s="2071"/>
      <x:c r="R40" s="2071"/>
      <x:c r="S40" s="2071"/>
      <x:c r="T40" s="2071"/>
      <x:c r="U40" s="2071"/>
      <x:c r="V40" s="2072"/>
    </x:row>
    <x:row r="41">
      <x:c r="A41" s="1277"/>
      <x:c r="B41" s="1277"/>
      <x:c r="C41" s="1277"/>
      <x:c r="D41" s="1277"/>
      <x:c r="E41" s="1277"/>
      <x:c r="F41" s="1277"/>
      <x:c r="G41" s="1277"/>
      <x:c r="H41" s="2034" t="str">
        <x:v>PARTE + UNIDAD(ES) DE EJECUCIÓN
REALIDAD: tiempo · ubicación/activo · personas · recursos
medición · imputación · evidencia · eventos/desvíos</x:v>
      </x:c>
      <x:c r="I41" s="2035"/>
      <x:c r="J41" s="2035"/>
      <x:c r="K41" s="2035"/>
      <x:c r="L41" s="2035"/>
      <x:c r="M41" s="2035"/>
      <x:c r="N41" s="2035"/>
      <x:c r="O41" s="2036"/>
      <x:c r="P41" s="1277"/>
      <x:c r="Q41" s="1277"/>
      <x:c r="R41" s="1277"/>
      <x:c r="S41" s="1385" t="str">
        <x:v>↓</x:v>
      </x:c>
      <x:c r="T41" s="1277"/>
      <x:c r="U41" s="1277"/>
      <x:c r="V41" s="1277"/>
    </x:row>
    <x:row r="42">
      <x:c r="A42" s="1277"/>
      <x:c r="B42" s="1277"/>
      <x:c r="C42" s="1277"/>
      <x:c r="D42" s="1277"/>
      <x:c r="E42" s="1277"/>
      <x:c r="F42" s="1277"/>
      <x:c r="G42" s="1277"/>
      <x:c r="H42" s="2040"/>
      <x:c r="I42" s="2041"/>
      <x:c r="J42" s="2041"/>
      <x:c r="K42" s="2041"/>
      <x:c r="L42" s="2041"/>
      <x:c r="M42" s="2041"/>
      <x:c r="N42" s="2041"/>
      <x:c r="O42" s="2042"/>
      <x:c r="P42" s="2034" t="str">
        <x:v>LINEA FACTURABLE
→ LOTE → FACTURA</x:v>
      </x:c>
      <x:c r="Q42" s="2035"/>
      <x:c r="R42" s="2035"/>
      <x:c r="S42" s="2035"/>
      <x:c r="T42" s="2035"/>
      <x:c r="U42" s="2035"/>
      <x:c r="V42" s="2036"/>
    </x:row>
    <x:row r="43">
      <x:c r="A43" s="1277"/>
      <x:c r="B43" s="1277"/>
      <x:c r="C43" s="1277"/>
      <x:c r="D43" s="1277"/>
      <x:c r="E43" s="1277"/>
      <x:c r="F43" s="1277"/>
      <x:c r="G43" s="1277"/>
      <x:c r="H43" s="2040"/>
      <x:c r="I43" s="2041"/>
      <x:c r="J43" s="2041"/>
      <x:c r="K43" s="2041"/>
      <x:c r="L43" s="2041"/>
      <x:c r="M43" s="2041"/>
      <x:c r="N43" s="2041"/>
      <x:c r="O43" s="2042"/>
      <x:c r="P43" s="2040"/>
      <x:c r="Q43" s="2041"/>
      <x:c r="R43" s="2041"/>
      <x:c r="S43" s="2041"/>
      <x:c r="T43" s="2041"/>
      <x:c r="U43" s="2041"/>
      <x:c r="V43" s="2042"/>
    </x:row>
    <x:row r="44">
      <x:c r="A44" s="1277"/>
      <x:c r="B44" s="1277"/>
      <x:c r="C44" s="1277"/>
      <x:c r="D44" s="1277"/>
      <x:c r="E44" s="1277"/>
      <x:c r="F44" s="1277"/>
      <x:c r="G44" s="1277"/>
      <x:c r="H44" s="2040"/>
      <x:c r="I44" s="2041"/>
      <x:c r="J44" s="2041"/>
      <x:c r="K44" s="2041"/>
      <x:c r="L44" s="2041"/>
      <x:c r="M44" s="2041"/>
      <x:c r="N44" s="2041"/>
      <x:c r="O44" s="2042"/>
      <x:c r="P44" s="2040"/>
      <x:c r="Q44" s="2041"/>
      <x:c r="R44" s="2041"/>
      <x:c r="S44" s="2041"/>
      <x:c r="T44" s="2041"/>
      <x:c r="U44" s="2041"/>
      <x:c r="V44" s="2042"/>
    </x:row>
    <x:row r="45">
      <x:c r="A45" s="1277"/>
      <x:c r="B45" s="1277"/>
      <x:c r="C45" s="1277"/>
      <x:c r="D45" s="1277"/>
      <x:c r="E45" s="1277"/>
      <x:c r="F45" s="1277"/>
      <x:c r="G45" s="1277"/>
      <x:c r="H45" s="2040"/>
      <x:c r="I45" s="2041"/>
      <x:c r="J45" s="2041"/>
      <x:c r="K45" s="2041"/>
      <x:c r="L45" s="2041"/>
      <x:c r="M45" s="2041"/>
      <x:c r="N45" s="2041"/>
      <x:c r="O45" s="2042"/>
      <x:c r="P45" s="2040"/>
      <x:c r="Q45" s="2041"/>
      <x:c r="R45" s="2041"/>
      <x:c r="S45" s="2041"/>
      <x:c r="T45" s="2041"/>
      <x:c r="U45" s="2041"/>
      <x:c r="V45" s="2042"/>
    </x:row>
    <x:row r="46">
      <x:c r="A46" s="1277"/>
      <x:c r="B46" s="1277"/>
      <x:c r="C46" s="1277"/>
      <x:c r="D46" s="1277"/>
      <x:c r="E46" s="1277"/>
      <x:c r="F46" s="1277"/>
      <x:c r="G46" s="1277"/>
      <x:c r="H46" s="2046"/>
      <x:c r="I46" s="2047"/>
      <x:c r="J46" s="2047"/>
      <x:c r="K46" s="2047"/>
      <x:c r="L46" s="2047"/>
      <x:c r="M46" s="2047"/>
      <x:c r="N46" s="2047"/>
      <x:c r="O46" s="2048"/>
      <x:c r="P46" s="2046"/>
      <x:c r="Q46" s="2047"/>
      <x:c r="R46" s="2047"/>
      <x:c r="S46" s="2047"/>
      <x:c r="T46" s="2047"/>
      <x:c r="U46" s="2047"/>
      <x:c r="V46" s="2048"/>
    </x:row>
    <x:row r="47">
      <x:c r="A47" s="1277"/>
      <x:c r="B47" s="1277"/>
      <x:c r="C47" s="1277"/>
      <x:c r="D47" s="1277"/>
      <x:c r="E47" s="1277"/>
      <x:c r="F47" s="1277"/>
      <x:c r="G47" s="1277"/>
      <x:c r="H47" s="1277"/>
      <x:c r="I47" s="1277"/>
      <x:c r="J47" s="1277"/>
      <x:c r="K47" s="1277"/>
      <x:c r="L47" s="1385" t="str">
        <x:v>↓</x:v>
      </x:c>
      <x:c r="M47" s="1277"/>
      <x:c r="N47" s="1277"/>
      <x:c r="O47" s="1277"/>
      <x:c r="P47" s="1277"/>
      <x:c r="Q47" s="1277"/>
      <x:c r="R47" s="1277"/>
      <x:c r="S47" s="1277"/>
      <x:c r="T47" s="1277"/>
      <x:c r="U47" s="1277"/>
      <x:c r="V47" s="1277"/>
    </x:row>
    <x:row r="48">
      <x:c r="A48" s="1277"/>
      <x:c r="B48" s="1277"/>
      <x:c r="C48" s="1277"/>
      <x:c r="D48" s="1277"/>
      <x:c r="E48" s="1277"/>
      <x:c r="F48" s="1277"/>
      <x:c r="G48" s="1277"/>
      <x:c r="H48" s="2054" t="str">
        <x:v>E4 · REGLAS DE CORTE
+ E5 · CIERRE OPERATIVO
≠ conformidad comercial</x:v>
      </x:c>
      <x:c r="I48" s="2055"/>
      <x:c r="J48" s="2055"/>
      <x:c r="K48" s="2055"/>
      <x:c r="L48" s="2055"/>
      <x:c r="M48" s="2055"/>
      <x:c r="N48" s="2055"/>
      <x:c r="O48" s="2056"/>
      <x:c r="P48" s="1277"/>
      <x:c r="Q48" s="1277"/>
      <x:c r="R48" s="1277"/>
      <x:c r="S48" s="1277"/>
      <x:c r="T48" s="1277"/>
      <x:c r="U48" s="1277"/>
      <x:c r="V48" s="1277"/>
    </x:row>
    <x:row r="49">
      <x:c r="A49" s="1277"/>
      <x:c r="B49" s="1277"/>
      <x:c r="C49" s="1277"/>
      <x:c r="D49" s="1277"/>
      <x:c r="E49" s="1277"/>
      <x:c r="F49" s="1277"/>
      <x:c r="G49" s="1277"/>
      <x:c r="H49" s="2062"/>
      <x:c r="I49" s="2063"/>
      <x:c r="J49" s="2063"/>
      <x:c r="K49" s="2063"/>
      <x:c r="L49" s="2063"/>
      <x:c r="M49" s="2063"/>
      <x:c r="N49" s="2063"/>
      <x:c r="O49" s="2064"/>
      <x:c r="P49" s="1277"/>
      <x:c r="Q49" s="1277"/>
      <x:c r="R49" s="1277"/>
      <x:c r="S49" s="1277"/>
      <x:c r="T49" s="1277"/>
      <x:c r="U49" s="1277"/>
      <x:c r="V49" s="1277"/>
    </x:row>
    <x:row r="50">
      <x:c r="A50" s="1277"/>
      <x:c r="B50" s="1277"/>
      <x:c r="C50" s="1277"/>
      <x:c r="D50" s="1277"/>
      <x:c r="E50" s="1277"/>
      <x:c r="F50" s="1277"/>
      <x:c r="G50" s="1277"/>
      <x:c r="H50" s="2062"/>
      <x:c r="I50" s="2063"/>
      <x:c r="J50" s="2063"/>
      <x:c r="K50" s="2063"/>
      <x:c r="L50" s="2063"/>
      <x:c r="M50" s="2063"/>
      <x:c r="N50" s="2063"/>
      <x:c r="O50" s="2064"/>
      <x:c r="P50" s="1277"/>
      <x:c r="Q50" s="1277"/>
      <x:c r="R50" s="1277"/>
      <x:c r="S50" s="1277"/>
      <x:c r="T50" s="1277"/>
      <x:c r="U50" s="1277"/>
      <x:c r="V50" s="1277"/>
    </x:row>
    <x:row r="51">
      <x:c r="A51" s="1277"/>
      <x:c r="B51" s="1277"/>
      <x:c r="C51" s="1277"/>
      <x:c r="D51" s="1277"/>
      <x:c r="E51" s="1277"/>
      <x:c r="F51" s="1277"/>
      <x:c r="G51" s="1277"/>
      <x:c r="H51" s="2062"/>
      <x:c r="I51" s="2063"/>
      <x:c r="J51" s="2063"/>
      <x:c r="K51" s="2063"/>
      <x:c r="L51" s="2063"/>
      <x:c r="M51" s="2063"/>
      <x:c r="N51" s="2063"/>
      <x:c r="O51" s="2064"/>
      <x:c r="P51" s="1277"/>
      <x:c r="Q51" s="1277"/>
      <x:c r="R51" s="1277"/>
      <x:c r="S51" s="1277"/>
      <x:c r="T51" s="1277"/>
      <x:c r="U51" s="1277"/>
      <x:c r="V51" s="1277"/>
    </x:row>
    <x:row r="52">
      <x:c r="A52" s="1277"/>
      <x:c r="B52" s="1277"/>
      <x:c r="C52" s="1277"/>
      <x:c r="D52" s="1277"/>
      <x:c r="E52" s="1277"/>
      <x:c r="F52" s="1277"/>
      <x:c r="G52" s="1277"/>
      <x:c r="H52" s="2070"/>
      <x:c r="I52" s="2071"/>
      <x:c r="J52" s="2071"/>
      <x:c r="K52" s="2071"/>
      <x:c r="L52" s="2071"/>
      <x:c r="M52" s="2071"/>
      <x:c r="N52" s="2071"/>
      <x:c r="O52" s="2072"/>
      <x:c r="P52" s="1277"/>
      <x:c r="Q52" s="1277"/>
      <x:c r="R52" s="1277"/>
      <x:c r="S52" s="1277"/>
      <x:c r="T52" s="1277"/>
      <x:c r="U52" s="1277"/>
      <x:c r="V52" s="1277"/>
    </x:row>
    <x:row r="53">
      <x:c r="A53" s="1277"/>
      <x:c r="B53" s="1277"/>
      <x:c r="C53" s="1277"/>
      <x:c r="D53" s="1277"/>
      <x:c r="E53" s="1277"/>
      <x:c r="F53" s="1277"/>
      <x:c r="G53" s="1277"/>
      <x:c r="H53" s="1277"/>
      <x:c r="I53" s="1277"/>
      <x:c r="J53" s="1277"/>
      <x:c r="K53" s="1277"/>
      <x:c r="L53" s="1277"/>
      <x:c r="M53" s="1277"/>
      <x:c r="N53" s="1277"/>
      <x:c r="O53" s="1277"/>
      <x:c r="P53" s="1277"/>
      <x:c r="Q53" s="1277"/>
      <x:c r="R53" s="1277"/>
      <x:c r="S53" s="1277"/>
      <x:c r="T53" s="1277"/>
      <x:c r="U53" s="1277"/>
      <x:c r="V53" s="1277"/>
    </x:row>
    <x:row r="54">
      <x:c r="A54" s="1277"/>
      <x:c r="B54" s="1277"/>
      <x:c r="C54" s="1277"/>
      <x:c r="D54" s="1277"/>
      <x:c r="E54" s="1277"/>
      <x:c r="F54" s="1277"/>
      <x:c r="G54" s="1277"/>
      <x:c r="H54" s="1277"/>
      <x:c r="I54" s="1277"/>
      <x:c r="J54" s="1277"/>
      <x:c r="K54" s="1277"/>
      <x:c r="L54" s="1277"/>
      <x:c r="M54" s="1277"/>
      <x:c r="N54" s="1277"/>
      <x:c r="O54" s="1277"/>
      <x:c r="P54" s="1277"/>
      <x:c r="Q54" s="1277"/>
      <x:c r="R54" s="1277"/>
      <x:c r="S54" s="1277"/>
      <x:c r="T54" s="1277"/>
      <x:c r="U54" s="1277"/>
      <x:c r="V54" s="1277"/>
    </x:row>
    <x:row r="55">
      <x:c r="A55" s="1277"/>
      <x:c r="B55" s="1277"/>
      <x:c r="C55" s="1277"/>
      <x:c r="D55" s="1277"/>
      <x:c r="E55" s="1277"/>
      <x:c r="F55" s="1277"/>
      <x:c r="G55" s="1277"/>
      <x:c r="H55" s="2196" t="str">
        <x:v>I-B · VERDAD OPERACIONAL NORMALIZADA → DOMINIO COMERCIAL</x:v>
      </x:c>
      <x:c r="I55" s="2196"/>
      <x:c r="J55" s="2196"/>
      <x:c r="K55" s="2196"/>
      <x:c r="L55" s="2196"/>
      <x:c r="M55" s="2196"/>
      <x:c r="N55" s="2196"/>
      <x:c r="O55" s="2196"/>
      <x:c r="P55" s="2196"/>
      <x:c r="Q55" s="2196"/>
      <x:c r="R55" s="2196"/>
      <x:c r="S55" s="2196"/>
      <x:c r="T55" s="2196"/>
      <x:c r="U55" s="2196"/>
      <x:c r="V55" s="2196"/>
    </x:row>
    <x:row r="56">
      <x:c r="A56" s="1277"/>
      <x:c r="B56" s="1277"/>
      <x:c r="C56" s="1277"/>
      <x:c r="D56" s="1277"/>
      <x:c r="E56" s="1277"/>
      <x:c r="F56" s="1277"/>
      <x:c r="G56" s="1277"/>
      <x:c r="H56" s="2204" t="str">
        <x:v>UnidadEjecución + servicio/ubicación/activo real + timestamps + personas/recursos reales + CC/Item + medición base + evidencias/conformidades + resultado + desvíos + vínculo al snapshot planificado</x:v>
      </x:c>
      <x:c r="I56" s="2204"/>
      <x:c r="J56" s="2204"/>
      <x:c r="K56" s="2204"/>
      <x:c r="L56" s="2204"/>
      <x:c r="M56" s="2204"/>
      <x:c r="N56" s="2204"/>
      <x:c r="O56" s="2204"/>
      <x:c r="P56" s="2204"/>
      <x:c r="Q56" s="2204"/>
      <x:c r="R56" s="2204"/>
      <x:c r="S56" s="2204"/>
      <x:c r="T56" s="2204"/>
      <x:c r="U56" s="2204"/>
      <x:c r="V56" s="2204"/>
    </x:row>
    <x:row r="57">
      <x:c r="A57" s="1277"/>
      <x:c r="B57" s="1277"/>
      <x:c r="C57" s="1277"/>
      <x:c r="D57" s="1277"/>
      <x:c r="E57" s="1277"/>
      <x:c r="F57" s="1277"/>
      <x:c r="G57" s="1277"/>
      <x:c r="H57" s="2204"/>
      <x:c r="I57" s="2204"/>
      <x:c r="J57" s="2204"/>
      <x:c r="K57" s="2204"/>
      <x:c r="L57" s="2204"/>
      <x:c r="M57" s="2204"/>
      <x:c r="N57" s="2204"/>
      <x:c r="O57" s="2204"/>
      <x:c r="P57" s="2204"/>
      <x:c r="Q57" s="2204"/>
      <x:c r="R57" s="2204"/>
      <x:c r="S57" s="2204"/>
      <x:c r="T57" s="2204"/>
      <x:c r="U57" s="2204"/>
      <x:c r="V57" s="2204"/>
    </x:row>
    <x:row r="58">
      <x:c r="A58" s="1277"/>
      <x:c r="B58" s="1277"/>
      <x:c r="C58" s="1277"/>
      <x:c r="D58" s="1277"/>
      <x:c r="E58" s="1277"/>
      <x:c r="F58" s="1277"/>
      <x:c r="G58" s="1277"/>
      <x:c r="H58" s="2204"/>
      <x:c r="I58" s="2204"/>
      <x:c r="J58" s="2204"/>
      <x:c r="K58" s="2204"/>
      <x:c r="L58" s="2204"/>
      <x:c r="M58" s="2204"/>
      <x:c r="N58" s="2204"/>
      <x:c r="O58" s="2204"/>
      <x:c r="P58" s="2204"/>
      <x:c r="Q58" s="2204"/>
      <x:c r="R58" s="2204"/>
      <x:c r="S58" s="2204"/>
      <x:c r="T58" s="2204"/>
      <x:c r="U58" s="2204"/>
      <x:c r="V58" s="2204"/>
    </x:row>
    <x:row r="59">
      <x:c r="A59" s="1277"/>
      <x:c r="B59" s="1277"/>
      <x:c r="C59" s="1277"/>
      <x:c r="D59" s="1277"/>
      <x:c r="E59" s="1277"/>
      <x:c r="F59" s="1277"/>
      <x:c r="G59" s="1277"/>
      <x:c r="H59" s="1277"/>
      <x:c r="I59" s="1277"/>
      <x:c r="J59" s="1277"/>
      <x:c r="K59" s="1277"/>
      <x:c r="L59" s="1277"/>
      <x:c r="M59" s="1277"/>
      <x:c r="N59" s="1277"/>
      <x:c r="O59" s="1277"/>
      <x:c r="P59" s="1277"/>
      <x:c r="Q59" s="1277"/>
      <x:c r="R59" s="1277"/>
      <x:c r="S59" s="1277"/>
      <x:c r="T59" s="1277"/>
      <x:c r="U59" s="1277"/>
      <x:c r="V59" s="1277"/>
    </x:row>
    <x:row r="60">
      <x:c r="A60" s="1277"/>
      <x:c r="B60" s="1277"/>
      <x:c r="C60" s="1277"/>
      <x:c r="D60" s="1277"/>
      <x:c r="E60" s="1277"/>
      <x:c r="F60" s="1277"/>
      <x:c r="G60" s="1277"/>
      <x:c r="H60" s="1277"/>
      <x:c r="I60" s="1277"/>
      <x:c r="J60" s="1277"/>
      <x:c r="K60" s="1277"/>
      <x:c r="L60" s="1277"/>
      <x:c r="M60" s="1277"/>
      <x:c r="N60" s="1277"/>
      <x:c r="O60" s="1277"/>
      <x:c r="P60" s="1277"/>
      <x:c r="Q60" s="1277"/>
      <x:c r="R60" s="1277"/>
      <x:c r="S60" s="1277"/>
      <x:c r="T60" s="1277"/>
      <x:c r="U60" s="1277"/>
      <x:c r="V60" s="1277"/>
    </x:row>
    <x:row r="61">
      <x:c r="A61" s="2089" t="str">
        <x:v>EXCEPCIONES CONTROLADAS · NO ROMPEN EL MODELO</x:v>
      </x:c>
      <x:c r="B61" s="2089"/>
      <x:c r="C61" s="2089"/>
      <x:c r="D61" s="2089"/>
      <x:c r="E61" s="2089"/>
      <x:c r="F61" s="2089"/>
      <x:c r="G61" s="2089"/>
      <x:c r="H61" s="2089"/>
      <x:c r="I61" s="2089"/>
      <x:c r="J61" s="2089"/>
      <x:c r="K61" s="2089"/>
      <x:c r="L61" s="2089"/>
      <x:c r="M61" s="2089"/>
      <x:c r="N61" s="2089"/>
      <x:c r="O61" s="2089"/>
      <x:c r="P61" s="2089"/>
      <x:c r="Q61" s="2089"/>
      <x:c r="R61" s="2089"/>
      <x:c r="S61" s="2089"/>
      <x:c r="T61" s="2089"/>
      <x:c r="U61" s="2089"/>
      <x:c r="V61" s="2089"/>
    </x:row>
    <x:row r="62">
      <x:c r="A62" s="1277"/>
      <x:c r="B62" s="1277"/>
      <x:c r="C62" s="1277"/>
      <x:c r="D62" s="1277"/>
      <x:c r="E62" s="1277"/>
      <x:c r="F62" s="1277"/>
      <x:c r="G62" s="1277"/>
      <x:c r="H62" s="1277"/>
      <x:c r="I62" s="1277"/>
      <x:c r="J62" s="1277"/>
      <x:c r="K62" s="1277"/>
      <x:c r="L62" s="1277"/>
      <x:c r="M62" s="1277"/>
      <x:c r="N62" s="1277"/>
      <x:c r="O62" s="1277"/>
      <x:c r="P62" s="1277"/>
      <x:c r="Q62" s="1277"/>
      <x:c r="R62" s="1277"/>
      <x:c r="S62" s="1277"/>
      <x:c r="T62" s="1277"/>
      <x:c r="U62" s="1277"/>
      <x:c r="V62" s="1277"/>
    </x:row>
    <x:row r="63">
      <x:c r="A63" s="2057" t="str">
        <x:v>REPLANIFICACIÓN
→ nueva versión
no reescribe pasado</x:v>
      </x:c>
      <x:c r="B63" s="2058"/>
      <x:c r="C63" s="2058"/>
      <x:c r="D63" s="2058"/>
      <x:c r="E63" s="2059"/>
      <x:c r="F63" s="1277"/>
      <x:c r="G63" s="2057" t="str">
        <x:v>FUERA DE PLAN
motivo + contexto mínimo
sin menú libre de Partes</x:v>
      </x:c>
      <x:c r="H63" s="2058"/>
      <x:c r="I63" s="2058"/>
      <x:c r="J63" s="2058"/>
      <x:c r="K63" s="2059"/>
      <x:c r="L63" s="1277"/>
      <x:c r="M63" s="2057" t="str">
        <x:v>PTW SUSPENDIDO /
HANDOVER
pausa trabajo, no Parte</x:v>
      </x:c>
      <x:c r="N63" s="2058"/>
      <x:c r="O63" s="2058"/>
      <x:c r="P63" s="2058"/>
      <x:c r="Q63" s="2059"/>
      <x:c r="R63" s="1277"/>
      <x:c r="S63" s="2057" t="str">
        <x:v>OBSERVACIÓN / AJUSTE
COMERCIAL
no editar Parte</x:v>
      </x:c>
      <x:c r="T63" s="2058"/>
      <x:c r="U63" s="2058"/>
      <x:c r="V63" s="2059"/>
    </x:row>
    <x:row r="64">
      <x:c r="A64" s="2065"/>
      <x:c r="B64" s="2066"/>
      <x:c r="C64" s="2066"/>
      <x:c r="D64" s="2066"/>
      <x:c r="E64" s="2067"/>
      <x:c r="F64" s="1277"/>
      <x:c r="G64" s="2065"/>
      <x:c r="H64" s="2066"/>
      <x:c r="I64" s="2066"/>
      <x:c r="J64" s="2066"/>
      <x:c r="K64" s="2067"/>
      <x:c r="L64" s="1277"/>
      <x:c r="M64" s="2065"/>
      <x:c r="N64" s="2066"/>
      <x:c r="O64" s="2066"/>
      <x:c r="P64" s="2066"/>
      <x:c r="Q64" s="2067"/>
      <x:c r="R64" s="1277"/>
      <x:c r="S64" s="2065"/>
      <x:c r="T64" s="2066"/>
      <x:c r="U64" s="2066"/>
      <x:c r="V64" s="2067"/>
    </x:row>
    <x:row r="65">
      <x:c r="A65" s="2065"/>
      <x:c r="B65" s="2066"/>
      <x:c r="C65" s="2066"/>
      <x:c r="D65" s="2066"/>
      <x:c r="E65" s="2067"/>
      <x:c r="F65" s="1277"/>
      <x:c r="G65" s="2065"/>
      <x:c r="H65" s="2066"/>
      <x:c r="I65" s="2066"/>
      <x:c r="J65" s="2066"/>
      <x:c r="K65" s="2067"/>
      <x:c r="L65" s="1277"/>
      <x:c r="M65" s="2065"/>
      <x:c r="N65" s="2066"/>
      <x:c r="O65" s="2066"/>
      <x:c r="P65" s="2066"/>
      <x:c r="Q65" s="2067"/>
      <x:c r="R65" s="1277"/>
      <x:c r="S65" s="2065"/>
      <x:c r="T65" s="2066"/>
      <x:c r="U65" s="2066"/>
      <x:c r="V65" s="2067"/>
    </x:row>
    <x:row r="66">
      <x:c r="A66" s="2065"/>
      <x:c r="B66" s="2066"/>
      <x:c r="C66" s="2066"/>
      <x:c r="D66" s="2066"/>
      <x:c r="E66" s="2067"/>
      <x:c r="F66" s="1277"/>
      <x:c r="G66" s="2065"/>
      <x:c r="H66" s="2066"/>
      <x:c r="I66" s="2066"/>
      <x:c r="J66" s="2066"/>
      <x:c r="K66" s="2067"/>
      <x:c r="L66" s="1277"/>
      <x:c r="M66" s="2065"/>
      <x:c r="N66" s="2066"/>
      <x:c r="O66" s="2066"/>
      <x:c r="P66" s="2066"/>
      <x:c r="Q66" s="2067"/>
      <x:c r="R66" s="1277"/>
      <x:c r="S66" s="2065"/>
      <x:c r="T66" s="2066"/>
      <x:c r="U66" s="2066"/>
      <x:c r="V66" s="2067"/>
    </x:row>
    <x:row r="67">
      <x:c r="A67" s="2073"/>
      <x:c r="B67" s="2074"/>
      <x:c r="C67" s="2074"/>
      <x:c r="D67" s="2074"/>
      <x:c r="E67" s="2075"/>
      <x:c r="F67" s="1277"/>
      <x:c r="G67" s="2073"/>
      <x:c r="H67" s="2074"/>
      <x:c r="I67" s="2074"/>
      <x:c r="J67" s="2074"/>
      <x:c r="K67" s="2075"/>
      <x:c r="L67" s="1277"/>
      <x:c r="M67" s="2073"/>
      <x:c r="N67" s="2074"/>
      <x:c r="O67" s="2074"/>
      <x:c r="P67" s="2074"/>
      <x:c r="Q67" s="2075"/>
      <x:c r="R67" s="1277"/>
      <x:c r="S67" s="2073"/>
      <x:c r="T67" s="2074"/>
      <x:c r="U67" s="2074"/>
      <x:c r="V67" s="2075"/>
    </x:row>
    <x:row r="68">
      <x:c r="A68" s="1277"/>
      <x:c r="B68" s="1277"/>
      <x:c r="C68" s="1277"/>
      <x:c r="D68" s="1277"/>
      <x:c r="E68" s="1277"/>
      <x:c r="F68" s="1277"/>
      <x:c r="G68" s="1277"/>
      <x:c r="H68" s="1277"/>
      <x:c r="I68" s="1277"/>
      <x:c r="J68" s="1277"/>
      <x:c r="K68" s="1277"/>
      <x:c r="L68" s="1277"/>
      <x:c r="M68" s="1277"/>
      <x:c r="N68" s="1277"/>
      <x:c r="O68" s="1277"/>
      <x:c r="P68" s="1277"/>
      <x:c r="Q68" s="1277"/>
      <x:c r="R68" s="1277"/>
      <x:c r="S68" s="1277"/>
      <x:c r="T68" s="1277"/>
      <x:c r="U68" s="1277"/>
      <x:c r="V68" s="1277"/>
    </x:row>
    <x:row r="69">
      <x:c r="A69" s="1277"/>
      <x:c r="B69" s="1277"/>
      <x:c r="C69" s="1277"/>
      <x:c r="D69" s="1277"/>
      <x:c r="E69" s="1277"/>
      <x:c r="F69" s="1277"/>
      <x:c r="G69" s="1277"/>
      <x:c r="H69" s="1277"/>
      <x:c r="I69" s="1277"/>
      <x:c r="J69" s="1277"/>
      <x:c r="K69" s="1277"/>
      <x:c r="L69" s="1277"/>
      <x:c r="M69" s="1277"/>
      <x:c r="N69" s="1277"/>
      <x:c r="O69" s="1277"/>
      <x:c r="P69" s="1277"/>
      <x:c r="Q69" s="1277"/>
      <x:c r="R69" s="1277"/>
      <x:c r="S69" s="1277"/>
      <x:c r="T69" s="1277"/>
      <x:c r="U69" s="1277"/>
      <x:c r="V69" s="1277"/>
    </x:row>
    <x:row r="70">
      <x:c r="A70" s="2089" t="str">
        <x:v>RAILS TRANSVERSALES · PRESENTES DE PUNTA A PUNTA</x:v>
      </x:c>
      <x:c r="B70" s="2089"/>
      <x:c r="C70" s="2089"/>
      <x:c r="D70" s="2089"/>
      <x:c r="E70" s="2089"/>
      <x:c r="F70" s="2089"/>
      <x:c r="G70" s="2089"/>
      <x:c r="H70" s="2089"/>
      <x:c r="I70" s="2089"/>
      <x:c r="J70" s="2089"/>
      <x:c r="K70" s="2089"/>
      <x:c r="L70" s="2089"/>
      <x:c r="M70" s="2089"/>
      <x:c r="N70" s="2089"/>
      <x:c r="O70" s="2089"/>
      <x:c r="P70" s="2089"/>
      <x:c r="Q70" s="2089"/>
      <x:c r="R70" s="2089"/>
      <x:c r="S70" s="2089"/>
      <x:c r="T70" s="2089"/>
      <x:c r="U70" s="2089"/>
      <x:c r="V70" s="2089"/>
    </x:row>
    <x:row r="71">
      <x:c r="A71" s="1277"/>
      <x:c r="B71" s="1277"/>
      <x:c r="C71" s="1277"/>
      <x:c r="D71" s="1277"/>
      <x:c r="E71" s="1277"/>
      <x:c r="F71" s="1277"/>
      <x:c r="G71" s="1277"/>
      <x:c r="H71" s="1277"/>
      <x:c r="I71" s="1277"/>
      <x:c r="J71" s="1277"/>
      <x:c r="K71" s="1277"/>
      <x:c r="L71" s="1277"/>
      <x:c r="M71" s="1277"/>
      <x:c r="N71" s="1277"/>
      <x:c r="O71" s="1277"/>
      <x:c r="P71" s="1277"/>
      <x:c r="Q71" s="1277"/>
      <x:c r="R71" s="1277"/>
      <x:c r="S71" s="1277"/>
      <x:c r="T71" s="1277"/>
      <x:c r="U71" s="1277"/>
      <x:c r="V71" s="1277"/>
    </x:row>
    <x:row r="72">
      <x:c r="A72" s="2034" t="str">
        <x:v>R1 · CONTROL DOCUMENTAL
vigencias · competencias · recursos
pre-check futuro + revalidación</x:v>
      </x:c>
      <x:c r="B72" s="2035"/>
      <x:c r="C72" s="2035"/>
      <x:c r="D72" s="2035"/>
      <x:c r="E72" s="2035"/>
      <x:c r="F72" s="2036"/>
      <x:c r="G72" s="2034" t="str">
        <x:v>R2 · DERIVACIÓN AUTOMÁTICA
perfil · ubicación · servicio
contrato · TipoParte · ítem</x:v>
      </x:c>
      <x:c r="H72" s="2035"/>
      <x:c r="I72" s="2035"/>
      <x:c r="J72" s="2035"/>
      <x:c r="K72" s="2035"/>
      <x:c r="L72" s="2036"/>
      <x:c r="M72" s="2034" t="str">
        <x:v>R3 · ANTICIPACIÓN
readiness · vencimientos · faltantes
firma/evidencia · backlog comercial</x:v>
      </x:c>
      <x:c r="N72" s="2035"/>
      <x:c r="O72" s="2035"/>
      <x:c r="P72" s="2035"/>
      <x:c r="Q72" s="2035"/>
      <x:c r="R72" s="2036"/>
      <x:c r="S72" s="2034" t="str">
        <x:v>R4 · TRAZABILIDAD
versiones · snapshots · eventos
PTW · observaciones · ajustes</x:v>
      </x:c>
      <x:c r="T72" s="2035"/>
      <x:c r="U72" s="2035"/>
      <x:c r="V72" s="2036"/>
    </x:row>
    <x:row r="73">
      <x:c r="A73" s="2040"/>
      <x:c r="B73" s="2041"/>
      <x:c r="C73" s="2041"/>
      <x:c r="D73" s="2041"/>
      <x:c r="E73" s="2041"/>
      <x:c r="F73" s="2042"/>
      <x:c r="G73" s="2040"/>
      <x:c r="H73" s="2041"/>
      <x:c r="I73" s="2041"/>
      <x:c r="J73" s="2041"/>
      <x:c r="K73" s="2041"/>
      <x:c r="L73" s="2042"/>
      <x:c r="M73" s="2040"/>
      <x:c r="N73" s="2041"/>
      <x:c r="O73" s="2041"/>
      <x:c r="P73" s="2041"/>
      <x:c r="Q73" s="2041"/>
      <x:c r="R73" s="2042"/>
      <x:c r="S73" s="2040"/>
      <x:c r="T73" s="2041"/>
      <x:c r="U73" s="2041"/>
      <x:c r="V73" s="2042"/>
    </x:row>
    <x:row r="74">
      <x:c r="A74" s="2040"/>
      <x:c r="B74" s="2041"/>
      <x:c r="C74" s="2041"/>
      <x:c r="D74" s="2041"/>
      <x:c r="E74" s="2041"/>
      <x:c r="F74" s="2042"/>
      <x:c r="G74" s="2040"/>
      <x:c r="H74" s="2041"/>
      <x:c r="I74" s="2041"/>
      <x:c r="J74" s="2041"/>
      <x:c r="K74" s="2041"/>
      <x:c r="L74" s="2042"/>
      <x:c r="M74" s="2040"/>
      <x:c r="N74" s="2041"/>
      <x:c r="O74" s="2041"/>
      <x:c r="P74" s="2041"/>
      <x:c r="Q74" s="2041"/>
      <x:c r="R74" s="2042"/>
      <x:c r="S74" s="2040"/>
      <x:c r="T74" s="2041"/>
      <x:c r="U74" s="2041"/>
      <x:c r="V74" s="2042"/>
    </x:row>
    <x:row r="75">
      <x:c r="A75" s="2040"/>
      <x:c r="B75" s="2041"/>
      <x:c r="C75" s="2041"/>
      <x:c r="D75" s="2041"/>
      <x:c r="E75" s="2041"/>
      <x:c r="F75" s="2042"/>
      <x:c r="G75" s="2040"/>
      <x:c r="H75" s="2041"/>
      <x:c r="I75" s="2041"/>
      <x:c r="J75" s="2041"/>
      <x:c r="K75" s="2041"/>
      <x:c r="L75" s="2042"/>
      <x:c r="M75" s="2040"/>
      <x:c r="N75" s="2041"/>
      <x:c r="O75" s="2041"/>
      <x:c r="P75" s="2041"/>
      <x:c r="Q75" s="2041"/>
      <x:c r="R75" s="2042"/>
      <x:c r="S75" s="2040"/>
      <x:c r="T75" s="2041"/>
      <x:c r="U75" s="2041"/>
      <x:c r="V75" s="2042"/>
    </x:row>
    <x:row r="76">
      <x:c r="A76" s="2046"/>
      <x:c r="B76" s="2047"/>
      <x:c r="C76" s="2047"/>
      <x:c r="D76" s="2047"/>
      <x:c r="E76" s="2047"/>
      <x:c r="F76" s="2048"/>
      <x:c r="G76" s="2046"/>
      <x:c r="H76" s="2047"/>
      <x:c r="I76" s="2047"/>
      <x:c r="J76" s="2047"/>
      <x:c r="K76" s="2047"/>
      <x:c r="L76" s="2048"/>
      <x:c r="M76" s="2046"/>
      <x:c r="N76" s="2047"/>
      <x:c r="O76" s="2047"/>
      <x:c r="P76" s="2047"/>
      <x:c r="Q76" s="2047"/>
      <x:c r="R76" s="2048"/>
      <x:c r="S76" s="2046"/>
      <x:c r="T76" s="2047"/>
      <x:c r="U76" s="2047"/>
      <x:c r="V76" s="2048"/>
    </x:row>
    <x:row r="77">
      <x:c r="A77" s="1277"/>
      <x:c r="B77" s="1277"/>
      <x:c r="C77" s="1277"/>
      <x:c r="D77" s="1277"/>
      <x:c r="E77" s="1277"/>
      <x:c r="F77" s="1277"/>
      <x:c r="G77" s="1277"/>
      <x:c r="H77" s="1277"/>
      <x:c r="I77" s="1277"/>
      <x:c r="J77" s="1277"/>
      <x:c r="K77" s="1277"/>
      <x:c r="L77" s="1277"/>
      <x:c r="M77" s="1277"/>
      <x:c r="N77" s="1277"/>
      <x:c r="O77" s="1277"/>
      <x:c r="P77" s="1277"/>
      <x:c r="Q77" s="1277"/>
      <x:c r="R77" s="1277"/>
      <x:c r="S77" s="1277"/>
      <x:c r="T77" s="1277"/>
      <x:c r="U77" s="1277"/>
      <x:c r="V77" s="1277"/>
    </x:row>
    <x:row r="78">
      <x:c r="A78" s="1277"/>
      <x:c r="B78" s="1277"/>
      <x:c r="C78" s="1277"/>
      <x:c r="D78" s="1277"/>
      <x:c r="E78" s="1277"/>
      <x:c r="F78" s="1277"/>
      <x:c r="G78" s="1277"/>
      <x:c r="H78" s="1277"/>
      <x:c r="I78" s="1277"/>
      <x:c r="J78" s="1277"/>
      <x:c r="K78" s="1277"/>
      <x:c r="L78" s="1277"/>
      <x:c r="M78" s="1277"/>
      <x:c r="N78" s="1277"/>
      <x:c r="O78" s="1277"/>
      <x:c r="P78" s="1277"/>
      <x:c r="Q78" s="1277"/>
      <x:c r="R78" s="1277"/>
      <x:c r="S78" s="1277"/>
      <x:c r="T78" s="1277"/>
      <x:c r="U78" s="1277"/>
      <x:c r="V78" s="1277"/>
    </x:row>
    <x:row r="79">
      <x:c r="A79" s="2089" t="str">
        <x:v>ESCALERA DE MADUREZ · ESTADOS DE DISTINTOS DOMINIOS</x:v>
      </x:c>
      <x:c r="B79" s="2089"/>
      <x:c r="C79" s="2089"/>
      <x:c r="D79" s="2089"/>
      <x:c r="E79" s="2089"/>
      <x:c r="F79" s="2089"/>
      <x:c r="G79" s="2089"/>
      <x:c r="H79" s="2089"/>
      <x:c r="I79" s="2089"/>
      <x:c r="J79" s="2089"/>
      <x:c r="K79" s="2089"/>
      <x:c r="L79" s="2089"/>
      <x:c r="M79" s="2089"/>
      <x:c r="N79" s="2089"/>
      <x:c r="O79" s="2089"/>
      <x:c r="P79" s="2089"/>
      <x:c r="Q79" s="2089"/>
      <x:c r="R79" s="2089"/>
      <x:c r="S79" s="2089"/>
      <x:c r="T79" s="2089"/>
      <x:c r="U79" s="2089"/>
      <x:c r="V79" s="2089"/>
    </x:row>
    <x:row r="80">
      <x:c r="A80" s="1277"/>
      <x:c r="B80" s="1277"/>
      <x:c r="C80" s="1277"/>
      <x:c r="D80" s="1277"/>
      <x:c r="E80" s="1277"/>
      <x:c r="F80" s="1277"/>
      <x:c r="G80" s="1277"/>
      <x:c r="H80" s="1277"/>
      <x:c r="I80" s="1277"/>
      <x:c r="J80" s="1277"/>
      <x:c r="K80" s="1277"/>
      <x:c r="L80" s="1277"/>
      <x:c r="M80" s="1277"/>
      <x:c r="N80" s="1277"/>
      <x:c r="O80" s="1277"/>
      <x:c r="P80" s="1277"/>
      <x:c r="Q80" s="1277"/>
      <x:c r="R80" s="1277"/>
      <x:c r="S80" s="1277"/>
      <x:c r="T80" s="1277"/>
      <x:c r="U80" s="1277"/>
      <x:c r="V80" s="1277"/>
    </x:row>
    <x:row r="81">
      <x:c r="A81" s="2034" t="str">
        <x:v>PLANIFICADO
/ READY</x:v>
      </x:c>
      <x:c r="B81" s="2035"/>
      <x:c r="C81" s="2036"/>
      <x:c r="D81" s="1277"/>
      <x:c r="E81" s="2034" t="str">
        <x:v>EN
EJECUCIÓN</x:v>
      </x:c>
      <x:c r="F81" s="2035"/>
      <x:c r="G81" s="2036"/>
      <x:c r="H81" s="1277"/>
      <x:c r="I81" s="2034" t="str">
        <x:v>CERRADO
OPERATIVAMENTE</x:v>
      </x:c>
      <x:c r="J81" s="2035"/>
      <x:c r="K81" s="2036"/>
      <x:c r="L81" s="1277"/>
      <x:c r="M81" s="2034" t="str">
        <x:v>DOCUMENTALMENTE
COMPLETO</x:v>
      </x:c>
      <x:c r="N81" s="2035"/>
      <x:c r="O81" s="2036"/>
      <x:c r="P81" s="1277"/>
      <x:c r="Q81" s="2034" t="str">
        <x:v>CERTIFICADO</x:v>
      </x:c>
      <x:c r="R81" s="2035"/>
      <x:c r="S81" s="2036"/>
      <x:c r="T81" s="1277"/>
      <x:c r="U81" s="2034" t="str">
        <x:v>FACTURADO</x:v>
      </x:c>
      <x:c r="V81" s="2036"/>
    </x:row>
    <x:row r="82">
      <x:c r="A82" s="2040"/>
      <x:c r="B82" s="2041"/>
      <x:c r="C82" s="2042"/>
      <x:c r="D82" s="1297" t="str">
        <x:v>→</x:v>
      </x:c>
      <x:c r="E82" s="2040"/>
      <x:c r="F82" s="2041"/>
      <x:c r="G82" s="2042"/>
      <x:c r="H82" s="1297" t="str">
        <x:v>→</x:v>
      </x:c>
      <x:c r="I82" s="2040"/>
      <x:c r="J82" s="2041"/>
      <x:c r="K82" s="2042"/>
      <x:c r="L82" s="1297" t="str">
        <x:v>→</x:v>
      </x:c>
      <x:c r="M82" s="2040"/>
      <x:c r="N82" s="2041"/>
      <x:c r="O82" s="2042"/>
      <x:c r="P82" s="1297" t="str">
        <x:v>→</x:v>
      </x:c>
      <x:c r="Q82" s="2040"/>
      <x:c r="R82" s="2041"/>
      <x:c r="S82" s="2042"/>
      <x:c r="T82" s="1297" t="str">
        <x:v>→</x:v>
      </x:c>
      <x:c r="U82" s="2040"/>
      <x:c r="V82" s="2042"/>
    </x:row>
    <x:row r="83">
      <x:c r="A83" s="2040"/>
      <x:c r="B83" s="2041"/>
      <x:c r="C83" s="2042"/>
      <x:c r="D83" s="1277"/>
      <x:c r="E83" s="2040"/>
      <x:c r="F83" s="2041"/>
      <x:c r="G83" s="2042"/>
      <x:c r="H83" s="1277"/>
      <x:c r="I83" s="2040"/>
      <x:c r="J83" s="2041"/>
      <x:c r="K83" s="2042"/>
      <x:c r="L83" s="1277"/>
      <x:c r="M83" s="2040"/>
      <x:c r="N83" s="2041"/>
      <x:c r="O83" s="2042"/>
      <x:c r="P83" s="1277"/>
      <x:c r="Q83" s="2040"/>
      <x:c r="R83" s="2041"/>
      <x:c r="S83" s="2042"/>
      <x:c r="T83" s="1277"/>
      <x:c r="U83" s="2040"/>
      <x:c r="V83" s="2042"/>
    </x:row>
    <x:row r="84">
      <x:c r="A84" s="2046"/>
      <x:c r="B84" s="2047"/>
      <x:c r="C84" s="2048"/>
      <x:c r="D84" s="1277"/>
      <x:c r="E84" s="2046"/>
      <x:c r="F84" s="2047"/>
      <x:c r="G84" s="2048"/>
      <x:c r="H84" s="1277"/>
      <x:c r="I84" s="2046"/>
      <x:c r="J84" s="2047"/>
      <x:c r="K84" s="2048"/>
      <x:c r="L84" s="1277"/>
      <x:c r="M84" s="2046"/>
      <x:c r="N84" s="2047"/>
      <x:c r="O84" s="2048"/>
      <x:c r="P84" s="1277"/>
      <x:c r="Q84" s="2046"/>
      <x:c r="R84" s="2047"/>
      <x:c r="S84" s="2048"/>
      <x:c r="T84" s="1277"/>
      <x:c r="U84" s="2046"/>
      <x:c r="V84" s="2048"/>
    </x:row>
    <x:row r="85">
      <x:c r="A85" s="1277"/>
      <x:c r="B85" s="1277"/>
      <x:c r="C85" s="1277"/>
      <x:c r="D85" s="1277"/>
      <x:c r="E85" s="1277"/>
      <x:c r="F85" s="1277"/>
      <x:c r="G85" s="1277"/>
      <x:c r="H85" s="1277"/>
      <x:c r="I85" s="1277"/>
      <x:c r="J85" s="1277"/>
      <x:c r="K85" s="1277"/>
      <x:c r="L85" s="1277"/>
      <x:c r="M85" s="1277"/>
      <x:c r="N85" s="1277"/>
      <x:c r="O85" s="1277"/>
      <x:c r="P85" s="1277"/>
      <x:c r="Q85" s="1277"/>
      <x:c r="R85" s="1277"/>
      <x:c r="S85" s="1277"/>
      <x:c r="T85" s="1277"/>
      <x:c r="U85" s="1277"/>
      <x:c r="V85" s="1277"/>
    </x:row>
    <x:row r="86">
      <x:c r="A86" s="1277"/>
      <x:c r="B86" s="1277"/>
      <x:c r="C86" s="1277"/>
      <x:c r="D86" s="1277"/>
      <x:c r="E86" s="1277"/>
      <x:c r="F86" s="1277"/>
      <x:c r="G86" s="1277"/>
      <x:c r="H86" s="1277"/>
      <x:c r="I86" s="1277"/>
      <x:c r="J86" s="1277"/>
      <x:c r="K86" s="1277"/>
      <x:c r="L86" s="1277"/>
      <x:c r="M86" s="1277"/>
      <x:c r="N86" s="1277"/>
      <x:c r="O86" s="1277"/>
      <x:c r="P86" s="1277"/>
      <x:c r="Q86" s="1277"/>
      <x:c r="R86" s="1277"/>
      <x:c r="S86" s="1277"/>
      <x:c r="T86" s="1277"/>
      <x:c r="U86" s="1277"/>
      <x:c r="V86" s="1277"/>
    </x:row>
    <x:row r="87">
      <x:c r="A87" s="2190" t="str">
        <x:v>QUÉ FALTA PARA CONVERTIR REV D.3 EN EL DIAGRAMA FINAL</x:v>
      </x:c>
      <x:c r="B87" s="2190"/>
      <x:c r="C87" s="2190"/>
      <x:c r="D87" s="2190"/>
      <x:c r="E87" s="2190"/>
      <x:c r="F87" s="2190"/>
      <x:c r="G87" s="2190"/>
      <x:c r="H87" s="2190"/>
      <x:c r="I87" s="2190"/>
      <x:c r="J87" s="2190"/>
      <x:c r="K87" s="2190"/>
      <x:c r="L87" s="2190"/>
      <x:c r="M87" s="2190"/>
      <x:c r="N87" s="2190"/>
      <x:c r="O87" s="2190"/>
      <x:c r="P87" s="2190"/>
      <x:c r="Q87" s="2190"/>
      <x:c r="R87" s="2190"/>
      <x:c r="S87" s="2190"/>
      <x:c r="T87" s="2190"/>
      <x:c r="U87" s="2190"/>
      <x:c r="V87" s="2190"/>
    </x:row>
    <x:row r="88" ht="34" customHeight="1">
      <x:c r="A88" s="1327" t="str">
        <x:v>1</x:v>
      </x:c>
      <x:c r="B88" s="1327" t="str">
        <x:v>Validar frontera/handovers de TP-01 y decidir TP-04 Habilita.</x:v>
      </x:c>
      <x:c r="C88" s="1327"/>
      <x:c r="D88" s="1327"/>
      <x:c r="E88" s="1327"/>
      <x:c r="F88" s="1327"/>
      <x:c r="G88" s="1327"/>
      <x:c r="H88" s="1327"/>
      <x:c r="I88" s="1327"/>
      <x:c r="J88" s="1327"/>
      <x:c r="K88" s="1327"/>
      <x:c r="L88" s="1327"/>
      <x:c r="M88" s="1327"/>
      <x:c r="N88" s="1327"/>
      <x:c r="O88" s="1327"/>
      <x:c r="P88" s="1327"/>
      <x:c r="Q88" s="1327"/>
      <x:c r="R88" s="1327"/>
      <x:c r="S88" s="1327"/>
      <x:c r="T88" s="1327"/>
      <x:c r="U88" s="1327"/>
      <x:c r="V88" s="1327"/>
    </x:row>
    <x:row r="89" ht="34" customHeight="1">
      <x:c r="A89" s="1327" t="str">
        <x:v>2</x:v>
      </x:c>
      <x:c r="B89" s="1327" t="str">
        <x:v>Recibir contratos reales para reemplazar slots de ítems/UM/reglas.</x:v>
      </x:c>
      <x:c r="C89" s="1327"/>
      <x:c r="D89" s="1327"/>
      <x:c r="E89" s="1327"/>
      <x:c r="F89" s="1327"/>
      <x:c r="G89" s="1327"/>
      <x:c r="H89" s="1327"/>
      <x:c r="I89" s="1327"/>
      <x:c r="J89" s="1327"/>
      <x:c r="K89" s="1327"/>
      <x:c r="L89" s="1327"/>
      <x:c r="M89" s="1327"/>
      <x:c r="N89" s="1327"/>
      <x:c r="O89" s="1327"/>
      <x:c r="P89" s="1327"/>
      <x:c r="Q89" s="1327"/>
      <x:c r="R89" s="1327"/>
      <x:c r="S89" s="1327"/>
      <x:c r="T89" s="1327"/>
      <x:c r="U89" s="1327"/>
      <x:c r="V89" s="1327"/>
    </x:row>
    <x:row r="90" ht="34" customHeight="1">
      <x:c r="A90" s="1327" t="str">
        <x:v>3</x:v>
      </x:c>
      <x:c r="B90" s="1327" t="str">
        <x:v>Cerrar certificación parcial, alcance de conformidad y agrupación de factura.</x:v>
      </x:c>
      <x:c r="C90" s="1327"/>
      <x:c r="D90" s="1327"/>
      <x:c r="E90" s="1327"/>
      <x:c r="F90" s="1327"/>
      <x:c r="G90" s="1327"/>
      <x:c r="H90" s="1327"/>
      <x:c r="I90" s="1327"/>
      <x:c r="J90" s="1327"/>
      <x:c r="K90" s="1327"/>
      <x:c r="L90" s="1327"/>
      <x:c r="M90" s="1327"/>
      <x:c r="N90" s="1327"/>
      <x:c r="O90" s="1327"/>
      <x:c r="P90" s="1327"/>
      <x:c r="Q90" s="1327"/>
      <x:c r="R90" s="1327"/>
      <x:c r="S90" s="1327"/>
      <x:c r="T90" s="1327"/>
      <x:c r="U90" s="1327"/>
      <x:c r="V90" s="1327"/>
    </x:row>
    <x:row r="91" ht="34" customHeight="1">
      <x:c r="A91" s="1327" t="str">
        <x:v>4</x:v>
      </x:c>
      <x:c r="B91" s="1327" t="str">
        <x:v>Pasar esta arquitectura a imagen final vectorial/PNG con buses, compuertas y máquinas de estado legibles.</x:v>
      </x:c>
      <x:c r="C91" s="1327"/>
      <x:c r="D91" s="1327"/>
      <x:c r="E91" s="1327"/>
      <x:c r="F91" s="1327"/>
      <x:c r="G91" s="1327"/>
      <x:c r="H91" s="1327"/>
      <x:c r="I91" s="1327"/>
      <x:c r="J91" s="1327"/>
      <x:c r="K91" s="1327"/>
      <x:c r="L91" s="1327"/>
      <x:c r="M91" s="1327"/>
      <x:c r="N91" s="1327"/>
      <x:c r="O91" s="1327"/>
      <x:c r="P91" s="1327"/>
      <x:c r="Q91" s="1327"/>
      <x:c r="R91" s="1327"/>
      <x:c r="S91" s="1327"/>
      <x:c r="T91" s="1327"/>
      <x:c r="U91" s="1327"/>
      <x:c r="V91" s="1327"/>
    </x:row>
  </x:sheetData>
  <x:mergeCells>
    <x:mergeCell ref="A1:V1"/>
    <x:mergeCell ref="A2:V2"/>
    <x:mergeCell ref="A4:V4"/>
    <x:mergeCell ref="A6:D9"/>
    <x:mergeCell ref="F6:I9"/>
    <x:mergeCell ref="K6:N9"/>
    <x:mergeCell ref="P6:V9"/>
    <x:mergeCell ref="A12:G12"/>
    <x:mergeCell ref="H12:O12"/>
    <x:mergeCell ref="P12:V12"/>
    <x:mergeCell ref="A14:G17"/>
    <x:mergeCell ref="A19:G22"/>
    <x:mergeCell ref="A24:G28"/>
    <x:mergeCell ref="A30:G33"/>
    <x:mergeCell ref="A36:O36"/>
    <x:mergeCell ref="A37:O39"/>
    <x:mergeCell ref="H14:O17"/>
    <x:mergeCell ref="H19:O19"/>
    <x:mergeCell ref="H21:J25"/>
    <x:mergeCell ref="K21:M25"/>
    <x:mergeCell ref="N21:O25"/>
    <x:mergeCell ref="H27:O30"/>
    <x:mergeCell ref="H32:O32"/>
    <x:mergeCell ref="H34:J38"/>
    <x:mergeCell ref="L34:N38"/>
    <x:mergeCell ref="H41:O46"/>
    <x:mergeCell ref="H48:O52"/>
    <x:mergeCell ref="P14:V17"/>
    <x:mergeCell ref="P19:V23"/>
    <x:mergeCell ref="P25:V28"/>
    <x:mergeCell ref="P30:V34"/>
    <x:mergeCell ref="P36:V40"/>
    <x:mergeCell ref="P42:V46"/>
    <x:mergeCell ref="H55:V55"/>
    <x:mergeCell ref="H56:V58"/>
    <x:mergeCell ref="A61:V61"/>
    <x:mergeCell ref="A63:E67"/>
    <x:mergeCell ref="G63:K67"/>
    <x:mergeCell ref="M63:Q67"/>
    <x:mergeCell ref="S63:V67"/>
    <x:mergeCell ref="A70:V70"/>
    <x:mergeCell ref="A72:F76"/>
    <x:mergeCell ref="G72:L76"/>
    <x:mergeCell ref="M72:R76"/>
    <x:mergeCell ref="S72:V76"/>
    <x:mergeCell ref="A79:V79"/>
    <x:mergeCell ref="A81:C84"/>
    <x:mergeCell ref="E81:G84"/>
    <x:mergeCell ref="I81:K84"/>
    <x:mergeCell ref="M81:O84"/>
    <x:mergeCell ref="Q81:S84"/>
    <x:mergeCell ref="U81:V84"/>
    <x:mergeCell ref="A87:V87"/>
    <x:mergeCell ref="B88:V88"/>
    <x:mergeCell ref="B89:V89"/>
    <x:mergeCell ref="B90:V90"/>
    <x:mergeCell ref="B91:V91"/>
  </x:mergeCells>
  <x:pageMargins left="0.7" right="0.7" top="0.75" bottom="0.75" header="0.3" footer="0.3"/>
</x:worksheet>
</file>

<file path=xl/worksheets/sheet26.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18" hidden="0" customWidth="1"/>
    <x:col min="5" max="5" width="42" hidden="0" customWidth="1"/>
    <x:col min="6" max="6" width="36" hidden="0" customWidth="1"/>
    <x:col min="7" max="7" width="22" hidden="0" customWidth="1"/>
    <x:col min="8" max="8" width="32" hidden="0" customWidth="1"/>
  </x:cols>
  <x:sheetData>
    <x:row r="1">
      <x:c r="A1" s="2237" t="str">
        <x:v>PATCH REVIEW v0.9 · AUDITORÍA GEMINI → DECISIONES DEL MODELO VDS</x:v>
      </x:c>
      <x:c r="B1" s="2237"/>
      <x:c r="C1" s="2237"/>
      <x:c r="D1" s="2237"/>
      <x:c r="E1" s="2237"/>
      <x:c r="F1" s="2237"/>
      <x:c r="G1" s="2237"/>
      <x:c r="H1" s="2237"/>
    </x:row>
    <x:row r="2">
      <x:c r="A2" s="2239" t="str">
        <x:v>La auditoría se usa como stress test, no como autoridad de diseño. Se separa problema detectado de solución sugerida y se conserva trazabilidad de cada decisión.</x:v>
      </x:c>
      <x:c r="B2" s="2239"/>
      <x:c r="C2" s="2239"/>
      <x:c r="D2" s="2239"/>
      <x:c r="E2" s="2239"/>
      <x:c r="F2" s="2239"/>
      <x:c r="G2" s="2239"/>
      <x:c r="H2" s="2239"/>
    </x:row>
    <x:row r="4">
      <x:c r="A4" s="2242" t="str">
        <x:v>ID auditoría</x:v>
      </x:c>
      <x:c r="B4" s="2242" t="str">
        <x:v>Severidad</x:v>
      </x:c>
      <x:c r="C4" s="2242" t="str">
        <x:v>Hallazgo</x:v>
      </x:c>
      <x:c r="D4" s="2242" t="str">
        <x:v>Decisión VDS</x:v>
      </x:c>
      <x:c r="E4" s="2242" t="str">
        <x:v>Razonamiento</x:v>
      </x:c>
      <x:c r="F4" s="2242" t="str">
        <x:v>Patch v0.9</x:v>
      </x:c>
      <x:c r="G4" s="2242" t="str">
        <x:v>Validación humana</x:v>
      </x:c>
      <x:c r="H4" s="2242" t="str">
        <x:v>Próximo paso</x:v>
      </x:c>
    </x:row>
    <x:row r="5" ht="64" customHeight="1">
      <x:c r="A5" s="20" t="str">
        <x:v>H-01</x:v>
      </x:c>
      <x:c r="B5" s="20" t="str">
        <x:v>Crítica</x:v>
      </x:c>
      <x:c r="C5" s="20" t="str">
        <x:v>TP-01 cruzando turno puede complicar trazabilidad de horas/personas.</x:v>
      </x:c>
      <x:c r="D5" s="2244" t="str">
        <x:v>ACEPTAR PROBLEMA / RECHAZAR CORTE UNIVERSAL</x:v>
      </x:c>
      <x:c r="E5" s="20" t="str">
        <x:v>El problema es temporal, no de identidad. Cortar todo TP-01 por turno rompería la lógica work package-específica.</x:v>
      </x:c>
      <x:c r="F5" s="20" t="str">
        <x:v>AsignacionPersonaEjecucion temporal + EventoHandover + revalidación PTW/documental. ReglaCorte por turno queda configurable.</x:v>
      </x:c>
      <x:c r="G5" s="20" t="str">
        <x:v>Sí · Operaciones/Habilita</x:v>
      </x:c>
      <x:c r="H5" s="20" t="str">
        <x:v>Validar V54/V60.</x:v>
      </x:c>
    </x:row>
    <x:row r="6" ht="64" customHeight="1">
      <x:c r="A6" s="20" t="str">
        <x:v>H-02</x:v>
      </x:c>
      <x:c r="B6" s="20" t="str">
        <x:v>Alta</x:v>
      </x:c>
      <x:c r="C6" s="20" t="str">
        <x:v>Motor/ruleset offline podría ser demasiado pesado.</x:v>
      </x:c>
      <x:c r="D6" s="2243" t="str">
        <x:v>ACEPTAR</x:v>
      </x:c>
      <x:c r="E6" s="20" t="str">
        <x:v>La tablet no debe descargar toda la capa contractual ni consultar motores remotos para cada decisión.</x:v>
      </x:c>
      <x:c r="F6" s="20" t="str">
        <x:v>ExecutionContextBundle versionado con asignaciones/reglas/catálogos mínimos + fallback de emergencia.</x:v>
      </x:c>
      <x:c r="G6" s="20" t="str">
        <x:v>Sí · Operaciones/Tecnología para alcance</x:v>
      </x:c>
      <x:c r="H6" s="20" t="str">
        <x:v>Definir ventana/TTL/ack en V62.</x:v>
      </x:c>
    </x:row>
    <x:row r="7" ht="64" customHeight="1">
      <x:c r="A7" s="20" t="str">
        <x:v>H-03</x:v>
      </x:c>
      <x:c r="B7" s="20" t="str">
        <x:v>Media</x:v>
      </x:c>
      <x:c r="C7" s="20" t="str">
        <x:v>Falta mecanismo explícito para corregir errores reales del Parte.</x:v>
      </x:c>
      <x:c r="D7" s="2243" t="str">
        <x:v>ACEPTAR</x:v>
      </x:c>
      <x:c r="E7" s="20" t="str">
        <x:v>AjusteCertificacion no debe corregir una verdad operativa mal cargada.</x:v>
      </x:c>
      <x:c r="F7" s="20" t="str">
        <x:v>EnmiendaOperativa append-only, autorizada, separada de ajuste comercial.</x:v>
      </x:c>
      <x:c r="G7" s="20" t="str">
        <x:v>Sí · Supervisión/Auditoría</x:v>
      </x:c>
      <x:c r="H7" s="20" t="str">
        <x:v>Cerrar permisos/campos en V64.</x:v>
      </x:c>
    </x:row>
    <x:row r="8" ht="64" customHeight="1">
      <x:c r="A8" s="20" t="str">
        <x:v>C-01</x:v>
      </x:c>
      <x:c r="B8" s="20" t="str">
        <x:v>Alta</x:v>
      </x:c>
      <x:c r="C8" s="20" t="str">
        <x:v>CAND-05 duplica propósito de TP-01.</x:v>
      </x:c>
      <x:c r="D8" s="2243" t="str">
        <x:v>ACEPTAR</x:v>
      </x:c>
      <x:c r="E8" s="20" t="str">
        <x:v>Certificación puntual es comportamiento comercial, no TipoParte adicional.</x:v>
      </x:c>
      <x:c r="F8" s="20" t="str">
        <x:v>CAND-05 → ABS-05 histórico; funcionalidad absorbida en TP-01 + UnidadComercial.</x:v>
      </x:c>
      <x:c r="G8" s="20" t="str">
        <x:v>No</x:v>
      </x:c>
      <x:c r="H8" s="20" t="str">
        <x:v>No implementar ABS-05.</x:v>
      </x:c>
    </x:row>
    <x:row r="9" ht="64" customHeight="1">
      <x:c r="A9" s="20" t="str">
        <x:v>C-02</x:v>
      </x:c>
      <x:c r="B9" s="20" t="str">
        <x:v>Alta</x:v>
      </x:c>
      <x:c r="C9" s="20" t="str">
        <x:v>TP-01 '1 UnidadEjecución principal' contradice múltiples imputaciones/mediciones.</x:v>
      </x:c>
      <x:c r="D9" s="2243" t="str">
        <x:v>ACEPTAR</x:v>
      </x:c>
      <x:c r="E9" s="20" t="str">
        <x:v>Work package puede contener subtrabajos medibles sin perder identidad del Parte.</x:v>
      </x:c>
      <x:c r="F9" s="20" t="str">
        <x:v>TP-01 → UnidadEjecución [1..N].</x:v>
      </x:c>
      <x:c r="G9" s="20" t="str">
        <x:v>Sí · confirmar granularidad</x:v>
      </x:c>
      <x:c r="H9" s="20" t="str">
        <x:v>Validar V53 + escenarios reales.</x:v>
      </x:c>
    </x:row>
    <x:row r="10" ht="64" customHeight="1">
      <x:c r="A10" s="20" t="str">
        <x:v>E-01</x:v>
      </x:c>
      <x:c r="B10" s="20" t="str">
        <x:v>Alta</x:v>
      </x:c>
      <x:c r="C10" s="20" t="str">
        <x:v>Planificación necesita conocer estado técnico/disponibilidad de recursos.</x:v>
      </x:c>
      <x:c r="D10" s="2243" t="str">
        <x:v>ACEPTAR</x:v>
      </x:c>
      <x:c r="E10" s="20" t="str">
        <x:v>Readiness no puede basarse solo en documentación y agenda.</x:v>
      </x:c>
      <x:c r="F10" s="20" t="str">
        <x:v>DisponibilidadRecurso + EstadoDisponibilidadRecurso.</x:v>
      </x:c>
      <x:c r="G10" s="20" t="str">
        <x:v>Sí · Flota/Mantenimiento</x:v>
      </x:c>
      <x:c r="H10" s="20" t="str">
        <x:v>Definir fuente V63.</x:v>
      </x:c>
    </x:row>
    <x:row r="11" ht="64" customHeight="1">
      <x:c r="A11" s="20" t="str">
        <x:v>S-01</x:v>
      </x:c>
      <x:c r="B11" s="20" t="str">
        <x:v>Media</x:v>
      </x:c>
      <x:c r="C11" s="20" t="str">
        <x:v>SnapshotPlanConfirmado puede ser sobreentidad física redundante.</x:v>
      </x:c>
      <x:c r="D11" s="2243" t="str">
        <x:v>ACEPTAR PARCIAL</x:v>
      </x:c>
      <x:c r="E11" s="20" t="str">
        <x:v>Necesitamos la semántica inmutable, no necesariamente una tabla snapshot separada.</x:v>
      </x:c>
      <x:c r="F11" s="20" t="str">
        <x:v>Concepto lógico se implementará preferentemente vía PlanificacionVersion aprobada + payload/referencias.</x:v>
      </x:c>
      <x:c r="G11" s="20" t="str">
        <x:v>No, técnica posterior</x:v>
      </x:c>
      <x:c r="H11" s="20" t="str">
        <x:v>Decidir esquema físico al diseñar API/BD.</x:v>
      </x:c>
    </x:row>
    <x:row r="12" ht="64" customHeight="1">
      <x:c r="A12" s="20" t="str">
        <x:v>UX-01</x:v>
      </x:c>
      <x:c r="B12" s="20" t="str">
        <x:v>Alta</x:v>
      </x:c>
      <x:c r="C12" s="20" t="str">
        <x:v>Catálogo masivo de ubicaciones podría destruir UX &lt;2 min.</x:v>
      </x:c>
      <x:c r="D12" s="2243" t="str">
        <x:v>ACEPTAR</x:v>
      </x:c>
      <x:c r="E12" s="20" t="str">
        <x:v>GPS no puede ser único camino ni búsqueda total el fallback primario.</x:v>
      </x:c>
      <x:c r="F12" s="20" t="str">
        <x:v>ReglaResolucionUbicacion jerárquica: planificada → asignación → proximidad → recientes → búsqueda.</x:v>
      </x:c>
      <x:c r="G12" s="20" t="str">
        <x:v>Sí · Ops/Tecnología</x:v>
      </x:c>
      <x:c r="H12" s="20" t="str">
        <x:v>Validar V65.</x:v>
      </x:c>
    </x:row>
    <x:row r="13" ht="64" customHeight="1">
      <x:c r="A13" s="20" t="str">
        <x:v>PTW-01</x:v>
      </x:c>
      <x:c r="B13" s="20" t="str">
        <x:v>Alta</x:v>
      </x:c>
      <x:c r="C13" s="20" t="str">
        <x:v>PTW suspendido podría quedar zombie.</x:v>
      </x:c>
      <x:c r="D13" s="2244" t="str">
        <x:v>ACEPTAR PROBLEMA / RECHAZAR AUTOCIERRE</x:v>
      </x:c>
      <x:c r="E13" s="20" t="str">
        <x:v>Un timeout no debe cerrar silenciosamente un permiso de seguridad.</x:v>
      </x:c>
      <x:c r="F13" s="20" t="str">
        <x:v>Alertar/escalar; cierre administrativo solo por rol autorizado con motivo/evidencia.</x:v>
      </x:c>
      <x:c r="G13" s="20" t="str">
        <x:v>Sí · Habilita</x:v>
      </x:c>
      <x:c r="H13" s="20" t="str">
        <x:v>Validar V66.</x:v>
      </x:c>
    </x:row>
    <x:row r="14" ht="64" customHeight="1">
      <x:c r="A14" s="20" t="str">
        <x:v>CTRL-01</x:v>
      </x:c>
      <x:c r="B14" s="20" t="str">
        <x:v>Alta</x:v>
      </x:c>
      <x:c r="C14" s="20" t="str">
        <x:v>Cancelación/cambio posterior a Interface A no tiene canal explícito.</x:v>
      </x:c>
      <x:c r="D14" s="2243" t="str">
        <x:v>ACEPTAR</x:v>
      </x:c>
      <x:c r="E14" s="20" t="str">
        <x:v>Inmutabilidad del snapshot no significa que Planificación no pueda emitir nuevas instrucciones.</x:v>
      </x:c>
      <x:c r="F14" s="20" t="str">
        <x:v>Control Plane + DirectivaOperativa append-only con acknowledgement/offline pendiente.</x:v>
      </x:c>
      <x:c r="G14" s="20" t="str">
        <x:v>Sí · Planificación/Ops</x:v>
      </x:c>
      <x:c r="H14" s="20" t="str">
        <x:v>Validar V61.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15" hidden="0" customWidth="1"/>
    <x:col min="2" max="2" width="22" hidden="0" customWidth="1"/>
    <x:col min="3" max="3" width="22" hidden="0" customWidth="1"/>
    <x:col min="4" max="4" width="22" hidden="0" customWidth="1"/>
    <x:col min="5" max="5" width="22" hidden="0" customWidth="1"/>
    <x:col min="6" max="6" width="22" hidden="0" customWidth="1"/>
    <x:col min="7" max="7" width="4" hidden="0" customWidth="1"/>
    <x:col min="8" max="8" width="18"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x:c r="A1" s="2720" t="str">
        <x:v>CONTROL PLANE + OFFLINE v0 · SEÑALES, CACHE OPERATIVA Y FALLBACKS</x:v>
      </x:c>
      <x:c r="B1" s="2720"/>
      <x:c r="C1" s="2720"/>
      <x:c r="D1" s="2720"/>
      <x:c r="E1" s="2720"/>
      <x:c r="F1" s="2720"/>
      <x:c r="G1" s="2720"/>
      <x:c r="H1" s="2720"/>
      <x:c r="I1" s="2720"/>
      <x:c r="J1" s="2720"/>
      <x:c r="K1" s="2720"/>
      <x:c r="L1" s="2720"/>
      <x:c r="M1" s="2720"/>
      <x:c r="N1" s="2720"/>
    </x:row>
    <x:row r="2">
      <x:c r="A2" s="1419" t="str">
        <x:v>Patch v0.9: separar DATA PLANE (hechos/intención), CONTROL PLANE (directivas posteriores), HABILITA PLANE (PTW/start-work) y TRACE BUS (historial). El dispositivo offline consume una proyección mínima versionada, no la capa maestra completa.</x:v>
      </x:c>
      <x:c r="B2" s="1419"/>
      <x:c r="C2" s="1419"/>
      <x:c r="D2" s="1419"/>
      <x:c r="E2" s="1419"/>
      <x:c r="F2" s="1419"/>
      <x:c r="G2" s="1419"/>
      <x:c r="H2" s="1419"/>
      <x:c r="I2" s="1419"/>
      <x:c r="J2" s="1419"/>
      <x:c r="K2" s="1419"/>
      <x:c r="L2" s="1419"/>
      <x:c r="M2" s="1419"/>
      <x:c r="N2" s="1419"/>
    </x:row>
    <x:row r="3">
      <x:c r="A3" s="1277"/>
      <x:c r="B3" s="1277"/>
      <x:c r="C3" s="1277"/>
      <x:c r="D3" s="1277"/>
      <x:c r="E3" s="1277"/>
      <x:c r="F3" s="1277"/>
      <x:c r="G3" s="1277"/>
      <x:c r="H3" s="1277"/>
      <x:c r="I3" s="1277"/>
      <x:c r="J3" s="1277"/>
      <x:c r="K3" s="1277"/>
      <x:c r="L3" s="1277"/>
      <x:c r="M3" s="1277"/>
      <x:c r="N3" s="1277"/>
    </x:row>
    <x:row r="4">
      <x:c r="A4" s="1420" t="str">
        <x:v>01 — CUATRO PLANOS · NO TODO ES UN ÚNICO FLUJO DE DATOS</x:v>
      </x:c>
      <x:c r="B4" s="1420"/>
      <x:c r="C4" s="1420"/>
      <x:c r="D4" s="1420"/>
      <x:c r="E4" s="1420"/>
      <x:c r="F4" s="1420"/>
      <x:c r="G4" s="1420"/>
      <x:c r="H4" s="1420"/>
      <x:c r="I4" s="1420"/>
      <x:c r="J4" s="1420"/>
      <x:c r="K4" s="1420"/>
      <x:c r="L4" s="1420"/>
      <x:c r="M4" s="1420"/>
      <x:c r="N4" s="1420"/>
    </x:row>
    <x:row r="5">
      <x:c r="A5" s="1277"/>
      <x:c r="B5" s="1277"/>
      <x:c r="C5" s="1277"/>
      <x:c r="D5" s="1277"/>
      <x:c r="E5" s="1277"/>
      <x:c r="F5" s="1277"/>
      <x:c r="G5" s="1277"/>
      <x:c r="H5" s="1277"/>
      <x:c r="I5" s="1277"/>
      <x:c r="J5" s="1277"/>
      <x:c r="K5" s="1277"/>
      <x:c r="L5" s="1277"/>
      <x:c r="M5" s="1277"/>
      <x:c r="N5" s="1277"/>
    </x:row>
    <x:row r="6">
      <x:c r="A6" s="2721" t="str">
        <x:v>CONFIGURATION PLANE
ContratoServicio · reglas
catálogos · requisitos</x:v>
      </x:c>
      <x:c r="B6" s="2722"/>
      <x:c r="C6" s="2723"/>
      <x:c r="D6" s="1277"/>
      <x:c r="E6" s="2724" t="str">
        <x:v>DATA PLANE
Planificación → Ejecución
→ Certificación</x:v>
      </x:c>
      <x:c r="F6" s="2725"/>
      <x:c r="G6" s="2726"/>
      <x:c r="H6" s="1277"/>
      <x:c r="I6" s="2727" t="str">
        <x:v>CONTROL PLANE
DirectivaOperativa
cancelar · suspender · cambiar</x:v>
      </x:c>
      <x:c r="J6" s="2728"/>
      <x:c r="K6" s="2729"/>
      <x:c r="L6" s="1277"/>
      <x:c r="M6" s="2727" t="str">
        <x:v>HABILITA
PLANE
PTW / Start Work</x:v>
      </x:c>
      <x:c r="N6" s="2729"/>
    </x:row>
    <x:row r="7">
      <x:c r="A7" s="2730"/>
      <x:c r="B7" s="1424"/>
      <x:c r="C7" s="2731"/>
      <x:c r="D7" s="1277"/>
      <x:c r="E7" s="2732"/>
      <x:c r="F7" s="1425"/>
      <x:c r="G7" s="2733"/>
      <x:c r="H7" s="1277"/>
      <x:c r="I7" s="2734"/>
      <x:c r="J7" s="1432"/>
      <x:c r="K7" s="2735"/>
      <x:c r="L7" s="1277"/>
      <x:c r="M7" s="2734"/>
      <x:c r="N7" s="2735"/>
    </x:row>
    <x:row r="8">
      <x:c r="A8" s="2730"/>
      <x:c r="B8" s="1424"/>
      <x:c r="C8" s="2731"/>
      <x:c r="D8" s="1277"/>
      <x:c r="E8" s="2732"/>
      <x:c r="F8" s="1425"/>
      <x:c r="G8" s="2733"/>
      <x:c r="H8" s="1277"/>
      <x:c r="I8" s="2734"/>
      <x:c r="J8" s="1432"/>
      <x:c r="K8" s="2735"/>
      <x:c r="L8" s="1277"/>
      <x:c r="M8" s="2734"/>
      <x:c r="N8" s="2735"/>
    </x:row>
    <x:row r="9">
      <x:c r="A9" s="2730"/>
      <x:c r="B9" s="1424"/>
      <x:c r="C9" s="2731"/>
      <x:c r="D9" s="1277"/>
      <x:c r="E9" s="2732"/>
      <x:c r="F9" s="1425"/>
      <x:c r="G9" s="2733"/>
      <x:c r="H9" s="1277"/>
      <x:c r="I9" s="2734"/>
      <x:c r="J9" s="1432"/>
      <x:c r="K9" s="2735"/>
      <x:c r="L9" s="1277"/>
      <x:c r="M9" s="2734"/>
      <x:c r="N9" s="2735"/>
    </x:row>
    <x:row r="10">
      <x:c r="A10" s="2736"/>
      <x:c r="B10" s="2737"/>
      <x:c r="C10" s="2738"/>
      <x:c r="D10" s="1277"/>
      <x:c r="E10" s="2739"/>
      <x:c r="F10" s="2740"/>
      <x:c r="G10" s="2741"/>
      <x:c r="H10" s="1277"/>
      <x:c r="I10" s="2742"/>
      <x:c r="J10" s="2743"/>
      <x:c r="K10" s="2744"/>
      <x:c r="L10" s="1277"/>
      <x:c r="M10" s="2742"/>
      <x:c r="N10" s="2744"/>
    </x:row>
    <x:row r="11">
      <x:c r="A11" s="1277"/>
      <x:c r="B11" s="1277"/>
      <x:c r="C11" s="1277"/>
      <x:c r="D11" s="1277"/>
      <x:c r="E11" s="1277"/>
      <x:c r="F11" s="1277"/>
      <x:c r="G11" s="1277"/>
      <x:c r="H11" s="1277"/>
      <x:c r="I11" s="1277"/>
      <x:c r="J11" s="1277"/>
      <x:c r="K11" s="1277"/>
      <x:c r="L11" s="1277"/>
      <x:c r="M11" s="1277"/>
      <x:c r="N11" s="1277"/>
    </x:row>
    <x:row r="12">
      <x:c r="A12" s="1433" t="str">
        <x:v>TRACE BUS transversal: versiones, snapshots lógicos, eventos, acknowledgements, handovers, enmiendas y ajustes comerciales. Una DirectivaOperativa nunca reescribe el SnapshotPlanificado; agrega una nueva instrucción posterior que puede o no haber sido recibida por campo.</x:v>
      </x:c>
      <x:c r="B12" s="1433"/>
      <x:c r="C12" s="1433"/>
      <x:c r="D12" s="1433"/>
      <x:c r="E12" s="1433"/>
      <x:c r="F12" s="1433"/>
      <x:c r="G12" s="1433"/>
      <x:c r="H12" s="1433"/>
      <x:c r="I12" s="1433"/>
      <x:c r="J12" s="1433"/>
      <x:c r="K12" s="1433"/>
      <x:c r="L12" s="1433"/>
      <x:c r="M12" s="1433"/>
      <x:c r="N12" s="1433"/>
    </x:row>
    <x:row r="13">
      <x:c r="A13" s="1433"/>
      <x:c r="B13" s="1433"/>
      <x:c r="C13" s="1433"/>
      <x:c r="D13" s="1433"/>
      <x:c r="E13" s="1433"/>
      <x:c r="F13" s="1433"/>
      <x:c r="G13" s="1433"/>
      <x:c r="H13" s="1433"/>
      <x:c r="I13" s="1433"/>
      <x:c r="J13" s="1433"/>
      <x:c r="K13" s="1433"/>
      <x:c r="L13" s="1433"/>
      <x:c r="M13" s="1433"/>
      <x:c r="N13" s="1433"/>
    </x:row>
    <x:row r="14">
      <x:c r="A14" s="1433"/>
      <x:c r="B14" s="1433"/>
      <x:c r="C14" s="1433"/>
      <x:c r="D14" s="1433"/>
      <x:c r="E14" s="1433"/>
      <x:c r="F14" s="1433"/>
      <x:c r="G14" s="1433"/>
      <x:c r="H14" s="1433"/>
      <x:c r="I14" s="1433"/>
      <x:c r="J14" s="1433"/>
      <x:c r="K14" s="1433"/>
      <x:c r="L14" s="1433"/>
      <x:c r="M14" s="1433"/>
      <x:c r="N14" s="1433"/>
    </x:row>
    <x:row r="15">
      <x:c r="A15" s="1433"/>
      <x:c r="B15" s="1433"/>
      <x:c r="C15" s="1433"/>
      <x:c r="D15" s="1433"/>
      <x:c r="E15" s="1433"/>
      <x:c r="F15" s="1433"/>
      <x:c r="G15" s="1433"/>
      <x:c r="H15" s="1433"/>
      <x:c r="I15" s="1433"/>
      <x:c r="J15" s="1433"/>
      <x:c r="K15" s="1433"/>
      <x:c r="L15" s="1433"/>
      <x:c r="M15" s="1433"/>
      <x:c r="N15" s="1433"/>
    </x:row>
    <x:row r="16">
      <x:c r="A16" s="1277"/>
      <x:c r="B16" s="1277"/>
      <x:c r="C16" s="1277"/>
      <x:c r="D16" s="1277"/>
      <x:c r="E16" s="1277"/>
      <x:c r="F16" s="1277"/>
      <x:c r="G16" s="1277"/>
      <x:c r="H16" s="1277"/>
      <x:c r="I16" s="1277"/>
      <x:c r="J16" s="1277"/>
      <x:c r="K16" s="1277"/>
      <x:c r="L16" s="1277"/>
      <x:c r="M16" s="1277"/>
      <x:c r="N16" s="1277"/>
    </x:row>
    <x:row r="17">
      <x:c r="A17" s="1420" t="str">
        <x:v>02 — DIRECTIVA OPERATIVA · QUÉ PASA CUANDO EL MUNDO CAMBIA DESPUÉS DEL DESPACHO</x:v>
      </x:c>
      <x:c r="B17" s="1420"/>
      <x:c r="C17" s="1420"/>
      <x:c r="D17" s="1420"/>
      <x:c r="E17" s="1420"/>
      <x:c r="F17" s="1420"/>
      <x:c r="G17" s="1420"/>
      <x:c r="H17" s="1420"/>
      <x:c r="I17" s="1420"/>
      <x:c r="J17" s="1420"/>
      <x:c r="K17" s="1420"/>
      <x:c r="L17" s="1420"/>
      <x:c r="M17" s="1420"/>
      <x:c r="N17" s="1420"/>
    </x:row>
    <x:row r="18">
      <x:c r="A18" s="1430" t="str">
        <x:v>Tipo</x:v>
      </x:c>
      <x:c r="B18" s="1430" t="str">
        <x:v>Origen</x:v>
      </x:c>
      <x:c r="C18" s="1430" t="str">
        <x:v>Target</x:v>
      </x:c>
      <x:c r="D18" s="1430" t="str">
        <x:v>Efecto propuesto</x:v>
      </x:c>
      <x:c r="E18" s="1430" t="str">
        <x:v>Offline</x:v>
      </x:c>
      <x:c r="F18" s="1430" t="str">
        <x:v>Trazabilidad</x:v>
      </x:c>
      <x:c r="G18" s="1277"/>
      <x:c r="H18" s="1427" t="str">
        <x:v>POLÍTICA v0
• Directiva emitida ≠ directiva recibida.
• Directiva recibida ≠ directiva aplicada.
• Campo debe poder devolver ACK / RECHAZO / NO_APLICABLE con causa.
• Una directiva que afecte seguridad nunca sustituye la lógica local de PTW/Start Work.
• Si la cuadrilla está offline, el sistema central debe mostrar 'pendiente de recepción'.</x:v>
      </x:c>
      <x:c r="I18" s="1427"/>
      <x:c r="J18" s="1427"/>
      <x:c r="K18" s="1427"/>
      <x:c r="L18" s="1427"/>
      <x:c r="M18" s="1427"/>
      <x:c r="N18" s="1427"/>
    </x:row>
    <x:row r="19" ht="56" customHeight="1">
      <x:c r="A19" s="1327" t="str">
        <x:v>CANCELAR</x:v>
      </x:c>
      <x:c r="B19" s="1327" t="str">
        <x:v>Planificación/Supervisión</x:v>
      </x:c>
      <x:c r="C19" s="1327" t="str">
        <x:v>Asignación/Unidad/Parte no cerrada</x:v>
      </x:c>
      <x:c r="D19" s="1327" t="str">
        <x:v>No iniciar; si ya inició, solicitar detención segura según estado</x:v>
      </x:c>
      <x:c r="E19" s="1327" t="str">
        <x:v>queda pendiente hasta sync/recepción</x:v>
      </x:c>
      <x:c r="F19" s="1327" t="str">
        <x:v>emitida_at + recibida_at + ack_at + actor</x:v>
      </x:c>
      <x:c r="G19" s="1277"/>
      <x:c r="H19" s="1427"/>
      <x:c r="I19" s="1427"/>
      <x:c r="J19" s="1427"/>
      <x:c r="K19" s="1427"/>
      <x:c r="L19" s="1427"/>
      <x:c r="M19" s="1427"/>
      <x:c r="N19" s="1427"/>
    </x:row>
    <x:row r="20" ht="56" customHeight="1">
      <x:c r="A20" s="1327" t="str">
        <x:v>SUSPENDER</x:v>
      </x:c>
      <x:c r="B20" s="1327" t="str">
        <x:v>Supervisión/Habilita/Planificación</x:v>
      </x:c>
      <x:c r="C20" s="1327" t="str">
        <x:v>Parte/Unidad</x:v>
      </x:c>
      <x:c r="D20" s="1327" t="str">
        <x:v>Pausar nueva actividad; mantener estado y contexto</x:v>
      </x:c>
      <x:c r="E20" s="1327" t="str">
        <x:v>aplica al recibir; habilita local puede suspender antes</x:v>
      </x:c>
      <x:c r="F20" s="1327" t="str">
        <x:v>motivo + alcance + actor</x:v>
      </x:c>
      <x:c r="G20" s="1277"/>
      <x:c r="H20" s="1427"/>
      <x:c r="I20" s="1427"/>
      <x:c r="J20" s="1427"/>
      <x:c r="K20" s="1427"/>
      <x:c r="L20" s="1427"/>
      <x:c r="M20" s="1427"/>
      <x:c r="N20" s="1427"/>
    </x:row>
    <x:row r="21" ht="56" customHeight="1">
      <x:c r="A21" s="1327" t="str">
        <x:v>REPRIORIZAR</x:v>
      </x:c>
      <x:c r="B21" s="1327" t="str">
        <x:v>Planificación</x:v>
      </x:c>
      <x:c r="C21" s="1327" t="str">
        <x:v>Asignación no iniciada o cola</x:v>
      </x:c>
      <x:c r="D21" s="1327" t="str">
        <x:v>Cambiar orden, no verdad ejecutada</x:v>
      </x:c>
      <x:c r="E21" s="1327" t="str">
        <x:v>puede esperar sync</x:v>
      </x:c>
      <x:c r="F21" s="1327" t="str">
        <x:v>prioridad antes/después</x:v>
      </x:c>
      <x:c r="G21" s="1277"/>
      <x:c r="H21" s="1427"/>
      <x:c r="I21" s="1427"/>
      <x:c r="J21" s="1427"/>
      <x:c r="K21" s="1427"/>
      <x:c r="L21" s="1427"/>
      <x:c r="M21" s="1427"/>
      <x:c r="N21" s="1427"/>
    </x:row>
    <x:row r="22" ht="56" customHeight="1">
      <x:c r="A22" s="1327" t="str">
        <x:v>REPROGRAMAR</x:v>
      </x:c>
      <x:c r="B22" s="1327" t="str">
        <x:v>Planificación</x:v>
      </x:c>
      <x:c r="C22" s="1327" t="str">
        <x:v>Asignación no iniciada</x:v>
      </x:c>
      <x:c r="D22" s="1327" t="str">
        <x:v>Crear nueva versión/ventana; invalidar despacho anterior si no inició</x:v>
      </x:c>
      <x:c r="E22" s="1327" t="str">
        <x:v>conflicto se resuelve por versión</x:v>
      </x:c>
      <x:c r="F22" s="1327" t="str">
        <x:v>versión origen/destino</x:v>
      </x:c>
      <x:c r="G22" s="1277"/>
      <x:c r="H22" s="1427"/>
      <x:c r="I22" s="1427"/>
      <x:c r="J22" s="1427"/>
      <x:c r="K22" s="1427"/>
      <x:c r="L22" s="1427"/>
      <x:c r="M22" s="1427"/>
      <x:c r="N22" s="1427"/>
    </x:row>
    <x:row r="23" ht="56" customHeight="1">
      <x:c r="A23" s="1327" t="str">
        <x:v>CAMBIO_ALCANCE</x:v>
      </x:c>
      <x:c r="B23" s="1327" t="str">
        <x:v>Cliente/Planificación/Supervisión</x:v>
      </x:c>
      <x:c r="C23" s="1327" t="str">
        <x:v>Trabajo planificado/en curso</x:v>
      </x:c>
      <x:c r="D23" s="1327" t="str">
        <x:v>Nueva versión + motor evalúa si continúa, crea unidad o corta Parte</x:v>
      </x:c>
      <x:c r="E23" s="1327" t="str">
        <x:v>si offline requiere ack explícito</x:v>
      </x:c>
      <x:c r="F23" s="1327" t="str">
        <x:v>detalle estructurado + motivo</x:v>
      </x:c>
      <x:c r="G23" s="1277"/>
      <x:c r="H23" s="1427"/>
      <x:c r="I23" s="1427"/>
      <x:c r="J23" s="1427"/>
      <x:c r="K23" s="1427"/>
      <x:c r="L23" s="1427"/>
      <x:c r="M23" s="1427"/>
      <x:c r="N23" s="1427"/>
    </x:row>
    <x:row r="24">
      <x:c r="A24" s="1277"/>
      <x:c r="B24" s="1277"/>
      <x:c r="C24" s="1277"/>
      <x:c r="D24" s="1277"/>
      <x:c r="E24" s="1277"/>
      <x:c r="F24" s="1277"/>
      <x:c r="G24" s="1277"/>
      <x:c r="H24" s="1277"/>
      <x:c r="I24" s="1277"/>
      <x:c r="J24" s="1277"/>
      <x:c r="K24" s="1277"/>
      <x:c r="L24" s="1277"/>
      <x:c r="M24" s="1277"/>
      <x:c r="N24" s="1277"/>
    </x:row>
    <x:row r="25">
      <x:c r="A25" s="1420" t="str">
        <x:v>03 — EXECUTION CONTEXT BUNDLE · QUÉ DESCARGA UNA TABLET</x:v>
      </x:c>
      <x:c r="B25" s="1420"/>
      <x:c r="C25" s="1420"/>
      <x:c r="D25" s="1420"/>
      <x:c r="E25" s="1420"/>
      <x:c r="F25" s="1420"/>
      <x:c r="G25" s="1420"/>
      <x:c r="H25" s="1420"/>
      <x:c r="I25" s="1420"/>
      <x:c r="J25" s="1420"/>
      <x:c r="K25" s="1420"/>
      <x:c r="L25" s="1420"/>
      <x:c r="M25" s="1420"/>
      <x:c r="N25" s="1420"/>
    </x:row>
    <x:row r="26">
      <x:c r="A26" s="1430" t="str">
        <x:v>Grupo</x:v>
      </x:c>
      <x:c r="B26" s="1430" t="str">
        <x:v>Contenido mínimo</x:v>
      </x:c>
      <x:c r="C26" s="1430" t="str">
        <x:v>Scope</x:v>
      </x:c>
      <x:c r="D26" s="1430" t="str">
        <x:v>Versionado</x:v>
      </x:c>
      <x:c r="E26" s="1430" t="str">
        <x:v>Fallback</x:v>
      </x:c>
      <x:c r="F26" s="1430" t="str">
        <x:v>Por qué</x:v>
      </x:c>
      <x:c r="G26" s="1277"/>
      <x:c r="H26" s="1277"/>
      <x:c r="I26" s="1277"/>
      <x:c r="J26" s="1277"/>
      <x:c r="K26" s="1277"/>
      <x:c r="L26" s="1277"/>
      <x:c r="M26" s="1277"/>
      <x:c r="N26" s="1277"/>
    </x:row>
    <x:row r="27" ht="54" customHeight="1">
      <x:c r="A27" s="1327" t="str">
        <x:v>Asignaciones</x:v>
      </x:c>
      <x:c r="B27" s="1327" t="str">
        <x:v>próximas asignaciones/unidades del usuario/cuadrilla</x:v>
      </x:c>
      <x:c r="C27" s="1327" t="str">
        <x:v>ventana configurable</x:v>
      </x:c>
      <x:c r="D27" s="1327" t="str">
        <x:v>por PlanificacionVersion</x:v>
      </x:c>
      <x:c r="E27" s="1327" t="str">
        <x:v>trabajo emergente</x:v>
      </x:c>
      <x:c r="F27" s="1327" t="str">
        <x:v>core de ejecución</x:v>
      </x:c>
      <x:c r="G27" s="1277"/>
      <x:c r="H27" s="1277"/>
      <x:c r="I27" s="1277"/>
      <x:c r="J27" s="1277"/>
      <x:c r="K27" s="1277"/>
      <x:c r="L27" s="1277"/>
      <x:c r="M27" s="1277"/>
      <x:c r="N27" s="1277"/>
    </x:row>
    <x:row r="28" ht="54" customHeight="1">
      <x:c r="A28" s="1327" t="str">
        <x:v>Personas</x:v>
      </x:c>
      <x:c r="B28" s="1327" t="str">
        <x:v>perfil propio + personas previstas/relevantes</x:v>
      </x:c>
      <x:c r="C28" s="1327" t="str">
        <x:v>asignaciones descargadas</x:v>
      </x:c>
      <x:c r="D28" s="1327" t="str">
        <x:v>maestro_version</x:v>
      </x:c>
      <x:c r="E28" s="1327" t="str">
        <x:v>búsqueda mínima/código</x:v>
      </x:c>
      <x:c r="F28" s="1327" t="str">
        <x:v>handover/reemplazos</x:v>
      </x:c>
      <x:c r="G28" s="1277"/>
      <x:c r="H28" s="1277"/>
      <x:c r="I28" s="1277"/>
      <x:c r="J28" s="1277"/>
      <x:c r="K28" s="1277"/>
      <x:c r="L28" s="1277"/>
      <x:c r="M28" s="1277"/>
      <x:c r="N28" s="1277"/>
    </x:row>
    <x:row r="29" ht="54" customHeight="1">
      <x:c r="A29" s="1327" t="str">
        <x:v>Recursos</x:v>
      </x:c>
      <x:c r="B29" s="1327" t="str">
        <x:v>previstos + candidatos/relevantes + disponibilidad conocida</x:v>
      </x:c>
      <x:c r="C29" s="1327" t="str">
        <x:v>asignaciones/contexto</x:v>
      </x:c>
      <x:c r="D29" s="1327" t="str">
        <x:v>maestro_version</x:v>
      </x:c>
      <x:c r="E29" s="1327" t="str">
        <x:v>captura/selección controlada</x:v>
      </x:c>
      <x:c r="F29" s="1327" t="str">
        <x:v>sustituciones</x:v>
      </x:c>
      <x:c r="G29" s="1277"/>
      <x:c r="H29" s="1277"/>
      <x:c r="I29" s="1277"/>
      <x:c r="J29" s="1277"/>
      <x:c r="K29" s="1277"/>
      <x:c r="L29" s="1277"/>
      <x:c r="M29" s="1277"/>
      <x:c r="N29" s="1277"/>
    </x:row>
    <x:row r="30" ht="54" customHeight="1">
      <x:c r="A30" s="1327" t="str">
        <x:v>Ubicaciones</x:v>
      </x:c>
      <x:c r="B30" s="1327" t="str">
        <x:v>planificadas + relacionadas + cercanas/contextuales</x:v>
      </x:c>
      <x:c r="C30" s="1327" t="str">
        <x:v>zona/asignación</x:v>
      </x:c>
      <x:c r="D30" s="1327" t="str">
        <x:v>ubicacion_version</x:v>
      </x:c>
      <x:c r="E30" s="1327" t="str">
        <x:v>ranking/búsqueda manual</x:v>
      </x:c>
      <x:c r="F30" s="1327" t="str">
        <x:v>UX &lt;2 min</x:v>
      </x:c>
      <x:c r="G30" s="1277"/>
      <x:c r="H30" s="1277"/>
      <x:c r="I30" s="1277"/>
      <x:c r="J30" s="1277"/>
      <x:c r="K30" s="1277"/>
      <x:c r="L30" s="1277"/>
      <x:c r="M30" s="1277"/>
      <x:c r="N30" s="1277"/>
    </x:row>
    <x:row r="31" ht="54" customHeight="1">
      <x:c r="A31" s="1327" t="str">
        <x:v>TipoParte</x:v>
      </x:c>
      <x:c r="B31" s="1327" t="str">
        <x:v>reglas solo para rutas potenciales del bundle</x:v>
      </x:c>
      <x:c r="C31" s="1327" t="str">
        <x:v>perfil/servicios activos</x:v>
      </x:c>
      <x:c r="D31" s="1327" t="str">
        <x:v>ruleset_version</x:v>
      </x:c>
      <x:c r="E31" s="1327" t="str">
        <x:v>árbol fallback mínimo</x:v>
      </x:c>
      <x:c r="F31" s="1327" t="str">
        <x:v>ruteo offline</x:v>
      </x:c>
      <x:c r="G31" s="1277"/>
      <x:c r="H31" s="1277"/>
      <x:c r="I31" s="1277"/>
      <x:c r="J31" s="1277"/>
      <x:c r="K31" s="1277"/>
      <x:c r="L31" s="1277"/>
      <x:c r="M31" s="1277"/>
      <x:c r="N31" s="1277"/>
    </x:row>
    <x:row r="32" ht="54" customHeight="1">
      <x:c r="A32" s="1327" t="str">
        <x:v>Cortes</x:v>
      </x:c>
      <x:c r="B32" s="1327" t="str">
        <x:v>ReglasCorte de TiposParte descargados</x:v>
      </x:c>
      <x:c r="C32" s="1327" t="str">
        <x:v>mismo scope</x:v>
      </x:c>
      <x:c r="D32" s="1327" t="str">
        <x:v>ruleset_version</x:v>
      </x:c>
      <x:c r="E32" s="1327" t="str">
        <x:v>conservador/solicitar confirmación</x:v>
      </x:c>
      <x:c r="F32" s="1327" t="str">
        <x:v>continuidad offline</x:v>
      </x:c>
      <x:c r="G32" s="1277"/>
      <x:c r="H32" s="1277"/>
      <x:c r="I32" s="1277"/>
      <x:c r="J32" s="1277"/>
      <x:c r="K32" s="1277"/>
      <x:c r="L32" s="1277"/>
      <x:c r="M32" s="1277"/>
      <x:c r="N32" s="1277"/>
    </x:row>
    <x:row r="33" ht="54" customHeight="1">
      <x:c r="A33" s="1327" t="str">
        <x:v>Documental</x:v>
      </x:c>
      <x:c r="B33" s="1327" t="str">
        <x:v>estado/snapshot necesario para personas/recursos relevantes</x:v>
      </x:c>
      <x:c r="C33" s="1327" t="str">
        <x:v>fecha/ventana</x:v>
      </x:c>
      <x:c r="D33" s="1327" t="str">
        <x:v>evaluacion_version</x:v>
      </x:c>
      <x:c r="E33" s="1327" t="str">
        <x:v>revalidar local con expiraciones</x:v>
      </x:c>
      <x:c r="F33" s="1327" t="str">
        <x:v>gates</x:v>
      </x:c>
      <x:c r="G33" s="1277"/>
      <x:c r="H33" s="1277"/>
      <x:c r="I33" s="1277"/>
      <x:c r="J33" s="1277"/>
      <x:c r="K33" s="1277"/>
      <x:c r="L33" s="1277"/>
      <x:c r="M33" s="1277"/>
      <x:c r="N33" s="1277"/>
    </x:row>
    <x:row r="34" ht="54" customHeight="1">
      <x:c r="A34" s="1327" t="str">
        <x:v>Habilita</x:v>
      </x:c>
      <x:c r="B34" s="1327" t="str">
        <x:v>requisitos esperables + tipos PTW aplicables</x:v>
      </x:c>
      <x:c r="C34" s="1327" t="str">
        <x:v>servicio/tarea/sitio</x:v>
      </x:c>
      <x:c r="D34" s="1327" t="str">
        <x:v>ruleset_version</x:v>
      </x:c>
      <x:c r="E34" s="1327" t="str">
        <x:v>no habilitar si gate crítico no resoluble</x:v>
      </x:c>
      <x:c r="F34" s="1327" t="str">
        <x:v>habilita</x:v>
      </x:c>
      <x:c r="G34" s="1277"/>
      <x:c r="H34" s="1277"/>
      <x:c r="I34" s="1277"/>
      <x:c r="J34" s="1277"/>
      <x:c r="K34" s="1277"/>
      <x:c r="L34" s="1277"/>
      <x:c r="M34" s="1277"/>
      <x:c r="N34" s="1277"/>
    </x:row>
    <x:row r="35" ht="54" customHeight="1">
      <x:c r="A35" s="1327" t="str">
        <x:v>Catálogos</x:v>
      </x:c>
      <x:c r="B35" s="1327" t="str">
        <x:v>solo valores usados por flujos potenciales</x:v>
      </x:c>
      <x:c r="C35" s="1327" t="str">
        <x:v>contexto</x:v>
      </x:c>
      <x:c r="D35" s="1327" t="str">
        <x:v>catalog_version</x:v>
      </x:c>
      <x:c r="E35" s="1327" t="str">
        <x:v>'otro' controlado donde corresponda</x:v>
      </x:c>
      <x:c r="F35" s="1327" t="str">
        <x:v>evitar descarga masiva</x:v>
      </x:c>
      <x:c r="G35" s="1277"/>
      <x:c r="H35" s="1277"/>
      <x:c r="I35" s="1277"/>
      <x:c r="J35" s="1277"/>
      <x:c r="K35" s="1277"/>
      <x:c r="L35" s="1277"/>
      <x:c r="M35" s="1277"/>
      <x:c r="N35" s="1277"/>
    </x:row>
    <x:row r="36">
      <x:c r="A36" s="1277"/>
      <x:c r="B36" s="1277"/>
      <x:c r="C36" s="1277"/>
      <x:c r="D36" s="1277"/>
      <x:c r="E36" s="1277"/>
      <x:c r="F36" s="1277"/>
      <x:c r="G36" s="1277"/>
      <x:c r="H36" s="1277"/>
      <x:c r="I36" s="1277"/>
      <x:c r="J36" s="1277"/>
      <x:c r="K36" s="1277"/>
      <x:c r="L36" s="1277"/>
      <x:c r="M36" s="1277"/>
      <x:c r="N36" s="1277"/>
    </x:row>
    <x:row r="37">
      <x:c r="A37" s="1420" t="str">
        <x:v>04 — RESOLUCIÓN DE UBICACIÓN · GPS ES UNA SEÑAL, NO LA ÚNICA VERDAD</x:v>
      </x:c>
      <x:c r="B37" s="1420"/>
      <x:c r="C37" s="1420"/>
      <x:c r="D37" s="1420"/>
      <x:c r="E37" s="1420"/>
      <x:c r="F37" s="1420"/>
      <x:c r="G37" s="1420"/>
      <x:c r="H37" s="1420"/>
      <x:c r="I37" s="1420"/>
      <x:c r="J37" s="1420"/>
      <x:c r="K37" s="1420"/>
      <x:c r="L37" s="1420"/>
      <x:c r="M37" s="1420"/>
      <x:c r="N37" s="1420"/>
    </x:row>
    <x:row r="38">
      <x:c r="A38" s="1277"/>
      <x:c r="B38" s="1277"/>
      <x:c r="C38" s="1277"/>
      <x:c r="D38" s="1277"/>
      <x:c r="E38" s="1277"/>
      <x:c r="F38" s="1277"/>
      <x:c r="G38" s="1277"/>
      <x:c r="H38" s="1277"/>
      <x:c r="I38" s="1277"/>
      <x:c r="J38" s="1277"/>
      <x:c r="K38" s="1277"/>
      <x:c r="L38" s="1277"/>
      <x:c r="M38" s="1277"/>
      <x:c r="N38" s="1277"/>
    </x:row>
    <x:row r="39">
      <x:c r="A39" s="2724" t="str">
        <x:v>1
PLANIFICADA
Ubicación heredada de UnidadPlanificada</x:v>
      </x:c>
      <x:c r="B39" s="2726"/>
      <x:c r="C39" s="1277"/>
      <x:c r="D39" s="2724" t="str">
        <x:v>2
ASIGNACIÓN
Ubicaciones vinculadas al trabajo/contexto</x:v>
      </x:c>
      <x:c r="E39" s="2726"/>
      <x:c r="F39" s="1277"/>
      <x:c r="G39" s="2724" t="str">
        <x:v>3
PROXIMIDAD
GPS/geofence/ranking cercano</x:v>
      </x:c>
      <x:c r="H39" s="2726"/>
      <x:c r="I39" s="1277"/>
      <x:c r="J39" s="2724" t="str">
        <x:v>4
RECIENTES
habituales / últimas usadas</x:v>
      </x:c>
      <x:c r="K39" s="2726"/>
      <x:c r="L39" s="1277"/>
      <x:c r="M39" s="2724" t="str">
        <x:v>5
BÚSQUEDA
manual con filtros, nunca lista plana masiva</x:v>
      </x:c>
      <x:c r="N39" s="2726"/>
    </x:row>
    <x:row r="40">
      <x:c r="A40" s="2732"/>
      <x:c r="B40" s="2733"/>
      <x:c r="C40" s="1297" t="str">
        <x:v>→</x:v>
      </x:c>
      <x:c r="D40" s="2732"/>
      <x:c r="E40" s="2733"/>
      <x:c r="F40" s="1297" t="str">
        <x:v>→</x:v>
      </x:c>
      <x:c r="G40" s="2732"/>
      <x:c r="H40" s="2733"/>
      <x:c r="I40" s="1297" t="str">
        <x:v>→</x:v>
      </x:c>
      <x:c r="J40" s="2732"/>
      <x:c r="K40" s="2733"/>
      <x:c r="L40" s="1297" t="str">
        <x:v>→</x:v>
      </x:c>
      <x:c r="M40" s="2732"/>
      <x:c r="N40" s="2733"/>
    </x:row>
    <x:row r="41">
      <x:c r="A41" s="2732"/>
      <x:c r="B41" s="2733"/>
      <x:c r="C41" s="1277"/>
      <x:c r="D41" s="2732"/>
      <x:c r="E41" s="2733"/>
      <x:c r="F41" s="1277"/>
      <x:c r="G41" s="2732"/>
      <x:c r="H41" s="2733"/>
      <x:c r="I41" s="1277"/>
      <x:c r="J41" s="2732"/>
      <x:c r="K41" s="2733"/>
      <x:c r="L41" s="1277"/>
      <x:c r="M41" s="2732"/>
      <x:c r="N41" s="2733"/>
    </x:row>
    <x:row r="42">
      <x:c r="A42" s="2739"/>
      <x:c r="B42" s="2741"/>
      <x:c r="C42" s="1277"/>
      <x:c r="D42" s="2739"/>
      <x:c r="E42" s="2741"/>
      <x:c r="F42" s="1277"/>
      <x:c r="G42" s="2739"/>
      <x:c r="H42" s="2741"/>
      <x:c r="I42" s="1277"/>
      <x:c r="J42" s="2739"/>
      <x:c r="K42" s="2741"/>
      <x:c r="L42" s="1277"/>
      <x:c r="M42" s="2739"/>
      <x:c r="N42" s="2741"/>
    </x:row>
    <x:row r="43">
      <x:c r="A43" s="1277"/>
      <x:c r="B43" s="1277"/>
      <x:c r="C43" s="1277"/>
      <x:c r="D43" s="1277"/>
      <x:c r="E43" s="1277"/>
      <x:c r="F43" s="1277"/>
      <x:c r="G43" s="1277"/>
      <x:c r="H43" s="1277"/>
      <x:c r="I43" s="1277"/>
      <x:c r="J43" s="1277"/>
      <x:c r="K43" s="1277"/>
      <x:c r="L43" s="1277"/>
      <x:c r="M43" s="1277"/>
      <x:c r="N43" s="1277"/>
    </x:row>
    <x:row r="44">
      <x:c r="A44" s="1433" t="str">
        <x:v>Regla v0.9: si la ubicación planificada sigue siendo válida, el usuario no selecciona nada. Si cambia, se ofrecen primero opciones contextuales. La búsqueda global es el último fallback. La resolución final debe registrar fuente (planificada/GPS/manual/etc.) y confianza cuando tenga valor.</x:v>
      </x:c>
      <x:c r="B44" s="1433"/>
      <x:c r="C44" s="1433"/>
      <x:c r="D44" s="1433"/>
      <x:c r="E44" s="1433"/>
      <x:c r="F44" s="1433"/>
      <x:c r="G44" s="1433"/>
      <x:c r="H44" s="1433"/>
      <x:c r="I44" s="1433"/>
      <x:c r="J44" s="1433"/>
      <x:c r="K44" s="1433"/>
      <x:c r="L44" s="1433"/>
      <x:c r="M44" s="1433"/>
      <x:c r="N44" s="1433"/>
    </x:row>
    <x:row r="45">
      <x:c r="A45" s="1433"/>
      <x:c r="B45" s="1433"/>
      <x:c r="C45" s="1433"/>
      <x:c r="D45" s="1433"/>
      <x:c r="E45" s="1433"/>
      <x:c r="F45" s="1433"/>
      <x:c r="G45" s="1433"/>
      <x:c r="H45" s="1433"/>
      <x:c r="I45" s="1433"/>
      <x:c r="J45" s="1433"/>
      <x:c r="K45" s="1433"/>
      <x:c r="L45" s="1433"/>
      <x:c r="M45" s="1433"/>
      <x:c r="N45" s="1433"/>
    </x:row>
    <x:row r="46">
      <x:c r="A46" s="1433"/>
      <x:c r="B46" s="1433"/>
      <x:c r="C46" s="1433"/>
      <x:c r="D46" s="1433"/>
      <x:c r="E46" s="1433"/>
      <x:c r="F46" s="1433"/>
      <x:c r="G46" s="1433"/>
      <x:c r="H46" s="1433"/>
      <x:c r="I46" s="1433"/>
      <x:c r="J46" s="1433"/>
      <x:c r="K46" s="1433"/>
      <x:c r="L46" s="1433"/>
      <x:c r="M46" s="1433"/>
      <x:c r="N46" s="1433"/>
    </x:row>
    <x:row r="47">
      <x:c r="A47" s="1433"/>
      <x:c r="B47" s="1433"/>
      <x:c r="C47" s="1433"/>
      <x:c r="D47" s="1433"/>
      <x:c r="E47" s="1433"/>
      <x:c r="F47" s="1433"/>
      <x:c r="G47" s="1433"/>
      <x:c r="H47" s="1433"/>
      <x:c r="I47" s="1433"/>
      <x:c r="J47" s="1433"/>
      <x:c r="K47" s="1433"/>
      <x:c r="L47" s="1433"/>
      <x:c r="M47" s="1433"/>
      <x:c r="N47" s="1433"/>
    </x:row>
    <x:row r="48">
      <x:c r="A48" s="1277"/>
      <x:c r="B48" s="1277"/>
      <x:c r="C48" s="1277"/>
      <x:c r="D48" s="1277"/>
      <x:c r="E48" s="1277"/>
      <x:c r="F48" s="1277"/>
      <x:c r="G48" s="1277"/>
      <x:c r="H48" s="1277"/>
      <x:c r="I48" s="1277"/>
      <x:c r="J48" s="1277"/>
      <x:c r="K48" s="1277"/>
      <x:c r="L48" s="1277"/>
      <x:c r="M48" s="1277"/>
      <x:c r="N48" s="1277"/>
    </x:row>
    <x:row r="49">
      <x:c r="A49" s="1420" t="str">
        <x:v>05 — DISPONIBILIDAD DE RECURSOS · INPUT DE READINESS, NO SISTEMA DE MANTENIMIENTO</x:v>
      </x:c>
      <x:c r="B49" s="1420"/>
      <x:c r="C49" s="1420"/>
      <x:c r="D49" s="1420"/>
      <x:c r="E49" s="1420"/>
      <x:c r="F49" s="1420"/>
      <x:c r="G49" s="1420"/>
      <x:c r="H49" s="1420"/>
      <x:c r="I49" s="1420"/>
      <x:c r="J49" s="1420"/>
      <x:c r="K49" s="1420"/>
      <x:c r="L49" s="1420"/>
      <x:c r="M49" s="1420"/>
      <x:c r="N49" s="1420"/>
    </x:row>
    <x:row r="50">
      <x:c r="A50" s="1430" t="str">
        <x:v>Estado lógico</x:v>
      </x:c>
      <x:c r="B50" s="1430" t="str">
        <x:v>Elegible para planificar</x:v>
      </x:c>
      <x:c r="C50" s="1430" t="str">
        <x:v>Acción</x:v>
      </x:c>
      <x:c r="D50" s="1430" t="str">
        <x:v>Fuente ideal</x:v>
      </x:c>
      <x:c r="E50" s="1430" t="str">
        <x:v>Conflicto con documental</x:v>
      </x:c>
      <x:c r="F50" s="1430" t="str">
        <x:v>Nota</x:v>
      </x:c>
      <x:c r="G50" s="1277"/>
      <x:c r="H50" s="1277"/>
      <x:c r="I50" s="1277"/>
      <x:c r="J50" s="1277"/>
      <x:c r="K50" s="1277"/>
      <x:c r="L50" s="1277"/>
      <x:c r="M50" s="1277"/>
      <x:c r="N50" s="1277"/>
    </x:row>
    <x:row r="51" ht="48" customHeight="1">
      <x:c r="A51" s="1327" t="str">
        <x:v>Disponible</x:v>
      </x:c>
      <x:c r="B51" s="1327" t="str">
        <x:v>Sí</x:v>
      </x:c>
      <x:c r="C51" s="1327" t="str">
        <x:v>puede ser candidato</x:v>
      </x:c>
      <x:c r="D51" s="1327" t="str">
        <x:v>Flota/Mantenimiento/Ops</x:v>
      </x:c>
      <x:c r="E51" s="1327" t="str">
        <x:v>puede quedar bloqueado documentalmente</x:v>
      </x:c>
      <x:c r="F51" s="1327" t="str">
        <x:v>dos rails distintos</x:v>
      </x:c>
      <x:c r="G51" s="1277"/>
      <x:c r="H51" s="1277"/>
      <x:c r="I51" s="1277"/>
      <x:c r="J51" s="1277"/>
      <x:c r="K51" s="1277"/>
      <x:c r="L51" s="1277"/>
      <x:c r="M51" s="1277"/>
      <x:c r="N51" s="1277"/>
    </x:row>
    <x:row r="52" ht="48" customHeight="1">
      <x:c r="A52" s="1327" t="str">
        <x:v>Reservado</x:v>
      </x:c>
      <x:c r="B52" s="1327" t="str">
        <x:v>Condicional</x:v>
      </x:c>
      <x:c r="C52" s="1327" t="str">
        <x:v>mostrar conflicto/prioridad</x:v>
      </x:c>
      <x:c r="D52" s="1327" t="str">
        <x:v>Planificación</x:v>
      </x:c>
      <x:c r="E52" s="1327" t="str">
        <x:v>independiente</x:v>
      </x:c>
      <x:c r="F52" s="1327" t="str">
        <x:v>no asignar silenciosamente</x:v>
      </x:c>
      <x:c r="G52" s="1277"/>
      <x:c r="H52" s="1277"/>
      <x:c r="I52" s="1277"/>
      <x:c r="J52" s="1277"/>
      <x:c r="K52" s="1277"/>
      <x:c r="L52" s="1277"/>
      <x:c r="M52" s="1277"/>
      <x:c r="N52" s="1277"/>
    </x:row>
    <x:row r="53" ht="48" customHeight="1">
      <x:c r="A53" s="1327" t="str">
        <x:v>Asignado</x:v>
      </x:c>
      <x:c r="B53" s="1327" t="str">
        <x:v>Condicional/No</x:v>
      </x:c>
      <x:c r="C53" s="1327" t="str">
        <x:v>evitar doble booking salvo regla</x:v>
      </x:c>
      <x:c r="D53" s="1327" t="str">
        <x:v>Planificación</x:v>
      </x:c>
      <x:c r="E53" s="1327" t="str">
        <x:v>independiente</x:v>
      </x:c>
      <x:c r="F53" s="1327" t="str">
        <x:v>ventana temporal importa</x:v>
      </x:c>
      <x:c r="G53" s="1277"/>
      <x:c r="H53" s="1277"/>
      <x:c r="I53" s="1277"/>
      <x:c r="J53" s="1277"/>
      <x:c r="K53" s="1277"/>
      <x:c r="L53" s="1277"/>
      <x:c r="M53" s="1277"/>
      <x:c r="N53" s="1277"/>
    </x:row>
    <x:row r="54" ht="48" customHeight="1">
      <x:c r="A54" s="1327" t="str">
        <x:v>Mantenimiento</x:v>
      </x:c>
      <x:c r="B54" s="1327" t="str">
        <x:v>No</x:v>
      </x:c>
      <x:c r="C54" s="1327" t="str">
        <x:v>excluir matching</x:v>
      </x:c>
      <x:c r="D54" s="1327" t="str">
        <x:v>Mantenimiento</x:v>
      </x:c>
      <x:c r="E54" s="1327" t="str">
        <x:v>independiente</x:v>
      </x:c>
      <x:c r="F54" s="1327" t="str">
        <x:v>no hace falta conocer detalle técnico</x:v>
      </x:c>
      <x:c r="G54" s="1277"/>
      <x:c r="H54" s="1277"/>
      <x:c r="I54" s="1277"/>
      <x:c r="J54" s="1277"/>
      <x:c r="K54" s="1277"/>
      <x:c r="L54" s="1277"/>
      <x:c r="M54" s="1277"/>
      <x:c r="N54" s="1277"/>
    </x:row>
    <x:row r="55" ht="48" customHeight="1">
      <x:c r="A55" s="1327" t="str">
        <x:v>Fuera de servicio</x:v>
      </x:c>
      <x:c r="B55" s="1327" t="str">
        <x:v>No</x:v>
      </x:c>
      <x:c r="C55" s="1327" t="str">
        <x:v>bloquear</x:v>
      </x:c>
      <x:c r="D55" s="1327" t="str">
        <x:v>Flota/Mantenimiento</x:v>
      </x:c>
      <x:c r="E55" s="1327" t="str">
        <x:v>independiente</x:v>
      </x:c>
      <x:c r="F55" s="1327" t="str">
        <x:v>causa opcional</x:v>
      </x:c>
      <x:c r="G55" s="1277"/>
      <x:c r="H55" s="1277"/>
      <x:c r="I55" s="1277"/>
      <x:c r="J55" s="1277"/>
      <x:c r="K55" s="1277"/>
      <x:c r="L55" s="1277"/>
      <x:c r="M55" s="1277"/>
      <x:c r="N55" s="1277"/>
    </x:row>
    <x:row r="56" ht="48" customHeight="1">
      <x:c r="A56" s="1327" t="str">
        <x:v>Desconocido</x:v>
      </x:c>
      <x:c r="B56" s="1327" t="str">
        <x:v>Advertir/Bloquear según política</x:v>
      </x:c>
      <x:c r="C56" s="1327" t="str">
        <x:v>pedir confirmación/consulta</x:v>
      </x:c>
      <x:c r="D56" s="1327" t="str">
        <x:v>falta fuente</x:v>
      </x:c>
      <x:c r="E56" s="1327" t="str">
        <x:v>independiente</x:v>
      </x:c>
      <x:c r="F56" s="1327" t="str">
        <x:v>no asumir disponible</x:v>
      </x:c>
      <x:c r="G56" s="1277"/>
      <x:c r="H56" s="1277"/>
      <x:c r="I56" s="1277"/>
      <x:c r="J56" s="1277"/>
      <x:c r="K56" s="1277"/>
      <x:c r="L56" s="1277"/>
      <x:c r="M56" s="1277"/>
      <x:c r="N56" s="1277"/>
    </x:row>
    <x:row r="57">
      <x:c r="A57" s="1277"/>
      <x:c r="B57" s="1277"/>
      <x:c r="C57" s="1277"/>
      <x:c r="D57" s="1277"/>
      <x:c r="E57" s="1277"/>
      <x:c r="F57" s="1277"/>
      <x:c r="G57" s="1277"/>
      <x:c r="H57" s="1277"/>
      <x:c r="I57" s="1277"/>
      <x:c r="J57" s="1277"/>
      <x:c r="K57" s="1277"/>
      <x:c r="L57" s="1277"/>
      <x:c r="M57" s="1277"/>
      <x:c r="N57" s="1277"/>
    </x:row>
    <x:row r="58">
      <x:c r="A58" s="1420" t="str">
        <x:v>06 — HANDOVER TP-01 · CONTINUIDAD SIN MICROCARGA</x:v>
      </x:c>
      <x:c r="B58" s="1420"/>
      <x:c r="C58" s="1420"/>
      <x:c r="D58" s="1420"/>
      <x:c r="E58" s="1420"/>
      <x:c r="F58" s="1420"/>
      <x:c r="G58" s="1420"/>
      <x:c r="H58" s="1420"/>
      <x:c r="I58" s="1420"/>
      <x:c r="J58" s="1420"/>
      <x:c r="K58" s="1420"/>
      <x:c r="L58" s="1420"/>
      <x:c r="M58" s="1420"/>
      <x:c r="N58" s="1420"/>
    </x:row>
    <x:row r="59">
      <x:c r="A59" s="1277"/>
      <x:c r="B59" s="1277"/>
      <x:c r="C59" s="1277"/>
      <x:c r="D59" s="1277"/>
      <x:c r="E59" s="1277"/>
      <x:c r="F59" s="1277"/>
      <x:c r="G59" s="1277"/>
      <x:c r="H59" s="1277"/>
      <x:c r="I59" s="1277"/>
      <x:c r="J59" s="1277"/>
      <x:c r="K59" s="1277"/>
      <x:c r="L59" s="1277"/>
      <x:c r="M59" s="1277"/>
      <x:c r="N59" s="1277"/>
    </x:row>
    <x:row r="60">
      <x:c r="A60" s="2724" t="str">
        <x:v>TURNO / EQUIPO
SALIENTE
Personas A/B</x:v>
      </x:c>
      <x:c r="B60" s="2725"/>
      <x:c r="C60" s="2726"/>
      <x:c r="D60" s="1277"/>
      <x:c r="E60" s="2727" t="str">
        <x:v>EVENTO
HANDOVER
1 acción</x:v>
      </x:c>
      <x:c r="F60" s="2728"/>
      <x:c r="G60" s="2729"/>
      <x:c r="H60" s="1277"/>
      <x:c r="I60" s="2745" t="str">
        <x:v>CIERRA INTERVALOS
SALIENTES
+ abre entrantes</x:v>
      </x:c>
      <x:c r="J60" s="2746"/>
      <x:c r="K60" s="2747"/>
      <x:c r="L60" s="1277"/>
      <x:c r="M60" s="2721" t="str">
        <x:v>REVALIDA
PTW + DOC</x:v>
      </x:c>
      <x:c r="N60" s="2723"/>
    </x:row>
    <x:row r="61">
      <x:c r="A61" s="2732"/>
      <x:c r="B61" s="1425"/>
      <x:c r="C61" s="2733"/>
      <x:c r="D61" s="1277"/>
      <x:c r="E61" s="2734"/>
      <x:c r="F61" s="1432"/>
      <x:c r="G61" s="2735"/>
      <x:c r="H61" s="1277"/>
      <x:c r="I61" s="2748"/>
      <x:c r="J61" s="1426"/>
      <x:c r="K61" s="2749"/>
      <x:c r="L61" s="1277"/>
      <x:c r="M61" s="2730"/>
      <x:c r="N61" s="2731"/>
    </x:row>
    <x:row r="62">
      <x:c r="A62" s="2732"/>
      <x:c r="B62" s="1425"/>
      <x:c r="C62" s="2733"/>
      <x:c r="D62" s="1297" t="str">
        <x:v>→</x:v>
      </x:c>
      <x:c r="E62" s="2734"/>
      <x:c r="F62" s="1432"/>
      <x:c r="G62" s="2735"/>
      <x:c r="H62" s="1297" t="str">
        <x:v>→</x:v>
      </x:c>
      <x:c r="I62" s="2748"/>
      <x:c r="J62" s="1426"/>
      <x:c r="K62" s="2749"/>
      <x:c r="L62" s="1297" t="str">
        <x:v>→</x:v>
      </x:c>
      <x:c r="M62" s="2730"/>
      <x:c r="N62" s="2731"/>
    </x:row>
    <x:row r="63">
      <x:c r="A63" s="2732"/>
      <x:c r="B63" s="1425"/>
      <x:c r="C63" s="2733"/>
      <x:c r="D63" s="1277"/>
      <x:c r="E63" s="2734"/>
      <x:c r="F63" s="1432"/>
      <x:c r="G63" s="2735"/>
      <x:c r="H63" s="1277"/>
      <x:c r="I63" s="2748"/>
      <x:c r="J63" s="1426"/>
      <x:c r="K63" s="2749"/>
      <x:c r="L63" s="1277"/>
      <x:c r="M63" s="2730"/>
      <x:c r="N63" s="2731"/>
    </x:row>
    <x:row r="64">
      <x:c r="A64" s="2739"/>
      <x:c r="B64" s="2740"/>
      <x:c r="C64" s="2741"/>
      <x:c r="D64" s="1277"/>
      <x:c r="E64" s="2742"/>
      <x:c r="F64" s="2743"/>
      <x:c r="G64" s="2744"/>
      <x:c r="H64" s="1277"/>
      <x:c r="I64" s="2750"/>
      <x:c r="J64" s="2751"/>
      <x:c r="K64" s="2752"/>
      <x:c r="L64" s="1277"/>
      <x:c r="M64" s="2736"/>
      <x:c r="N64" s="2738"/>
    </x:row>
    <x:row r="65">
      <x:c r="A65" s="1277"/>
      <x:c r="B65" s="1277"/>
      <x:c r="C65" s="1277"/>
      <x:c r="D65" s="1277"/>
      <x:c r="E65" s="1277"/>
      <x:c r="F65" s="1277"/>
      <x:c r="G65" s="1277"/>
      <x:c r="H65" s="1277"/>
      <x:c r="I65" s="1277"/>
      <x:c r="J65" s="1277"/>
      <x:c r="K65" s="1277"/>
      <x:c r="L65" s="1277"/>
      <x:c r="M65" s="1277"/>
      <x:c r="N65" s="1277"/>
    </x:row>
    <x:row r="66">
      <x:c r="A66" s="1429" t="str">
        <x:v>El sistema puede mantener el mismo TP-01 y saber quién trabajó cada tramo mediante AsignacionPersonaEjecucion temporal. Si una regla operativa/contractual exige nuevo Parte por turno, el mismo evento Handover puede disparar ReglaCorte. Por eso v0.9 no fuerza ninguna de las dos políticas universalmente.</x:v>
      </x:c>
      <x:c r="B66" s="1429"/>
      <x:c r="C66" s="1429"/>
      <x:c r="D66" s="1429"/>
      <x:c r="E66" s="1429"/>
      <x:c r="F66" s="1429"/>
      <x:c r="G66" s="1429"/>
      <x:c r="H66" s="1429"/>
      <x:c r="I66" s="1429"/>
      <x:c r="J66" s="1429"/>
      <x:c r="K66" s="1429"/>
      <x:c r="L66" s="1429"/>
      <x:c r="M66" s="1429"/>
      <x:c r="N66" s="1429"/>
    </x:row>
    <x:row r="67">
      <x:c r="A67" s="1429"/>
      <x:c r="B67" s="1429"/>
      <x:c r="C67" s="1429"/>
      <x:c r="D67" s="1429"/>
      <x:c r="E67" s="1429"/>
      <x:c r="F67" s="1429"/>
      <x:c r="G67" s="1429"/>
      <x:c r="H67" s="1429"/>
      <x:c r="I67" s="1429"/>
      <x:c r="J67" s="1429"/>
      <x:c r="K67" s="1429"/>
      <x:c r="L67" s="1429"/>
      <x:c r="M67" s="1429"/>
      <x:c r="N67" s="1429"/>
    </x:row>
    <x:row r="68">
      <x:c r="A68" s="1429"/>
      <x:c r="B68" s="1429"/>
      <x:c r="C68" s="1429"/>
      <x:c r="D68" s="1429"/>
      <x:c r="E68" s="1429"/>
      <x:c r="F68" s="1429"/>
      <x:c r="G68" s="1429"/>
      <x:c r="H68" s="1429"/>
      <x:c r="I68" s="1429"/>
      <x:c r="J68" s="1429"/>
      <x:c r="K68" s="1429"/>
      <x:c r="L68" s="1429"/>
      <x:c r="M68" s="1429"/>
      <x:c r="N68" s="1429"/>
    </x:row>
    <x:row r="69">
      <x:c r="A69" s="1429"/>
      <x:c r="B69" s="1429"/>
      <x:c r="C69" s="1429"/>
      <x:c r="D69" s="1429"/>
      <x:c r="E69" s="1429"/>
      <x:c r="F69" s="1429"/>
      <x:c r="G69" s="1429"/>
      <x:c r="H69" s="1429"/>
      <x:c r="I69" s="1429"/>
      <x:c r="J69" s="1429"/>
      <x:c r="K69" s="1429"/>
      <x:c r="L69" s="1429"/>
      <x:c r="M69" s="1429"/>
      <x:c r="N69" s="1429"/>
    </x:row>
    <x:row r="70">
      <x:c r="A70" s="1277"/>
      <x:c r="B70" s="1277"/>
      <x:c r="C70" s="1277"/>
      <x:c r="D70" s="1277"/>
      <x:c r="E70" s="1277"/>
      <x:c r="F70" s="1277"/>
      <x:c r="G70" s="1277"/>
      <x:c r="H70" s="1277"/>
      <x:c r="I70" s="1277"/>
      <x:c r="J70" s="1277"/>
      <x:c r="K70" s="1277"/>
      <x:c r="L70" s="1277"/>
      <x:c r="M70" s="1277"/>
      <x:c r="N70" s="1277"/>
    </x:row>
    <x:row r="71">
      <x:c r="A71" s="1420" t="str">
        <x:v>07 — PTW COLGADO · ALERTAR, ESCALAR, CERRAR ADMINISTRATIVAMENTE SOLO CON AUTORIDAD</x:v>
      </x:c>
      <x:c r="B71" s="1420"/>
      <x:c r="C71" s="1420"/>
      <x:c r="D71" s="1420"/>
      <x:c r="E71" s="1420"/>
      <x:c r="F71" s="1420"/>
      <x:c r="G71" s="1420"/>
      <x:c r="H71" s="1420"/>
      <x:c r="I71" s="1420"/>
      <x:c r="J71" s="1420"/>
      <x:c r="K71" s="1420"/>
      <x:c r="L71" s="1420"/>
      <x:c r="M71" s="1420"/>
      <x:c r="N71" s="1420"/>
    </x:row>
    <x:row r="72">
      <x:c r="A72" s="1277"/>
      <x:c r="B72" s="1277"/>
      <x:c r="C72" s="1277"/>
      <x:c r="D72" s="1277"/>
      <x:c r="E72" s="1277"/>
      <x:c r="F72" s="1277"/>
      <x:c r="G72" s="1277"/>
      <x:c r="H72" s="1277"/>
      <x:c r="I72" s="1277"/>
      <x:c r="J72" s="1277"/>
      <x:c r="K72" s="1277"/>
      <x:c r="L72" s="1277"/>
      <x:c r="M72" s="1277"/>
      <x:c r="N72" s="1277"/>
    </x:row>
    <x:row r="73">
      <x:c r="A73" s="2721" t="str">
        <x:v>PTW
SUSPENDIDO /
SIN CIERRE</x:v>
      </x:c>
      <x:c r="B73" s="2722"/>
      <x:c r="C73" s="2723"/>
      <x:c r="D73" s="1277"/>
      <x:c r="E73" s="2727" t="str">
        <x:v>SLA / TTL
EXCEDIDO
NO autocierra</x:v>
      </x:c>
      <x:c r="F73" s="2728"/>
      <x:c r="G73" s="2729"/>
      <x:c r="H73" s="1277"/>
      <x:c r="I73" s="2724" t="str">
        <x:v>ALERTA +
ESCALAMIENTO
Habilita/Supervisor</x:v>
      </x:c>
      <x:c r="J73" s="2725"/>
      <x:c r="K73" s="2726"/>
      <x:c r="L73" s="1277"/>
      <x:c r="M73" s="2753" t="str">
        <x:v>CIERRE ADM.
AUTORIZADO
si aplica</x:v>
      </x:c>
      <x:c r="N73" s="2754"/>
    </x:row>
    <x:row r="74">
      <x:c r="A74" s="2730"/>
      <x:c r="B74" s="1424"/>
      <x:c r="C74" s="2731"/>
      <x:c r="D74" s="1277"/>
      <x:c r="E74" s="2734"/>
      <x:c r="F74" s="1432"/>
      <x:c r="G74" s="2735"/>
      <x:c r="H74" s="1277"/>
      <x:c r="I74" s="2732"/>
      <x:c r="J74" s="1425"/>
      <x:c r="K74" s="2733"/>
      <x:c r="L74" s="1277"/>
      <x:c r="M74" s="2755"/>
      <x:c r="N74" s="2756"/>
    </x:row>
    <x:row r="75">
      <x:c r="A75" s="2730"/>
      <x:c r="B75" s="1424"/>
      <x:c r="C75" s="2731"/>
      <x:c r="D75" s="1297" t="str">
        <x:v>→</x:v>
      </x:c>
      <x:c r="E75" s="2734"/>
      <x:c r="F75" s="1432"/>
      <x:c r="G75" s="2735"/>
      <x:c r="H75" s="1297" t="str">
        <x:v>→</x:v>
      </x:c>
      <x:c r="I75" s="2732"/>
      <x:c r="J75" s="1425"/>
      <x:c r="K75" s="2733"/>
      <x:c r="L75" s="1297" t="str">
        <x:v>→</x:v>
      </x:c>
      <x:c r="M75" s="2755"/>
      <x:c r="N75" s="2756"/>
    </x:row>
    <x:row r="76">
      <x:c r="A76" s="2730"/>
      <x:c r="B76" s="1424"/>
      <x:c r="C76" s="2731"/>
      <x:c r="D76" s="1277"/>
      <x:c r="E76" s="2734"/>
      <x:c r="F76" s="1432"/>
      <x:c r="G76" s="2735"/>
      <x:c r="H76" s="1277"/>
      <x:c r="I76" s="2732"/>
      <x:c r="J76" s="1425"/>
      <x:c r="K76" s="2733"/>
      <x:c r="L76" s="1277"/>
      <x:c r="M76" s="2755"/>
      <x:c r="N76" s="2756"/>
    </x:row>
    <x:row r="77">
      <x:c r="A77" s="2736"/>
      <x:c r="B77" s="2737"/>
      <x:c r="C77" s="2738"/>
      <x:c r="D77" s="1277"/>
      <x:c r="E77" s="2742"/>
      <x:c r="F77" s="2743"/>
      <x:c r="G77" s="2744"/>
      <x:c r="H77" s="1277"/>
      <x:c r="I77" s="2739"/>
      <x:c r="J77" s="2740"/>
      <x:c r="K77" s="2741"/>
      <x:c r="L77" s="1277"/>
      <x:c r="M77" s="2757"/>
      <x:c r="N77" s="2758"/>
    </x:row>
    <x:row r="78">
      <x:c r="A78" s="1277"/>
      <x:c r="B78" s="1277"/>
      <x:c r="C78" s="1277"/>
      <x:c r="D78" s="1277"/>
      <x:c r="E78" s="1277"/>
      <x:c r="F78" s="1277"/>
      <x:c r="G78" s="1277"/>
      <x:c r="H78" s="1277"/>
      <x:c r="I78" s="1277"/>
      <x:c r="J78" s="1277"/>
      <x:c r="K78" s="1277"/>
      <x:c r="L78" s="1277"/>
      <x:c r="M78" s="1277"/>
      <x:c r="N78" s="1277"/>
    </x:row>
    <x:row r="79">
      <x:c r="A79" s="1433" t="str">
        <x:v>EventoCierreAdministrativoPTW debe guardar causa, actor, evidencia y timestamps. El timeout solo cambia el nivel de alerta/escalamiento; nunca certifica por sí mismo que el área quedó segura.</x:v>
      </x:c>
      <x:c r="B79" s="1433"/>
      <x:c r="C79" s="1433"/>
      <x:c r="D79" s="1433"/>
      <x:c r="E79" s="1433"/>
      <x:c r="F79" s="1433"/>
      <x:c r="G79" s="1433"/>
      <x:c r="H79" s="1433"/>
      <x:c r="I79" s="1433"/>
      <x:c r="J79" s="1433"/>
      <x:c r="K79" s="1433"/>
      <x:c r="L79" s="1433"/>
      <x:c r="M79" s="1433"/>
      <x:c r="N79" s="1433"/>
    </x:row>
    <x:row r="80">
      <x:c r="A80" s="1433"/>
      <x:c r="B80" s="1433"/>
      <x:c r="C80" s="1433"/>
      <x:c r="D80" s="1433"/>
      <x:c r="E80" s="1433"/>
      <x:c r="F80" s="1433"/>
      <x:c r="G80" s="1433"/>
      <x:c r="H80" s="1433"/>
      <x:c r="I80" s="1433"/>
      <x:c r="J80" s="1433"/>
      <x:c r="K80" s="1433"/>
      <x:c r="L80" s="1433"/>
      <x:c r="M80" s="1433"/>
      <x:c r="N80" s="1433"/>
    </x:row>
    <x:row r="81">
      <x:c r="A81" s="1433"/>
      <x:c r="B81" s="1433"/>
      <x:c r="C81" s="1433"/>
      <x:c r="D81" s="1433"/>
      <x:c r="E81" s="1433"/>
      <x:c r="F81" s="1433"/>
      <x:c r="G81" s="1433"/>
      <x:c r="H81" s="1433"/>
      <x:c r="I81" s="1433"/>
      <x:c r="J81" s="1433"/>
      <x:c r="K81" s="1433"/>
      <x:c r="L81" s="1433"/>
      <x:c r="M81" s="1433"/>
      <x:c r="N81" s="1433"/>
    </x:row>
    <x:row r="82">
      <x:c r="A82" s="1433"/>
      <x:c r="B82" s="1433"/>
      <x:c r="C82" s="1433"/>
      <x:c r="D82" s="1433"/>
      <x:c r="E82" s="1433"/>
      <x:c r="F82" s="1433"/>
      <x:c r="G82" s="1433"/>
      <x:c r="H82" s="1433"/>
      <x:c r="I82" s="1433"/>
      <x:c r="J82" s="1433"/>
      <x:c r="K82" s="1433"/>
      <x:c r="L82" s="1433"/>
      <x:c r="M82" s="1433"/>
      <x:c r="N82" s="1433"/>
    </x:row>
    <x:row r="83">
      <x:c r="A83" s="1277"/>
      <x:c r="B83" s="1277"/>
      <x:c r="C83" s="1277"/>
      <x:c r="D83" s="1277"/>
      <x:c r="E83" s="1277"/>
      <x:c r="F83" s="1277"/>
      <x:c r="G83" s="1277"/>
      <x:c r="H83" s="1277"/>
      <x:c r="I83" s="1277"/>
      <x:c r="J83" s="1277"/>
      <x:c r="K83" s="1277"/>
      <x:c r="L83" s="1277"/>
      <x:c r="M83" s="1277"/>
      <x:c r="N83" s="1277"/>
    </x:row>
    <x:row r="84">
      <x:c r="A84" s="1420" t="str">
        <x:v>08 — ENMIENDA OPERATIVA VS AJUSTE COMERCIAL</x:v>
      </x:c>
      <x:c r="B84" s="1420"/>
      <x:c r="C84" s="1420"/>
      <x:c r="D84" s="1420"/>
      <x:c r="E84" s="1420"/>
      <x:c r="F84" s="1420"/>
      <x:c r="G84" s="1420"/>
      <x:c r="H84" s="1420"/>
      <x:c r="I84" s="1420"/>
      <x:c r="J84" s="1420"/>
      <x:c r="K84" s="1420"/>
      <x:c r="L84" s="1420"/>
      <x:c r="M84" s="1420"/>
      <x:c r="N84" s="1420"/>
    </x:row>
    <x:row r="85">
      <x:c r="A85" s="1277"/>
      <x:c r="B85" s="1277"/>
      <x:c r="C85" s="1277"/>
      <x:c r="D85" s="1277"/>
      <x:c r="E85" s="1277"/>
      <x:c r="F85" s="1277"/>
      <x:c r="G85" s="1277"/>
      <x:c r="H85" s="1277"/>
      <x:c r="I85" s="1277"/>
      <x:c r="J85" s="1277"/>
      <x:c r="K85" s="1277"/>
      <x:c r="L85" s="1277"/>
      <x:c r="M85" s="1277"/>
      <x:c r="N85" s="1277"/>
    </x:row>
    <x:row r="86">
      <x:c r="A86" s="2745" t="str">
        <x:v>ERROR REAL DE CAPTURA
80 h → en realidad 8 h
ENMIENDA OPERATIVA
append-only + autorización
corrige verdad operacional</x:v>
      </x:c>
      <x:c r="B86" s="2746"/>
      <x:c r="C86" s="2746"/>
      <x:c r="D86" s="2746"/>
      <x:c r="E86" s="2746"/>
      <x:c r="F86" s="2747"/>
      <x:c r="G86" s="1277"/>
      <x:c r="H86" s="1277"/>
      <x:c r="I86" s="2721" t="str">
        <x:v>DIFERENCIA COMERCIAL
8 h reales → cliente reconoce 7 h
AJUSTE CERTIFICACIÓN
-1 h
NO modifica ejecución</x:v>
      </x:c>
      <x:c r="J86" s="2722"/>
      <x:c r="K86" s="2722"/>
      <x:c r="L86" s="2722"/>
      <x:c r="M86" s="2722"/>
      <x:c r="N86" s="2723"/>
    </x:row>
    <x:row r="87">
      <x:c r="A87" s="2748"/>
      <x:c r="B87" s="1426"/>
      <x:c r="C87" s="1426"/>
      <x:c r="D87" s="1426"/>
      <x:c r="E87" s="1426"/>
      <x:c r="F87" s="2749"/>
      <x:c r="G87" s="1277"/>
      <x:c r="H87" s="1277"/>
      <x:c r="I87" s="2730"/>
      <x:c r="J87" s="1424"/>
      <x:c r="K87" s="1424"/>
      <x:c r="L87" s="1424"/>
      <x:c r="M87" s="1424"/>
      <x:c r="N87" s="2731"/>
    </x:row>
    <x:row r="88">
      <x:c r="A88" s="2748"/>
      <x:c r="B88" s="1426"/>
      <x:c r="C88" s="1426"/>
      <x:c r="D88" s="1426"/>
      <x:c r="E88" s="1426"/>
      <x:c r="F88" s="2749"/>
      <x:c r="G88" s="1277"/>
      <x:c r="H88" s="1277"/>
      <x:c r="I88" s="2730"/>
      <x:c r="J88" s="1424"/>
      <x:c r="K88" s="1424"/>
      <x:c r="L88" s="1424"/>
      <x:c r="M88" s="1424"/>
      <x:c r="N88" s="2731"/>
    </x:row>
    <x:row r="89">
      <x:c r="A89" s="2748"/>
      <x:c r="B89" s="1426"/>
      <x:c r="C89" s="1426"/>
      <x:c r="D89" s="1426"/>
      <x:c r="E89" s="1426"/>
      <x:c r="F89" s="2749"/>
      <x:c r="G89" s="1277"/>
      <x:c r="H89" s="1277"/>
      <x:c r="I89" s="2730"/>
      <x:c r="J89" s="1424"/>
      <x:c r="K89" s="1424"/>
      <x:c r="L89" s="1424"/>
      <x:c r="M89" s="1424"/>
      <x:c r="N89" s="2731"/>
    </x:row>
    <x:row r="90">
      <x:c r="A90" s="2748"/>
      <x:c r="B90" s="1426"/>
      <x:c r="C90" s="1426"/>
      <x:c r="D90" s="1426"/>
      <x:c r="E90" s="1426"/>
      <x:c r="F90" s="2749"/>
      <x:c r="G90" s="1277"/>
      <x:c r="H90" s="1277"/>
      <x:c r="I90" s="2730"/>
      <x:c r="J90" s="1424"/>
      <x:c r="K90" s="1424"/>
      <x:c r="L90" s="1424"/>
      <x:c r="M90" s="1424"/>
      <x:c r="N90" s="2731"/>
    </x:row>
    <x:row r="91">
      <x:c r="A91" s="2750"/>
      <x:c r="B91" s="2751"/>
      <x:c r="C91" s="2751"/>
      <x:c r="D91" s="2751"/>
      <x:c r="E91" s="2751"/>
      <x:c r="F91" s="2752"/>
      <x:c r="G91" s="1277"/>
      <x:c r="H91" s="1277"/>
      <x:c r="I91" s="2736"/>
      <x:c r="J91" s="2737"/>
      <x:c r="K91" s="2737"/>
      <x:c r="L91" s="2737"/>
      <x:c r="M91" s="2737"/>
      <x:c r="N91" s="2738"/>
    </x:row>
    <x:row r="92">
      <x:c r="A92" s="1277"/>
      <x:c r="B92" s="1277"/>
      <x:c r="C92" s="1277"/>
      <x:c r="D92" s="1277"/>
      <x:c r="E92" s="1277"/>
      <x:c r="F92" s="1277"/>
      <x:c r="G92" s="1277"/>
      <x:c r="H92" s="1277"/>
      <x:c r="I92" s="1277"/>
      <x:c r="J92" s="1277"/>
      <x:c r="K92" s="1277"/>
      <x:c r="L92" s="1277"/>
      <x:c r="M92" s="1277"/>
      <x:c r="N92" s="1277"/>
    </x:row>
    <x:row r="93">
      <x:c r="A93" s="1420" t="str">
        <x:v>09 — VALIDACIONES ABIERTAS DE ESTA CAPA</x:v>
      </x:c>
      <x:c r="B93" s="1420"/>
      <x:c r="C93" s="1420"/>
      <x:c r="D93" s="1420"/>
      <x:c r="E93" s="1420"/>
      <x:c r="F93" s="1420"/>
      <x:c r="G93" s="1420"/>
      <x:c r="H93" s="1420"/>
      <x:c r="I93" s="1420"/>
      <x:c r="J93" s="1420"/>
      <x:c r="K93" s="1420"/>
      <x:c r="L93" s="1420"/>
      <x:c r="M93" s="1420"/>
      <x:c r="N93" s="1420"/>
    </x:row>
    <x:row r="94">
      <x:c r="A94" s="1430" t="str">
        <x:v>ID</x:v>
      </x:c>
      <x:c r="B94" s="1430" t="str">
        <x:v>Tema</x:v>
      </x:c>
      <x:c r="C94" s="1430" t="str">
        <x:v>Pregunta</x:v>
      </x:c>
      <x:c r="D94" s="1430" t="str">
        <x:v>Quién</x:v>
      </x:c>
      <x:c r="E94" s="1430" t="str">
        <x:v>Prioridad</x:v>
      </x:c>
      <x:c r="F94" s="1430" t="str">
        <x:v>Impacto</x:v>
      </x:c>
      <x:c r="G94" s="1277"/>
      <x:c r="H94" s="1277"/>
      <x:c r="I94" s="1277"/>
      <x:c r="J94" s="1277"/>
      <x:c r="K94" s="1277"/>
      <x:c r="L94" s="1277"/>
      <x:c r="M94" s="1277"/>
      <x:c r="N94" s="1277"/>
    </x:row>
    <x:row r="95" ht="48" customHeight="1">
      <x:c r="A95" s="1327" t="str">
        <x:v>V61</x:v>
      </x:c>
      <x:c r="B95" s="1327" t="str">
        <x:v>Directivas</x:v>
      </x:c>
      <x:c r="C95" s="1327" t="str">
        <x:v>Qué tipos exigen ACK y qué hacer si ejecución ya está en curso?</x:v>
      </x:c>
      <x:c r="D95" s="1327" t="str">
        <x:v>Planificación/Ops</x:v>
      </x:c>
      <x:c r="E95" s="1327" t="str">
        <x:v>Crítica</x:v>
      </x:c>
      <x:c r="F95" s="1327" t="str">
        <x:v>Control Plane</x:v>
      </x:c>
      <x:c r="G95" s="1277"/>
      <x:c r="H95" s="1277"/>
      <x:c r="I95" s="1277"/>
      <x:c r="J95" s="1277"/>
      <x:c r="K95" s="1277"/>
      <x:c r="L95" s="1277"/>
      <x:c r="M95" s="1277"/>
      <x:c r="N95" s="1277"/>
    </x:row>
    <x:row r="96" ht="48" customHeight="1">
      <x:c r="A96" s="1327" t="str">
        <x:v>V62</x:v>
      </x:c>
      <x:c r="B96" s="1327" t="str">
        <x:v>Offline</x:v>
      </x:c>
      <x:c r="C96" s="1327" t="str">
        <x:v>Qué ventana y scope mínimo deben viajar al dispositivo?</x:v>
      </x:c>
      <x:c r="D96" s="1327" t="str">
        <x:v>Ops/Tecnología</x:v>
      </x:c>
      <x:c r="E96" s="1327" t="str">
        <x:v>Alta</x:v>
      </x:c>
      <x:c r="F96" s="1327" t="str">
        <x:v>Bundle</x:v>
      </x:c>
      <x:c r="G96" s="1277"/>
      <x:c r="H96" s="1277"/>
      <x:c r="I96" s="1277"/>
      <x:c r="J96" s="1277"/>
      <x:c r="K96" s="1277"/>
      <x:c r="L96" s="1277"/>
      <x:c r="M96" s="1277"/>
      <x:c r="N96" s="1277"/>
    </x:row>
    <x:row r="97" ht="48" customHeight="1">
      <x:c r="A97" s="1327" t="str">
        <x:v>V63</x:v>
      </x:c>
      <x:c r="B97" s="1327" t="str">
        <x:v>Disponibilidad</x:v>
      </x:c>
      <x:c r="C97" s="1327" t="str">
        <x:v>Cuál es la fuente confiable del estado de recursos?</x:v>
      </x:c>
      <x:c r="D97" s="1327" t="str">
        <x:v>Flota/Mantenimiento</x:v>
      </x:c>
      <x:c r="E97" s="1327" t="str">
        <x:v>Crítica</x:v>
      </x:c>
      <x:c r="F97" s="1327" t="str">
        <x:v>Readiness</x:v>
      </x:c>
      <x:c r="G97" s="1277"/>
      <x:c r="H97" s="1277"/>
      <x:c r="I97" s="1277"/>
      <x:c r="J97" s="1277"/>
      <x:c r="K97" s="1277"/>
      <x:c r="L97" s="1277"/>
      <x:c r="M97" s="1277"/>
      <x:c r="N97" s="1277"/>
    </x:row>
    <x:row r="98" ht="48" customHeight="1">
      <x:c r="A98" s="1327" t="str">
        <x:v>V64</x:v>
      </x:c>
      <x:c r="B98" s="1327" t="str">
        <x:v>Enmienda</x:v>
      </x:c>
      <x:c r="C98" s="1327" t="str">
        <x:v>Quién solicita/aprueba y qué campos son enmendables?</x:v>
      </x:c>
      <x:c r="D98" s="1327" t="str">
        <x:v>Ops/Auditoría</x:v>
      </x:c>
      <x:c r="E98" s="1327" t="str">
        <x:v>Crítica</x:v>
      </x:c>
      <x:c r="F98" s="1327" t="str">
        <x:v>Inmutabilidad</x:v>
      </x:c>
      <x:c r="G98" s="1277"/>
      <x:c r="H98" s="1277"/>
      <x:c r="I98" s="1277"/>
      <x:c r="J98" s="1277"/>
      <x:c r="K98" s="1277"/>
      <x:c r="L98" s="1277"/>
      <x:c r="M98" s="1277"/>
      <x:c r="N98" s="1277"/>
    </x:row>
    <x:row r="99" ht="48" customHeight="1">
      <x:c r="A99" s="1327" t="str">
        <x:v>V65</x:v>
      </x:c>
      <x:c r="B99" s="1327" t="str">
        <x:v>Ubicación</x:v>
      </x:c>
      <x:c r="C99" s="1327" t="str">
        <x:v>Qué jerarquía funciona realmente por servicio?</x:v>
      </x:c>
      <x:c r="D99" s="1327" t="str">
        <x:v>Ops/Tecnología</x:v>
      </x:c>
      <x:c r="E99" s="1327" t="str">
        <x:v>Alta</x:v>
      </x:c>
      <x:c r="F99" s="1327" t="str">
        <x:v>UX</x:v>
      </x:c>
      <x:c r="G99" s="1277"/>
      <x:c r="H99" s="1277"/>
      <x:c r="I99" s="1277"/>
      <x:c r="J99" s="1277"/>
      <x:c r="K99" s="1277"/>
      <x:c r="L99" s="1277"/>
      <x:c r="M99" s="1277"/>
      <x:c r="N99" s="1277"/>
    </x:row>
    <x:row r="100" ht="48" customHeight="1">
      <x:c r="A100" s="1327" t="str">
        <x:v>V66</x:v>
      </x:c>
      <x:c r="B100" s="1327" t="str">
        <x:v>PTW cierre adm.</x:v>
      </x:c>
      <x:c r="C100" s="1327" t="str">
        <x:v>Qué causas/roles permiten resolver permiso colgado?</x:v>
      </x:c>
      <x:c r="D100" s="1327" t="str">
        <x:v>Habilita</x:v>
      </x:c>
      <x:c r="E100" s="1327" t="str">
        <x:v>Crítica</x:v>
      </x:c>
      <x:c r="F100" s="1327" t="str">
        <x:v>Habilita</x:v>
      </x:c>
      <x:c r="G100" s="1277"/>
      <x:c r="H100" s="1277"/>
      <x:c r="I100" s="1277"/>
      <x:c r="J100" s="1277"/>
      <x:c r="K100" s="1277"/>
      <x:c r="L100" s="1277"/>
      <x:c r="M100" s="1277"/>
      <x:c r="N100" s="1277"/>
    </x:row>
    <x:row r="101">
      <x:c r="A101" s="1277"/>
      <x:c r="B101" s="1277"/>
      <x:c r="C101" s="1277"/>
      <x:c r="D101" s="1277"/>
      <x:c r="E101" s="1277"/>
      <x:c r="F101" s="1277"/>
      <x:c r="G101" s="1277"/>
      <x:c r="H101" s="1277"/>
      <x:c r="I101" s="1277"/>
      <x:c r="J101" s="1277"/>
      <x:c r="K101" s="1277"/>
      <x:c r="L101" s="1277"/>
      <x:c r="M101" s="1277"/>
      <x:c r="N101" s="1277"/>
    </x:row>
    <x:row r="102">
      <x:c r="A102" s="2759" t="str">
        <x:v>10 — FRESCURA OFFLINE + OVERRIDES · START WORK NECESITA CONTEXTO CONFIABLE</x:v>
      </x:c>
      <x:c r="B102" s="2759"/>
      <x:c r="C102" s="2759"/>
      <x:c r="D102" s="2759"/>
      <x:c r="E102" s="2759"/>
      <x:c r="F102" s="2759"/>
      <x:c r="G102" s="2759"/>
      <x:c r="H102" s="2759"/>
      <x:c r="I102" s="2759"/>
      <x:c r="J102" s="2759"/>
      <x:c r="K102" s="2759"/>
      <x:c r="L102" s="2759"/>
      <x:c r="M102" s="2759"/>
      <x:c r="N102" s="2759"/>
    </x:row>
    <x:row r="103">
      <x:c r="A103" s="1277"/>
      <x:c r="B103" s="1277"/>
      <x:c r="C103" s="1277"/>
      <x:c r="D103" s="1277"/>
      <x:c r="E103" s="1277"/>
      <x:c r="F103" s="1277"/>
      <x:c r="G103" s="1277"/>
      <x:c r="H103" s="1277"/>
      <x:c r="I103" s="1277"/>
      <x:c r="J103" s="1277"/>
      <x:c r="K103" s="1277"/>
      <x:c r="L103" s="1277"/>
      <x:c r="M103" s="1277"/>
      <x:c r="N103" s="1277"/>
    </x:row>
    <x:row r="104">
      <x:c r="A104" s="2760" t="str">
        <x:v>BUNDLE
VIGENTE
puede evaluar Start Work</x:v>
      </x:c>
      <x:c r="B104" s="2761"/>
      <x:c r="C104" s="2761"/>
      <x:c r="D104" s="2762"/>
      <x:c r="E104" s="1277"/>
      <x:c r="F104" s="2763" t="str">
        <x:v>BUNDLE
VENCIDO
ReglaFrescuraContexto</x:v>
      </x:c>
      <x:c r="G104" s="2764"/>
      <x:c r="H104" s="2764"/>
      <x:c r="I104" s="2765"/>
      <x:c r="J104" s="1277"/>
      <x:c r="K104" s="2766" t="str">
        <x:v>SYNC / BLOQUEO /
EMERGENCIA AUTORIZADA
+ OverrideGate si aplica</x:v>
      </x:c>
      <x:c r="L104" s="2767"/>
      <x:c r="M104" s="2767"/>
      <x:c r="N104" s="2768"/>
    </x:row>
    <x:row r="105">
      <x:c r="A105" s="2769"/>
      <x:c r="B105" s="2770"/>
      <x:c r="C105" s="2770"/>
      <x:c r="D105" s="2771"/>
      <x:c r="E105" s="1277"/>
      <x:c r="F105" s="2772"/>
      <x:c r="G105" s="2773"/>
      <x:c r="H105" s="2773"/>
      <x:c r="I105" s="2774"/>
      <x:c r="J105" s="1277"/>
      <x:c r="K105" s="2775"/>
      <x:c r="L105" s="2776"/>
      <x:c r="M105" s="2776"/>
      <x:c r="N105" s="2777"/>
    </x:row>
    <x:row r="106">
      <x:c r="A106" s="2769"/>
      <x:c r="B106" s="2770"/>
      <x:c r="C106" s="2770"/>
      <x:c r="D106" s="2771"/>
      <x:c r="E106" s="1297" t="str">
        <x:v>→</x:v>
      </x:c>
      <x:c r="F106" s="2772"/>
      <x:c r="G106" s="2773"/>
      <x:c r="H106" s="2773"/>
      <x:c r="I106" s="2774"/>
      <x:c r="J106" s="1297" t="str">
        <x:v>→</x:v>
      </x:c>
      <x:c r="K106" s="2775"/>
      <x:c r="L106" s="2776"/>
      <x:c r="M106" s="2776"/>
      <x:c r="N106" s="2777"/>
    </x:row>
    <x:row r="107">
      <x:c r="A107" s="2769"/>
      <x:c r="B107" s="2770"/>
      <x:c r="C107" s="2770"/>
      <x:c r="D107" s="2771"/>
      <x:c r="E107" s="1277"/>
      <x:c r="F107" s="2772"/>
      <x:c r="G107" s="2773"/>
      <x:c r="H107" s="2773"/>
      <x:c r="I107" s="2774"/>
      <x:c r="J107" s="1277"/>
      <x:c r="K107" s="2775"/>
      <x:c r="L107" s="2776"/>
      <x:c r="M107" s="2776"/>
      <x:c r="N107" s="2777"/>
    </x:row>
    <x:row r="108">
      <x:c r="A108" s="2778"/>
      <x:c r="B108" s="2779"/>
      <x:c r="C108" s="2779"/>
      <x:c r="D108" s="2780"/>
      <x:c r="E108" s="1277"/>
      <x:c r="F108" s="2781"/>
      <x:c r="G108" s="2782"/>
      <x:c r="H108" s="2782"/>
      <x:c r="I108" s="2783"/>
      <x:c r="J108" s="1277"/>
      <x:c r="K108" s="2784"/>
      <x:c r="L108" s="2785"/>
      <x:c r="M108" s="2785"/>
      <x:c r="N108" s="2786"/>
    </x:row>
    <x:row r="109">
      <x:c r="A109" s="1277"/>
      <x:c r="B109" s="1277"/>
      <x:c r="C109" s="1277"/>
      <x:c r="D109" s="1277"/>
      <x:c r="E109" s="1277"/>
      <x:c r="F109" s="1277"/>
      <x:c r="G109" s="1277"/>
      <x:c r="H109" s="1277"/>
      <x:c r="I109" s="1277"/>
      <x:c r="J109" s="1277"/>
      <x:c r="K109" s="1277"/>
      <x:c r="L109" s="1277"/>
      <x:c r="M109" s="1277"/>
      <x:c r="N109" s="1277"/>
    </x:row>
    <x:row r="110">
      <x:c r="A110" s="2787" t="str">
        <x:v>Un bundle vencido no se 'renueva' por el simple hecho de que la tablet siga encendida. La regla decide si exige sincronización, permite continuar solo una ejecución ya iniciada o admite una excepción autorizada. Los hard blocks Habilita/documentales no deben degradarse a override por falta de conectividad.</x:v>
      </x:c>
      <x:c r="B110" s="2787"/>
      <x:c r="C110" s="2787"/>
      <x:c r="D110" s="2787"/>
      <x:c r="E110" s="2787"/>
      <x:c r="F110" s="2787"/>
      <x:c r="G110" s="2787"/>
      <x:c r="H110" s="2787"/>
      <x:c r="I110" s="2787"/>
      <x:c r="J110" s="2787"/>
      <x:c r="K110" s="2787"/>
      <x:c r="L110" s="2787"/>
      <x:c r="M110" s="2787"/>
      <x:c r="N110" s="2787"/>
    </x:row>
    <x:row r="111">
      <x:c r="A111" s="2787"/>
      <x:c r="B111" s="2787"/>
      <x:c r="C111" s="2787"/>
      <x:c r="D111" s="2787"/>
      <x:c r="E111" s="2787"/>
      <x:c r="F111" s="2787"/>
      <x:c r="G111" s="2787"/>
      <x:c r="H111" s="2787"/>
      <x:c r="I111" s="2787"/>
      <x:c r="J111" s="2787"/>
      <x:c r="K111" s="2787"/>
      <x:c r="L111" s="2787"/>
      <x:c r="M111" s="2787"/>
      <x:c r="N111" s="2787"/>
    </x:row>
    <x:row r="112">
      <x:c r="A112" s="2787"/>
      <x:c r="B112" s="2787"/>
      <x:c r="C112" s="2787"/>
      <x:c r="D112" s="2787"/>
      <x:c r="E112" s="2787"/>
      <x:c r="F112" s="2787"/>
      <x:c r="G112" s="2787"/>
      <x:c r="H112" s="2787"/>
      <x:c r="I112" s="2787"/>
      <x:c r="J112" s="2787"/>
      <x:c r="K112" s="2787"/>
      <x:c r="L112" s="2787"/>
      <x:c r="M112" s="2787"/>
      <x:c r="N112" s="2787"/>
    </x:row>
    <x:row r="113">
      <x:c r="A113" s="2787"/>
      <x:c r="B113" s="2787"/>
      <x:c r="C113" s="2787"/>
      <x:c r="D113" s="2787"/>
      <x:c r="E113" s="2787"/>
      <x:c r="F113" s="2787"/>
      <x:c r="G113" s="2787"/>
      <x:c r="H113" s="2787"/>
      <x:c r="I113" s="2787"/>
      <x:c r="J113" s="2787"/>
      <x:c r="K113" s="2787"/>
      <x:c r="L113" s="2787"/>
      <x:c r="M113" s="2787"/>
      <x:c r="N113" s="2787"/>
    </x:row>
    <x:row r="114">
      <x:c r="A114" s="2787"/>
      <x:c r="B114" s="2787"/>
      <x:c r="C114" s="2787"/>
      <x:c r="D114" s="2787"/>
      <x:c r="E114" s="2787"/>
      <x:c r="F114" s="2787"/>
      <x:c r="G114" s="2787"/>
      <x:c r="H114" s="2787"/>
      <x:c r="I114" s="2787"/>
      <x:c r="J114" s="2787"/>
      <x:c r="K114" s="2787"/>
      <x:c r="L114" s="2787"/>
      <x:c r="M114" s="2787"/>
      <x:c r="N114" s="2787"/>
    </x:row>
    <x:row r="116">
      <x:c r="A116" s="3674" t="str">
        <x:v>11 — TRABAJO EMERGENTE · INCERTIDUMBRE CONTRACTUAL SIN DATOS FALSOS</x:v>
      </x:c>
      <x:c r="B116" s="3674"/>
      <x:c r="C116" s="3674"/>
      <x:c r="D116" s="3674"/>
      <x:c r="E116" s="3674"/>
      <x:c r="F116" s="3674"/>
      <x:c r="G116" s="3674"/>
      <x:c r="H116" s="3674"/>
      <x:c r="I116" s="3674"/>
      <x:c r="J116" s="3674"/>
      <x:c r="K116" s="3674"/>
      <x:c r="L116" s="3674"/>
      <x:c r="M116" s="3674"/>
      <x:c r="N116" s="3674"/>
    </x:row>
    <x:row r="118">
      <x:c r="A118" s="3704" t="str">
        <x:v>TRABAJO
URGENTE
contexto operativo
conocido</x:v>
      </x:c>
      <x:c r="B118" s="3705"/>
      <x:c r="C118" s="3705"/>
      <x:c r="D118" s="3706"/>
      <x:c r="F118" s="3740" t="str">
        <x:v>ESTADO CONTEXTO
CONTRACTUAL
RESUELTO / PENDIENTE /
AMBIGUO</x:v>
      </x:c>
      <x:c r="G118" s="3741"/>
      <x:c r="H118" s="3741"/>
      <x:c r="I118" s="3742"/>
      <x:c r="K118" s="3778" t="str">
        <x:v>ReglaInicioEmergente
BLOQUEAR /
PERMITIR_AUTORIZADO</x:v>
      </x:c>
      <x:c r="L118" s="3779"/>
      <x:c r="M118" s="3779"/>
      <x:c r="N118" s="3780"/>
    </x:row>
    <x:row r="119">
      <x:c r="A119" s="3707"/>
      <x:c r="B119" s="3708"/>
      <x:c r="C119" s="3708"/>
      <x:c r="D119" s="3709"/>
      <x:c r="F119" s="3743"/>
      <x:c r="G119" s="3744"/>
      <x:c r="H119" s="3744"/>
      <x:c r="I119" s="3745"/>
      <x:c r="K119" s="3781"/>
      <x:c r="L119" s="3782"/>
      <x:c r="M119" s="3782"/>
      <x:c r="N119" s="3783"/>
    </x:row>
    <x:row r="120">
      <x:c r="A120" s="3707"/>
      <x:c r="B120" s="3708"/>
      <x:c r="C120" s="3708"/>
      <x:c r="D120" s="3709"/>
      <x:c r="E120" s="840" t="str">
        <x:v>→</x:v>
      </x:c>
      <x:c r="F120" s="3743"/>
      <x:c r="G120" s="3744"/>
      <x:c r="H120" s="3744"/>
      <x:c r="I120" s="3745"/>
      <x:c r="J120" s="840" t="str">
        <x:v>→</x:v>
      </x:c>
      <x:c r="K120" s="3781"/>
      <x:c r="L120" s="3782"/>
      <x:c r="M120" s="3782"/>
      <x:c r="N120" s="3783"/>
    </x:row>
    <x:row r="121">
      <x:c r="A121" s="3707"/>
      <x:c r="B121" s="3708"/>
      <x:c r="C121" s="3708"/>
      <x:c r="D121" s="3709"/>
      <x:c r="F121" s="3743"/>
      <x:c r="G121" s="3744"/>
      <x:c r="H121" s="3744"/>
      <x:c r="I121" s="3745"/>
      <x:c r="K121" s="3781"/>
      <x:c r="L121" s="3782"/>
      <x:c r="M121" s="3782"/>
      <x:c r="N121" s="3783"/>
    </x:row>
    <x:row r="122">
      <x:c r="A122" s="3710"/>
      <x:c r="B122" s="3711"/>
      <x:c r="C122" s="3711"/>
      <x:c r="D122" s="3712"/>
      <x:c r="F122" s="3746"/>
      <x:c r="G122" s="3747"/>
      <x:c r="H122" s="3747"/>
      <x:c r="I122" s="3748"/>
      <x:c r="K122" s="3784"/>
      <x:c r="L122" s="3785"/>
      <x:c r="M122" s="3785"/>
      <x:c r="N122" s="3786"/>
    </x:row>
    <x:row r="124">
      <x:c r="A124" s="3789" t="str">
        <x:v>REV E v2 no adopta 'jamás bloquear'. El sistema puede representar la falta de CC/Item sin inventar un valor. Si ReglaInicioEmergente permite continuar, debe existir autoridad explícita + Trace/Override + mínimos operativos y gates de Habilita completos. La reconciliación contractual posterior queda obligatoria antes de derivación comercial/certificación.</x:v>
      </x:c>
      <x:c r="B124" s="3789"/>
      <x:c r="C124" s="3789"/>
      <x:c r="D124" s="3789"/>
      <x:c r="E124" s="3789"/>
      <x:c r="F124" s="3789"/>
      <x:c r="G124" s="3789"/>
      <x:c r="H124" s="3789"/>
      <x:c r="I124" s="3789"/>
      <x:c r="J124" s="3789"/>
      <x:c r="K124" s="3789"/>
      <x:c r="L124" s="3789"/>
      <x:c r="M124" s="3789"/>
      <x:c r="N124" s="3789"/>
    </x:row>
    <x:row r="125">
      <x:c r="A125" s="3789"/>
      <x:c r="B125" s="3789"/>
      <x:c r="C125" s="3789"/>
      <x:c r="D125" s="3789"/>
      <x:c r="E125" s="3789"/>
      <x:c r="F125" s="3789"/>
      <x:c r="G125" s="3789"/>
      <x:c r="H125" s="3789"/>
      <x:c r="I125" s="3789"/>
      <x:c r="J125" s="3789"/>
      <x:c r="K125" s="3789"/>
      <x:c r="L125" s="3789"/>
      <x:c r="M125" s="3789"/>
      <x:c r="N125" s="3789"/>
    </x:row>
    <x:row r="126">
      <x:c r="A126" s="3789"/>
      <x:c r="B126" s="3789"/>
      <x:c r="C126" s="3789"/>
      <x:c r="D126" s="3789"/>
      <x:c r="E126" s="3789"/>
      <x:c r="F126" s="3789"/>
      <x:c r="G126" s="3789"/>
      <x:c r="H126" s="3789"/>
      <x:c r="I126" s="3789"/>
      <x:c r="J126" s="3789"/>
      <x:c r="K126" s="3789"/>
      <x:c r="L126" s="3789"/>
      <x:c r="M126" s="3789"/>
      <x:c r="N126" s="3789"/>
    </x:row>
    <x:row r="127">
      <x:c r="A127" s="3789"/>
      <x:c r="B127" s="3789"/>
      <x:c r="C127" s="3789"/>
      <x:c r="D127" s="3789"/>
      <x:c r="E127" s="3789"/>
      <x:c r="F127" s="3789"/>
      <x:c r="G127" s="3789"/>
      <x:c r="H127" s="3789"/>
      <x:c r="I127" s="3789"/>
      <x:c r="J127" s="3789"/>
      <x:c r="K127" s="3789"/>
      <x:c r="L127" s="3789"/>
      <x:c r="M127" s="3789"/>
      <x:c r="N127" s="3789"/>
    </x:row>
    <x:row r="128">
      <x:c r="A128" s="3789"/>
      <x:c r="B128" s="3789"/>
      <x:c r="C128" s="3789"/>
      <x:c r="D128" s="3789"/>
      <x:c r="E128" s="3789"/>
      <x:c r="F128" s="3789"/>
      <x:c r="G128" s="3789"/>
      <x:c r="H128" s="3789"/>
      <x:c r="I128" s="3789"/>
      <x:c r="J128" s="3789"/>
      <x:c r="K128" s="3789"/>
      <x:c r="L128" s="3789"/>
      <x:c r="M128" s="3789"/>
      <x:c r="N128" s="3789"/>
    </x:row>
    <x:row r="129">
      <x:c r="A129" s="3789"/>
      <x:c r="B129" s="3789"/>
      <x:c r="C129" s="3789"/>
      <x:c r="D129" s="3789"/>
      <x:c r="E129" s="3789"/>
      <x:c r="F129" s="3789"/>
      <x:c r="G129" s="3789"/>
      <x:c r="H129" s="3789"/>
      <x:c r="I129" s="3789"/>
      <x:c r="J129" s="3789"/>
      <x:c r="K129" s="3789"/>
      <x:c r="L129" s="3789"/>
      <x:c r="M129" s="3789"/>
      <x:c r="N129" s="3789"/>
    </x:row>
  </x:sheetData>
  <x:mergeCells>
    <x:mergeCell ref="A1:N1"/>
    <x:mergeCell ref="A2:N2"/>
    <x:mergeCell ref="A4:N4"/>
    <x:mergeCell ref="A6:C10"/>
    <x:mergeCell ref="E6:G10"/>
    <x:mergeCell ref="I6:K10"/>
    <x:mergeCell ref="M6:N10"/>
    <x:mergeCell ref="A12:N15"/>
    <x:mergeCell ref="A17:N17"/>
    <x:mergeCell ref="H18:N23"/>
    <x:mergeCell ref="A25:N25"/>
    <x:mergeCell ref="A37:N37"/>
    <x:mergeCell ref="A39:B42"/>
    <x:mergeCell ref="D39:E42"/>
    <x:mergeCell ref="G39:H42"/>
    <x:mergeCell ref="J39:K42"/>
    <x:mergeCell ref="M39:N42"/>
    <x:mergeCell ref="A44:N47"/>
    <x:mergeCell ref="A49:N49"/>
    <x:mergeCell ref="A58:N58"/>
    <x:mergeCell ref="A60:C64"/>
    <x:mergeCell ref="E60:G64"/>
    <x:mergeCell ref="I60:K64"/>
    <x:mergeCell ref="M60:N64"/>
    <x:mergeCell ref="A66:N69"/>
    <x:mergeCell ref="A71:N71"/>
    <x:mergeCell ref="A73:C77"/>
    <x:mergeCell ref="E73:G77"/>
    <x:mergeCell ref="I73:K77"/>
    <x:mergeCell ref="M73:N77"/>
    <x:mergeCell ref="A79:N82"/>
    <x:mergeCell ref="A84:N84"/>
    <x:mergeCell ref="A86:F91"/>
    <x:mergeCell ref="I86:N91"/>
    <x:mergeCell ref="A93:N93"/>
    <x:mergeCell ref="A102:N102"/>
    <x:mergeCell ref="A104:D108"/>
    <x:mergeCell ref="F104:I108"/>
    <x:mergeCell ref="K104:N108"/>
    <x:mergeCell ref="A110:N114"/>
    <x:mergeCell ref="A116:N116"/>
    <x:mergeCell ref="A118:D122"/>
    <x:mergeCell ref="F118:I122"/>
    <x:mergeCell ref="K118:N122"/>
    <x:mergeCell ref="A124:N129"/>
  </x:mergeCells>
  <x:pageMargins left="0.7" right="0.7" top="0.75" bottom="0.75" header="0.3" footer="0.3"/>
</x:worksheet>
</file>

<file path=xl/worksheets/sheet2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 min="15" max="15" width="11.5" hidden="0" customWidth="1"/>
    <x:col min="16" max="16" width="11.5" hidden="0" customWidth="1"/>
    <x:col min="17" max="17" width="11.5" hidden="0" customWidth="1"/>
    <x:col min="18" max="18" width="11.5" hidden="0" customWidth="1"/>
    <x:col min="19" max="19" width="11.5" hidden="0" customWidth="1"/>
    <x:col min="20" max="20" width="11.5" hidden="0" customWidth="1"/>
    <x:col min="21" max="21" width="11.5" hidden="0" customWidth="1"/>
    <x:col min="22" max="22" width="11.5" hidden="0" customWidth="1"/>
    <x:col min="23" max="23" width="11.5" hidden="0" customWidth="1"/>
    <x:col min="24" max="24" width="11.5" hidden="0" customWidth="1"/>
  </x:cols>
  <x:sheetData>
    <x:row r="1">
      <x:c r="A1" s="2523" t="str">
        <x:v>ARQUITECTURA INTEGRAL VDS · REV D.4 · DATA PLANE + CONTROL PLANE + HABILITA PLANE</x:v>
      </x:c>
      <x:c r="B1" s="2523"/>
      <x:c r="C1" s="2523"/>
      <x:c r="D1" s="2523"/>
      <x:c r="E1" s="2523"/>
      <x:c r="F1" s="2523"/>
      <x:c r="G1" s="2523"/>
      <x:c r="H1" s="2523"/>
      <x:c r="I1" s="2523"/>
      <x:c r="J1" s="2523"/>
      <x:c r="K1" s="2523"/>
      <x:c r="L1" s="2523"/>
      <x:c r="M1" s="2523"/>
      <x:c r="N1" s="2523"/>
      <x:c r="O1" s="2523"/>
      <x:c r="P1" s="2523"/>
      <x:c r="Q1" s="2523"/>
      <x:c r="R1" s="2523"/>
      <x:c r="S1" s="2523"/>
      <x:c r="T1" s="2523"/>
      <x:c r="U1" s="2523"/>
      <x:c r="V1" s="2523"/>
      <x:c r="W1" s="2523"/>
      <x:c r="X1" s="2523"/>
    </x:row>
    <x:row r="2">
      <x:c r="A2" s="2467" t="str">
        <x:v>Post-auditoría v0.9 · Contrato configura · Planificación prepara · Ejecución registra realidad · Control Plane transmite cambios · Habilita habilita/suspende · Certificación acepta · Facturación emite · Trace Bus preserva todas las verdades.</x:v>
      </x:c>
      <x:c r="B2" s="2467"/>
      <x:c r="C2" s="2467"/>
      <x:c r="D2" s="2467"/>
      <x:c r="E2" s="2467"/>
      <x:c r="F2" s="2467"/>
      <x:c r="G2" s="2467"/>
      <x:c r="H2" s="2467"/>
      <x:c r="I2" s="2467"/>
      <x:c r="J2" s="2467"/>
      <x:c r="K2" s="2467"/>
      <x:c r="L2" s="2467"/>
      <x:c r="M2" s="2467"/>
      <x:c r="N2" s="2467"/>
      <x:c r="O2" s="2467"/>
      <x:c r="P2" s="2467"/>
      <x:c r="Q2" s="2467"/>
      <x:c r="R2" s="2467"/>
      <x:c r="S2" s="2467"/>
      <x:c r="T2" s="2467"/>
      <x:c r="U2" s="2467"/>
      <x:c r="V2" s="2467"/>
      <x:c r="W2" s="2467"/>
      <x:c r="X2" s="2467"/>
    </x:row>
    <x:row r="3">
      <x:c r="A3" s="1277"/>
      <x:c r="B3" s="1277"/>
      <x:c r="C3" s="1277"/>
      <x:c r="D3" s="1277"/>
      <x:c r="E3" s="1277"/>
      <x:c r="F3" s="1277"/>
      <x:c r="G3" s="1277"/>
      <x:c r="H3" s="1277"/>
      <x:c r="I3" s="1277"/>
      <x:c r="J3" s="1277"/>
      <x:c r="K3" s="1277"/>
      <x:c r="L3" s="1277"/>
      <x:c r="M3" s="1277"/>
      <x:c r="N3" s="1277"/>
      <x:c r="O3" s="1277"/>
      <x:c r="P3" s="1277"/>
      <x:c r="Q3" s="1277"/>
      <x:c r="R3" s="1277"/>
      <x:c r="S3" s="1277"/>
      <x:c r="T3" s="1277"/>
      <x:c r="U3" s="1277"/>
      <x:c r="V3" s="1277"/>
      <x:c r="W3" s="1277"/>
      <x:c r="X3" s="1277"/>
    </x:row>
    <x:row r="4">
      <x:c r="A4" s="2524" t="str">
        <x:v>00 — CONFIGURATION PLANE · REGLAS MAESTRAS / VERSIONADAS</x:v>
      </x:c>
      <x:c r="B4" s="2524"/>
      <x:c r="C4" s="2524"/>
      <x:c r="D4" s="2524"/>
      <x:c r="E4" s="2524"/>
      <x:c r="F4" s="2524"/>
      <x:c r="G4" s="2524"/>
      <x:c r="H4" s="2524"/>
      <x:c r="I4" s="2524"/>
      <x:c r="J4" s="2524"/>
      <x:c r="K4" s="2524"/>
      <x:c r="L4" s="2524"/>
      <x:c r="M4" s="2524"/>
      <x:c r="N4" s="2524"/>
      <x:c r="O4" s="2524"/>
      <x:c r="P4" s="2524"/>
      <x:c r="Q4" s="2524"/>
      <x:c r="R4" s="2524"/>
      <x:c r="S4" s="2524"/>
      <x:c r="T4" s="2524"/>
      <x:c r="U4" s="2524"/>
      <x:c r="V4" s="2524"/>
      <x:c r="W4" s="2524"/>
      <x:c r="X4" s="2524"/>
    </x:row>
    <x:row r="5">
      <x:c r="A5" s="1277"/>
      <x:c r="B5" s="1277"/>
      <x:c r="C5" s="1277"/>
      <x:c r="D5" s="1277"/>
      <x:c r="E5" s="1277"/>
      <x:c r="F5" s="1277"/>
      <x:c r="G5" s="1277"/>
      <x:c r="H5" s="1277"/>
      <x:c r="I5" s="1277"/>
      <x:c r="J5" s="1277"/>
      <x:c r="K5" s="1277"/>
      <x:c r="L5" s="1277"/>
      <x:c r="M5" s="1277"/>
      <x:c r="N5" s="1277"/>
      <x:c r="O5" s="1277"/>
      <x:c r="P5" s="1277"/>
      <x:c r="Q5" s="1277"/>
      <x:c r="R5" s="1277"/>
      <x:c r="S5" s="1277"/>
      <x:c r="T5" s="1277"/>
      <x:c r="U5" s="1277"/>
      <x:c r="V5" s="1277"/>
      <x:c r="W5" s="1277"/>
      <x:c r="X5" s="1277"/>
    </x:row>
    <x:row r="6">
      <x:c r="A6" s="2469" t="str">
        <x:v>CLIENTE
CONTRATO
VERSIÓN</x:v>
      </x:c>
      <x:c r="B6" s="2470"/>
      <x:c r="C6" s="2470"/>
      <x:c r="D6" s="2471"/>
      <x:c r="E6" s="1277"/>
      <x:c r="F6" s="2475" t="str">
        <x:v>CONTRATO
SERVICIO</x:v>
      </x:c>
      <x:c r="G6" s="2476"/>
      <x:c r="H6" s="2476"/>
      <x:c r="I6" s="2477"/>
      <x:c r="J6" s="1277"/>
      <x:c r="K6" s="2472" t="str">
        <x:v>CENTRO COSTO
ITEM · UM
REGLA MEDICIÓN</x:v>
      </x:c>
      <x:c r="L6" s="2473"/>
      <x:c r="M6" s="2473"/>
      <x:c r="N6" s="2474"/>
      <x:c r="O6" s="1277"/>
      <x:c r="P6" s="2472" t="str">
        <x:v>REGLAS OPERATIVAS
Planificación · TipoParte
cortes · evidencia · PTW esperado</x:v>
      </x:c>
      <x:c r="Q6" s="2473"/>
      <x:c r="R6" s="2473"/>
      <x:c r="S6" s="2473"/>
      <x:c r="T6" s="2474"/>
      <x:c r="U6" s="1277"/>
      <x:c r="V6" s="2472" t="str">
        <x:v>REGLAS
COMERCIALES
agrupación · cadencias
facturación</x:v>
      </x:c>
      <x:c r="W6" s="2473"/>
      <x:c r="X6" s="2474"/>
    </x:row>
    <x:row r="7">
      <x:c r="A7" s="2478"/>
      <x:c r="B7" s="2479"/>
      <x:c r="C7" s="2479"/>
      <x:c r="D7" s="2480"/>
      <x:c r="E7" s="1297" t="str">
        <x:v>→</x:v>
      </x:c>
      <x:c r="F7" s="2484"/>
      <x:c r="G7" s="2485"/>
      <x:c r="H7" s="2485"/>
      <x:c r="I7" s="2486"/>
      <x:c r="J7" s="1297" t="str">
        <x:v>→</x:v>
      </x:c>
      <x:c r="K7" s="2481"/>
      <x:c r="L7" s="2482"/>
      <x:c r="M7" s="2482"/>
      <x:c r="N7" s="2483"/>
      <x:c r="O7" s="1297" t="str">
        <x:v>→</x:v>
      </x:c>
      <x:c r="P7" s="2481"/>
      <x:c r="Q7" s="2482"/>
      <x:c r="R7" s="2482"/>
      <x:c r="S7" s="2482"/>
      <x:c r="T7" s="2483"/>
      <x:c r="U7" s="1297" t="str">
        <x:v>→</x:v>
      </x:c>
      <x:c r="V7" s="2481"/>
      <x:c r="W7" s="2482"/>
      <x:c r="X7" s="2483"/>
    </x:row>
    <x:row r="8">
      <x:c r="A8" s="2478"/>
      <x:c r="B8" s="2479"/>
      <x:c r="C8" s="2479"/>
      <x:c r="D8" s="2480"/>
      <x:c r="E8" s="1277"/>
      <x:c r="F8" s="2484"/>
      <x:c r="G8" s="2485"/>
      <x:c r="H8" s="2485"/>
      <x:c r="I8" s="2486"/>
      <x:c r="J8" s="1277"/>
      <x:c r="K8" s="2481"/>
      <x:c r="L8" s="2482"/>
      <x:c r="M8" s="2482"/>
      <x:c r="N8" s="2483"/>
      <x:c r="O8" s="1277"/>
      <x:c r="P8" s="2481"/>
      <x:c r="Q8" s="2482"/>
      <x:c r="R8" s="2482"/>
      <x:c r="S8" s="2482"/>
      <x:c r="T8" s="2483"/>
      <x:c r="U8" s="1277"/>
      <x:c r="V8" s="2481"/>
      <x:c r="W8" s="2482"/>
      <x:c r="X8" s="2483"/>
    </x:row>
    <x:row r="9">
      <x:c r="A9" s="2487"/>
      <x:c r="B9" s="2488"/>
      <x:c r="C9" s="2488"/>
      <x:c r="D9" s="2489"/>
      <x:c r="E9" s="1277"/>
      <x:c r="F9" s="2493"/>
      <x:c r="G9" s="2494"/>
      <x:c r="H9" s="2494"/>
      <x:c r="I9" s="2495"/>
      <x:c r="J9" s="1277"/>
      <x:c r="K9" s="2490"/>
      <x:c r="L9" s="2491"/>
      <x:c r="M9" s="2491"/>
      <x:c r="N9" s="2492"/>
      <x:c r="O9" s="1277"/>
      <x:c r="P9" s="2490"/>
      <x:c r="Q9" s="2491"/>
      <x:c r="R9" s="2491"/>
      <x:c r="S9" s="2491"/>
      <x:c r="T9" s="2492"/>
      <x:c r="U9" s="1277"/>
      <x:c r="V9" s="2490"/>
      <x:c r="W9" s="2491"/>
      <x:c r="X9" s="2492"/>
    </x:row>
    <x:row r="10">
      <x:c r="A10" s="1277"/>
      <x:c r="B10" s="1277"/>
      <x:c r="C10" s="1277"/>
      <x:c r="D10" s="1277"/>
      <x:c r="E10" s="1277"/>
      <x:c r="F10" s="1277"/>
      <x:c r="G10" s="1277"/>
      <x:c r="H10" s="1277"/>
      <x:c r="I10" s="1277"/>
      <x:c r="J10" s="1277"/>
      <x:c r="K10" s="1277"/>
      <x:c r="L10" s="1277"/>
      <x:c r="M10" s="1277"/>
      <x:c r="N10" s="1277"/>
      <x:c r="O10" s="1277"/>
      <x:c r="P10" s="1277"/>
      <x:c r="Q10" s="1277"/>
      <x:c r="R10" s="1277"/>
      <x:c r="S10" s="1277"/>
      <x:c r="T10" s="1277"/>
      <x:c r="U10" s="1277"/>
      <x:c r="V10" s="1277"/>
      <x:c r="W10" s="1277"/>
      <x:c r="X10" s="1277"/>
    </x:row>
    <x:row r="11">
      <x:c r="A11" s="1277"/>
      <x:c r="B11" s="1277"/>
      <x:c r="C11" s="1277"/>
      <x:c r="D11" s="1277"/>
      <x:c r="E11" s="1277"/>
      <x:c r="F11" s="1277"/>
      <x:c r="G11" s="1277"/>
      <x:c r="H11" s="1277"/>
      <x:c r="I11" s="1277"/>
      <x:c r="J11" s="1277"/>
      <x:c r="K11" s="1277"/>
      <x:c r="L11" s="1277"/>
      <x:c r="M11" s="1277"/>
      <x:c r="N11" s="1277"/>
      <x:c r="O11" s="1277"/>
      <x:c r="P11" s="1277"/>
      <x:c r="Q11" s="1277"/>
      <x:c r="R11" s="1277"/>
      <x:c r="S11" s="1277"/>
      <x:c r="T11" s="1277"/>
      <x:c r="U11" s="1277"/>
      <x:c r="V11" s="1277"/>
      <x:c r="W11" s="1277"/>
      <x:c r="X11" s="1277"/>
    </x:row>
    <x:row r="12">
      <x:c r="A12" s="2524" t="str">
        <x:v>01 — DATA PLANE · INTENCIÓN → REALIDAD → ACEPTACIÓN COMERCIAL</x:v>
      </x:c>
      <x:c r="B12" s="2524"/>
      <x:c r="C12" s="2524"/>
      <x:c r="D12" s="2524"/>
      <x:c r="E12" s="2524"/>
      <x:c r="F12" s="2524"/>
      <x:c r="G12" s="2524"/>
      <x:c r="H12" s="2524"/>
      <x:c r="I12" s="2524"/>
      <x:c r="J12" s="2524"/>
      <x:c r="K12" s="2524"/>
      <x:c r="L12" s="2524"/>
      <x:c r="M12" s="2524"/>
      <x:c r="N12" s="2524"/>
      <x:c r="O12" s="2524"/>
      <x:c r="P12" s="2524"/>
      <x:c r="Q12" s="2524"/>
      <x:c r="R12" s="2524"/>
      <x:c r="S12" s="2524"/>
      <x:c r="T12" s="2524"/>
      <x:c r="U12" s="2524"/>
      <x:c r="V12" s="2524"/>
      <x:c r="W12" s="2524"/>
      <x:c r="X12" s="2524"/>
    </x:row>
    <x:row r="13">
      <x:c r="A13" s="1277"/>
      <x:c r="B13" s="1277"/>
      <x:c r="C13" s="1277"/>
      <x:c r="D13" s="1277"/>
      <x:c r="E13" s="1277"/>
      <x:c r="F13" s="1277"/>
      <x:c r="G13" s="1277"/>
      <x:c r="H13" s="1277"/>
      <x:c r="I13" s="1277"/>
      <x:c r="J13" s="1277"/>
      <x:c r="K13" s="1277"/>
      <x:c r="L13" s="1277"/>
      <x:c r="M13" s="1277"/>
      <x:c r="N13" s="1277"/>
      <x:c r="O13" s="1277"/>
      <x:c r="P13" s="1277"/>
      <x:c r="Q13" s="1277"/>
      <x:c r="R13" s="1277"/>
      <x:c r="S13" s="1277"/>
      <x:c r="T13" s="1277"/>
      <x:c r="U13" s="1277"/>
      <x:c r="V13" s="1277"/>
      <x:c r="W13" s="1277"/>
      <x:c r="X13" s="1277"/>
    </x:row>
    <x:row r="14">
      <x:c r="A14" s="2569" t="str">
        <x:v>PLANIFICACIÓN · LO PREVISTO</x:v>
      </x:c>
      <x:c r="B14" s="2569"/>
      <x:c r="C14" s="2569"/>
      <x:c r="D14" s="2569"/>
      <x:c r="E14" s="2569"/>
      <x:c r="F14" s="2569"/>
      <x:c r="G14" s="2569"/>
      <x:c r="H14" s="2569"/>
      <x:c r="I14" s="2524" t="str">
        <x:v>EJECUCIÓN / PARTES · LO REAL</x:v>
      </x:c>
      <x:c r="J14" s="2524"/>
      <x:c r="K14" s="2524"/>
      <x:c r="L14" s="2524"/>
      <x:c r="M14" s="2524"/>
      <x:c r="N14" s="2524"/>
      <x:c r="O14" s="2524"/>
      <x:c r="P14" s="2524"/>
      <x:c r="Q14" s="2569" t="str">
        <x:v>CERTIFICACIÓN / FACTURACIÓN · LO ACEPTADO</x:v>
      </x:c>
      <x:c r="R14" s="2569"/>
      <x:c r="S14" s="2569"/>
      <x:c r="T14" s="2569"/>
      <x:c r="U14" s="2569"/>
      <x:c r="V14" s="2569"/>
      <x:c r="W14" s="2569"/>
      <x:c r="X14" s="2569"/>
    </x:row>
    <x:row r="15">
      <x:c r="A15" s="1277"/>
      <x:c r="B15" s="1277"/>
      <x:c r="C15" s="1277"/>
      <x:c r="D15" s="1277"/>
      <x:c r="E15" s="1277"/>
      <x:c r="F15" s="1277"/>
      <x:c r="G15" s="1277"/>
      <x:c r="H15" s="1277"/>
      <x:c r="I15" s="1277"/>
      <x:c r="J15" s="1277"/>
      <x:c r="K15" s="1277"/>
      <x:c r="L15" s="1277"/>
      <x:c r="M15" s="1277"/>
      <x:c r="N15" s="1277"/>
      <x:c r="O15" s="1277"/>
      <x:c r="P15" s="1277"/>
      <x:c r="Q15" s="1277"/>
      <x:c r="R15" s="1277"/>
      <x:c r="S15" s="1277"/>
      <x:c r="T15" s="1277"/>
      <x:c r="U15" s="1277"/>
      <x:c r="V15" s="1277"/>
      <x:c r="W15" s="1277"/>
      <x:c r="X15" s="1277"/>
    </x:row>
    <x:row r="16">
      <x:c r="A16" s="2472" t="str">
        <x:v>DEMANDA → CALIFICAR → DEFINIR ALCANCE</x:v>
      </x:c>
      <x:c r="B16" s="2473"/>
      <x:c r="C16" s="2473"/>
      <x:c r="D16" s="2473"/>
      <x:c r="E16" s="2473"/>
      <x:c r="F16" s="2473"/>
      <x:c r="G16" s="2473"/>
      <x:c r="H16" s="2474"/>
      <x:c r="I16" s="2475" t="str">
        <x:v>ƒ MOTOR DE RUTEO REAL
perfil + plan + contexto real</x:v>
      </x:c>
      <x:c r="J16" s="2476"/>
      <x:c r="K16" s="2476"/>
      <x:c r="L16" s="2476"/>
      <x:c r="M16" s="2476"/>
      <x:c r="N16" s="2476"/>
      <x:c r="O16" s="2476"/>
      <x:c r="P16" s="2477"/>
      <x:c r="Q16" s="2475" t="str">
        <x:v>C0 · INGESTA
solo ejecución cerrada / vinculada</x:v>
      </x:c>
      <x:c r="R16" s="2476"/>
      <x:c r="S16" s="2476"/>
      <x:c r="T16" s="2476"/>
      <x:c r="U16" s="2476"/>
      <x:c r="V16" s="2476"/>
      <x:c r="W16" s="2476"/>
      <x:c r="X16" s="2477"/>
    </x:row>
    <x:row r="17">
      <x:c r="A17" s="2481"/>
      <x:c r="B17" s="2482"/>
      <x:c r="C17" s="2482"/>
      <x:c r="D17" s="2482"/>
      <x:c r="E17" s="2482"/>
      <x:c r="F17" s="2482"/>
      <x:c r="G17" s="2482"/>
      <x:c r="H17" s="2483"/>
      <x:c r="I17" s="2484"/>
      <x:c r="J17" s="2485"/>
      <x:c r="K17" s="2485"/>
      <x:c r="L17" s="2485"/>
      <x:c r="M17" s="2485"/>
      <x:c r="N17" s="2485"/>
      <x:c r="O17" s="2485"/>
      <x:c r="P17" s="2486"/>
      <x:c r="Q17" s="2484"/>
      <x:c r="R17" s="2485"/>
      <x:c r="S17" s="2485"/>
      <x:c r="T17" s="2485"/>
      <x:c r="U17" s="2485"/>
      <x:c r="V17" s="2485"/>
      <x:c r="W17" s="2485"/>
      <x:c r="X17" s="2486"/>
    </x:row>
    <x:row r="18">
      <x:c r="A18" s="2481"/>
      <x:c r="B18" s="2482"/>
      <x:c r="C18" s="2482"/>
      <x:c r="D18" s="2482"/>
      <x:c r="E18" s="2482"/>
      <x:c r="F18" s="2482"/>
      <x:c r="G18" s="2482"/>
      <x:c r="H18" s="2483"/>
      <x:c r="I18" s="2484"/>
      <x:c r="J18" s="2485"/>
      <x:c r="K18" s="2485"/>
      <x:c r="L18" s="2485"/>
      <x:c r="M18" s="2485"/>
      <x:c r="N18" s="2485"/>
      <x:c r="O18" s="2485"/>
      <x:c r="P18" s="2486"/>
      <x:c r="Q18" s="2484"/>
      <x:c r="R18" s="2485"/>
      <x:c r="S18" s="2485"/>
      <x:c r="T18" s="2485"/>
      <x:c r="U18" s="2485"/>
      <x:c r="V18" s="2485"/>
      <x:c r="W18" s="2485"/>
      <x:c r="X18" s="2486"/>
    </x:row>
    <x:row r="19">
      <x:c r="A19" s="2490"/>
      <x:c r="B19" s="2491"/>
      <x:c r="C19" s="2491"/>
      <x:c r="D19" s="2491"/>
      <x:c r="E19" s="2491"/>
      <x:c r="F19" s="2491"/>
      <x:c r="G19" s="2491"/>
      <x:c r="H19" s="2492"/>
      <x:c r="I19" s="2493"/>
      <x:c r="J19" s="2494"/>
      <x:c r="K19" s="2494"/>
      <x:c r="L19" s="2494"/>
      <x:c r="M19" s="2494"/>
      <x:c r="N19" s="2494"/>
      <x:c r="O19" s="2494"/>
      <x:c r="P19" s="2495"/>
      <x:c r="Q19" s="2493"/>
      <x:c r="R19" s="2494"/>
      <x:c r="S19" s="2494"/>
      <x:c r="T19" s="2494"/>
      <x:c r="U19" s="2494"/>
      <x:c r="V19" s="2494"/>
      <x:c r="W19" s="2494"/>
      <x:c r="X19" s="2495"/>
    </x:row>
    <x:row r="20">
      <x:c r="A20" s="1277"/>
      <x:c r="B20" s="1277"/>
      <x:c r="C20" s="1277"/>
      <x:c r="D20" s="1385" t="str">
        <x:v>↓</x:v>
      </x:c>
      <x:c r="E20" s="1277"/>
      <x:c r="F20" s="1277"/>
      <x:c r="G20" s="1277"/>
      <x:c r="H20" s="1277"/>
      <x:c r="I20" s="1277"/>
      <x:c r="J20" s="1277"/>
      <x:c r="K20" s="1277"/>
      <x:c r="L20" s="1385" t="str">
        <x:v>↓</x:v>
      </x:c>
      <x:c r="M20" s="1277"/>
      <x:c r="N20" s="1277"/>
      <x:c r="O20" s="1277"/>
      <x:c r="P20" s="1277"/>
      <x:c r="Q20" s="1277"/>
      <x:c r="R20" s="1277"/>
      <x:c r="S20" s="1277"/>
      <x:c r="T20" s="1277"/>
      <x:c r="U20" s="1385" t="str">
        <x:v>↓</x:v>
      </x:c>
      <x:c r="V20" s="1277"/>
      <x:c r="W20" s="1277"/>
      <x:c r="X20" s="1277"/>
    </x:row>
    <x:row r="21">
      <x:c r="A21" s="2472" t="str">
        <x:v>DIMENSIONAR CAPACIDAD
competencias + tipos/cantidad de recursos</x:v>
      </x:c>
      <x:c r="B21" s="2473"/>
      <x:c r="C21" s="2473"/>
      <x:c r="D21" s="2473"/>
      <x:c r="E21" s="2473"/>
      <x:c r="F21" s="2473"/>
      <x:c r="G21" s="2473"/>
      <x:c r="H21" s="2474"/>
      <x:c r="I21" s="2560" t="str">
        <x:v>TIPO PARTE RESUELTO · NO SELECTOR MANUAL</x:v>
      </x:c>
      <x:c r="J21" s="2560"/>
      <x:c r="K21" s="2560"/>
      <x:c r="L21" s="2560"/>
      <x:c r="M21" s="2560"/>
      <x:c r="N21" s="2560"/>
      <x:c r="O21" s="2560"/>
      <x:c r="P21" s="2560"/>
      <x:c r="Q21" s="2475" t="str">
        <x:v>C1–C3 · NORMALIZAR
completitud · mapping contractual · cantidad + UM</x:v>
      </x:c>
      <x:c r="R21" s="2476"/>
      <x:c r="S21" s="2476"/>
      <x:c r="T21" s="2476"/>
      <x:c r="U21" s="2476"/>
      <x:c r="V21" s="2476"/>
      <x:c r="W21" s="2476"/>
      <x:c r="X21" s="2477"/>
    </x:row>
    <x:row r="22">
      <x:c r="A22" s="2481"/>
      <x:c r="B22" s="2482"/>
      <x:c r="C22" s="2482"/>
      <x:c r="D22" s="2482"/>
      <x:c r="E22" s="2482"/>
      <x:c r="F22" s="2482"/>
      <x:c r="G22" s="2482"/>
      <x:c r="H22" s="2483"/>
      <x:c r="I22" s="1277"/>
      <x:c r="J22" s="1277"/>
      <x:c r="K22" s="1277"/>
      <x:c r="L22" s="1277"/>
      <x:c r="M22" s="1277"/>
      <x:c r="N22" s="1277"/>
      <x:c r="O22" s="1277"/>
      <x:c r="P22" s="1277"/>
      <x:c r="Q22" s="2484"/>
      <x:c r="R22" s="2485"/>
      <x:c r="S22" s="2485"/>
      <x:c r="T22" s="2485"/>
      <x:c r="U22" s="2485"/>
      <x:c r="V22" s="2485"/>
      <x:c r="W22" s="2485"/>
      <x:c r="X22" s="2486"/>
    </x:row>
    <x:row r="23">
      <x:c r="A23" s="2481"/>
      <x:c r="B23" s="2482"/>
      <x:c r="C23" s="2482"/>
      <x:c r="D23" s="2482"/>
      <x:c r="E23" s="2482"/>
      <x:c r="F23" s="2482"/>
      <x:c r="G23" s="2482"/>
      <x:c r="H23" s="2483"/>
      <x:c r="I23" s="2499" t="str">
        <x:v>TP-01
INTERVENCIÓN
Work package
1..N UE</x:v>
      </x:c>
      <x:c r="J23" s="2500"/>
      <x:c r="K23" s="2501"/>
      <x:c r="L23" s="2499" t="str">
        <x:v>TP-02
TRANSPORTE
N movimientos</x:v>
      </x:c>
      <x:c r="M23" s="2500"/>
      <x:c r="N23" s="2501"/>
      <x:c r="O23" s="2499" t="str">
        <x:v>TP-03
REPORTE
CUADRILLA</x:v>
      </x:c>
      <x:c r="P23" s="2501"/>
      <x:c r="Q23" s="2484"/>
      <x:c r="R23" s="2485"/>
      <x:c r="S23" s="2485"/>
      <x:c r="T23" s="2485"/>
      <x:c r="U23" s="2485"/>
      <x:c r="V23" s="2485"/>
      <x:c r="W23" s="2485"/>
      <x:c r="X23" s="2486"/>
    </x:row>
    <x:row r="24">
      <x:c r="A24" s="2490"/>
      <x:c r="B24" s="2491"/>
      <x:c r="C24" s="2491"/>
      <x:c r="D24" s="2491"/>
      <x:c r="E24" s="2491"/>
      <x:c r="F24" s="2491"/>
      <x:c r="G24" s="2491"/>
      <x:c r="H24" s="2492"/>
      <x:c r="I24" s="2504"/>
      <x:c r="J24" s="2505"/>
      <x:c r="K24" s="2506"/>
      <x:c r="L24" s="2504"/>
      <x:c r="M24" s="2505"/>
      <x:c r="N24" s="2506"/>
      <x:c r="O24" s="2504"/>
      <x:c r="P24" s="2506"/>
      <x:c r="Q24" s="2493"/>
      <x:c r="R24" s="2494"/>
      <x:c r="S24" s="2494"/>
      <x:c r="T24" s="2494"/>
      <x:c r="U24" s="2494"/>
      <x:c r="V24" s="2494"/>
      <x:c r="W24" s="2494"/>
      <x:c r="X24" s="2495"/>
    </x:row>
    <x:row r="25">
      <x:c r="A25" s="1277"/>
      <x:c r="B25" s="1277"/>
      <x:c r="C25" s="1277"/>
      <x:c r="D25" s="1385" t="str">
        <x:v>↓</x:v>
      </x:c>
      <x:c r="E25" s="1277"/>
      <x:c r="F25" s="1277"/>
      <x:c r="G25" s="1277"/>
      <x:c r="H25" s="1277"/>
      <x:c r="I25" s="2504"/>
      <x:c r="J25" s="2505"/>
      <x:c r="K25" s="2506"/>
      <x:c r="L25" s="2504"/>
      <x:c r="M25" s="2505"/>
      <x:c r="N25" s="2506"/>
      <x:c r="O25" s="2504"/>
      <x:c r="P25" s="2506"/>
      <x:c r="Q25" s="1277"/>
      <x:c r="R25" s="1277"/>
      <x:c r="S25" s="1277"/>
      <x:c r="T25" s="1277"/>
      <x:c r="U25" s="1385" t="str">
        <x:v>↓</x:v>
      </x:c>
      <x:c r="V25" s="1277"/>
      <x:c r="W25" s="1277"/>
      <x:c r="X25" s="1277"/>
    </x:row>
    <x:row r="26">
      <x:c r="A26" s="2499" t="str">
        <x:v>MATCHING / DISPONIBILIDAD
candidatos elegibles + DisponibilidadRecurso
sin nominar demasiado temprano</x:v>
      </x:c>
      <x:c r="B26" s="2500"/>
      <x:c r="C26" s="2500"/>
      <x:c r="D26" s="2500"/>
      <x:c r="E26" s="2500"/>
      <x:c r="F26" s="2500"/>
      <x:c r="G26" s="2500"/>
      <x:c r="H26" s="2501"/>
      <x:c r="I26" s="2504"/>
      <x:c r="J26" s="2505"/>
      <x:c r="K26" s="2506"/>
      <x:c r="L26" s="2504"/>
      <x:c r="M26" s="2505"/>
      <x:c r="N26" s="2506"/>
      <x:c r="O26" s="2504"/>
      <x:c r="P26" s="2506"/>
      <x:c r="Q26" s="2472" t="str">
        <x:v>UNIDAD COMERCIAL [N]
incompleta · elegible · observada · aceptada</x:v>
      </x:c>
      <x:c r="R26" s="2473"/>
      <x:c r="S26" s="2473"/>
      <x:c r="T26" s="2473"/>
      <x:c r="U26" s="2473"/>
      <x:c r="V26" s="2473"/>
      <x:c r="W26" s="2473"/>
      <x:c r="X26" s="2474"/>
    </x:row>
    <x:row r="27">
      <x:c r="A27" s="2504"/>
      <x:c r="B27" s="2505"/>
      <x:c r="C27" s="2505"/>
      <x:c r="D27" s="2505"/>
      <x:c r="E27" s="2505"/>
      <x:c r="F27" s="2505"/>
      <x:c r="G27" s="2505"/>
      <x:c r="H27" s="2506"/>
      <x:c r="I27" s="2509"/>
      <x:c r="J27" s="2510"/>
      <x:c r="K27" s="2511"/>
      <x:c r="L27" s="2509"/>
      <x:c r="M27" s="2510"/>
      <x:c r="N27" s="2511"/>
      <x:c r="O27" s="2509"/>
      <x:c r="P27" s="2511"/>
      <x:c r="Q27" s="2481"/>
      <x:c r="R27" s="2482"/>
      <x:c r="S27" s="2482"/>
      <x:c r="T27" s="2482"/>
      <x:c r="U27" s="2482"/>
      <x:c r="V27" s="2482"/>
      <x:c r="W27" s="2482"/>
      <x:c r="X27" s="2483"/>
    </x:row>
    <x:row r="28">
      <x:c r="A28" s="2504"/>
      <x:c r="B28" s="2505"/>
      <x:c r="C28" s="2505"/>
      <x:c r="D28" s="2505"/>
      <x:c r="E28" s="2505"/>
      <x:c r="F28" s="2505"/>
      <x:c r="G28" s="2505"/>
      <x:c r="H28" s="2506"/>
      <x:c r="I28" s="1277"/>
      <x:c r="J28" s="1277"/>
      <x:c r="K28" s="1277"/>
      <x:c r="L28" s="1277"/>
      <x:c r="M28" s="1277"/>
      <x:c r="N28" s="1277"/>
      <x:c r="O28" s="1277"/>
      <x:c r="P28" s="1277"/>
      <x:c r="Q28" s="2481"/>
      <x:c r="R28" s="2482"/>
      <x:c r="S28" s="2482"/>
      <x:c r="T28" s="2482"/>
      <x:c r="U28" s="2482"/>
      <x:c r="V28" s="2482"/>
      <x:c r="W28" s="2482"/>
      <x:c r="X28" s="2483"/>
    </x:row>
    <x:row r="29">
      <x:c r="A29" s="2509"/>
      <x:c r="B29" s="2510"/>
      <x:c r="C29" s="2510"/>
      <x:c r="D29" s="2510"/>
      <x:c r="E29" s="2510"/>
      <x:c r="F29" s="2510"/>
      <x:c r="G29" s="2510"/>
      <x:c r="H29" s="2511"/>
      <x:c r="I29" s="2514" t="str">
        <x:v>Cada TipoParte define identidad, 1..N UnidadEjecución, reglas de corte, componentes, tiempos, medición, evidencia y estados. ABS-05 queda absorbido en TP-01. TP-04 Habilita sigue candidato.</x:v>
      </x:c>
      <x:c r="J29" s="2514"/>
      <x:c r="K29" s="2514"/>
      <x:c r="L29" s="2514"/>
      <x:c r="M29" s="2514"/>
      <x:c r="N29" s="2514"/>
      <x:c r="O29" s="2514"/>
      <x:c r="P29" s="2514"/>
      <x:c r="Q29" s="2490"/>
      <x:c r="R29" s="2491"/>
      <x:c r="S29" s="2491"/>
      <x:c r="T29" s="2491"/>
      <x:c r="U29" s="2491"/>
      <x:c r="V29" s="2491"/>
      <x:c r="W29" s="2491"/>
      <x:c r="X29" s="2492"/>
    </x:row>
    <x:row r="30">
      <x:c r="A30" s="1277"/>
      <x:c r="B30" s="1277"/>
      <x:c r="C30" s="1277"/>
      <x:c r="D30" s="1385" t="str">
        <x:v>↓</x:v>
      </x:c>
      <x:c r="E30" s="1277"/>
      <x:c r="F30" s="1277"/>
      <x:c r="G30" s="1277"/>
      <x:c r="H30" s="1277"/>
      <x:c r="I30" s="2514"/>
      <x:c r="J30" s="2514"/>
      <x:c r="K30" s="2514"/>
      <x:c r="L30" s="2514"/>
      <x:c r="M30" s="2514"/>
      <x:c r="N30" s="2514"/>
      <x:c r="O30" s="2514"/>
      <x:c r="P30" s="2514"/>
      <x:c r="Q30" s="1277"/>
      <x:c r="R30" s="1277"/>
      <x:c r="S30" s="1277"/>
      <x:c r="T30" s="1277"/>
      <x:c r="U30" s="1385" t="str">
        <x:v>↓</x:v>
      </x:c>
      <x:c r="V30" s="1277"/>
      <x:c r="W30" s="1277"/>
      <x:c r="X30" s="1277"/>
    </x:row>
    <x:row r="31">
      <x:c r="A31" s="2472" t="str">
        <x:v>PROGRAMAR / NOMINAR
ventana · turno · prioridad · recursos/personas cuando aplique</x:v>
      </x:c>
      <x:c r="B31" s="2473"/>
      <x:c r="C31" s="2473"/>
      <x:c r="D31" s="2473"/>
      <x:c r="E31" s="2473"/>
      <x:c r="F31" s="2473"/>
      <x:c r="G31" s="2473"/>
      <x:c r="H31" s="2474"/>
      <x:c r="I31" s="2514"/>
      <x:c r="J31" s="2514"/>
      <x:c r="K31" s="2514"/>
      <x:c r="L31" s="2514"/>
      <x:c r="M31" s="2514"/>
      <x:c r="N31" s="2514"/>
      <x:c r="O31" s="2514"/>
      <x:c r="P31" s="2514"/>
      <x:c r="Q31" s="2475" t="str">
        <x:v>C5 · AGRUPAR
→ PaqueteCertificacion
pozo · período · ítem · CC · regla</x:v>
      </x:c>
      <x:c r="R31" s="2476"/>
      <x:c r="S31" s="2476"/>
      <x:c r="T31" s="2476"/>
      <x:c r="U31" s="2476"/>
      <x:c r="V31" s="2476"/>
      <x:c r="W31" s="2476"/>
      <x:c r="X31" s="2477"/>
    </x:row>
    <x:row r="32">
      <x:c r="A32" s="2481"/>
      <x:c r="B32" s="2482"/>
      <x:c r="C32" s="2482"/>
      <x:c r="D32" s="2482"/>
      <x:c r="E32" s="2482"/>
      <x:c r="F32" s="2482"/>
      <x:c r="G32" s="2482"/>
      <x:c r="H32" s="2483"/>
      <x:c r="I32" s="1277"/>
      <x:c r="J32" s="1277"/>
      <x:c r="K32" s="1277"/>
      <x:c r="L32" s="1277"/>
      <x:c r="M32" s="1277"/>
      <x:c r="N32" s="1277"/>
      <x:c r="O32" s="1277"/>
      <x:c r="P32" s="1277"/>
      <x:c r="Q32" s="2484"/>
      <x:c r="R32" s="2485"/>
      <x:c r="S32" s="2485"/>
      <x:c r="T32" s="2485"/>
      <x:c r="U32" s="2485"/>
      <x:c r="V32" s="2485"/>
      <x:c r="W32" s="2485"/>
      <x:c r="X32" s="2486"/>
    </x:row>
    <x:row r="33">
      <x:c r="A33" s="2481"/>
      <x:c r="B33" s="2482"/>
      <x:c r="C33" s="2482"/>
      <x:c r="D33" s="2482"/>
      <x:c r="E33" s="2482"/>
      <x:c r="F33" s="2482"/>
      <x:c r="G33" s="2482"/>
      <x:c r="H33" s="2483"/>
      <x:c r="I33" s="2475" t="str">
        <x:v>E2 · CONTROL
DOCUMENTAL REAL
persona + recurso + contexto</x:v>
      </x:c>
      <x:c r="J33" s="2476"/>
      <x:c r="K33" s="2476"/>
      <x:c r="L33" s="2477"/>
      <x:c r="M33" s="1277"/>
      <x:c r="N33" s="2502" t="str">
        <x:v>E3 · PTW / START WORK
[0..N] si aplica
vigencia + handover</x:v>
      </x:c>
      <x:c r="O33" s="2521"/>
      <x:c r="P33" s="2503"/>
      <x:c r="Q33" s="2484"/>
      <x:c r="R33" s="2485"/>
      <x:c r="S33" s="2485"/>
      <x:c r="T33" s="2485"/>
      <x:c r="U33" s="2485"/>
      <x:c r="V33" s="2485"/>
      <x:c r="W33" s="2485"/>
      <x:c r="X33" s="2486"/>
    </x:row>
    <x:row r="34">
      <x:c r="A34" s="2490"/>
      <x:c r="B34" s="2491"/>
      <x:c r="C34" s="2491"/>
      <x:c r="D34" s="2491"/>
      <x:c r="E34" s="2491"/>
      <x:c r="F34" s="2491"/>
      <x:c r="G34" s="2491"/>
      <x:c r="H34" s="2492"/>
      <x:c r="I34" s="2484"/>
      <x:c r="J34" s="2485"/>
      <x:c r="K34" s="2485"/>
      <x:c r="L34" s="2486"/>
      <x:c r="M34" s="1277"/>
      <x:c r="N34" s="2507"/>
      <x:c r="O34" s="2479"/>
      <x:c r="P34" s="2508"/>
      <x:c r="Q34" s="2493"/>
      <x:c r="R34" s="2494"/>
      <x:c r="S34" s="2494"/>
      <x:c r="T34" s="2494"/>
      <x:c r="U34" s="2494"/>
      <x:c r="V34" s="2494"/>
      <x:c r="W34" s="2494"/>
      <x:c r="X34" s="2495"/>
    </x:row>
    <x:row r="35">
      <x:c r="A35" s="1277"/>
      <x:c r="B35" s="1277"/>
      <x:c r="C35" s="1277"/>
      <x:c r="D35" s="1385" t="str">
        <x:v>↓</x:v>
      </x:c>
      <x:c r="E35" s="1277"/>
      <x:c r="F35" s="1277"/>
      <x:c r="G35" s="1277"/>
      <x:c r="H35" s="1277"/>
      <x:c r="I35" s="2484"/>
      <x:c r="J35" s="2485"/>
      <x:c r="K35" s="2485"/>
      <x:c r="L35" s="2486"/>
      <x:c r="M35" s="1297" t="str">
        <x:v>→</x:v>
      </x:c>
      <x:c r="N35" s="2507"/>
      <x:c r="O35" s="2479"/>
      <x:c r="P35" s="2508"/>
      <x:c r="Q35" s="1277"/>
      <x:c r="R35" s="1277"/>
      <x:c r="S35" s="1277"/>
      <x:c r="T35" s="1277"/>
      <x:c r="U35" s="1385" t="str">
        <x:v>↓</x:v>
      </x:c>
      <x:c r="V35" s="1277"/>
      <x:c r="W35" s="1277"/>
      <x:c r="X35" s="1277"/>
    </x:row>
    <x:row r="36">
      <x:c r="A36" s="2475" t="str">
        <x:v>READINESS
P0 contractual · P1 alcance · P2 capacidad/disponibilidad
P3 documental/Habilita esperado</x:v>
      </x:c>
      <x:c r="B36" s="2476"/>
      <x:c r="C36" s="2476"/>
      <x:c r="D36" s="2476"/>
      <x:c r="E36" s="2476"/>
      <x:c r="F36" s="2476"/>
      <x:c r="G36" s="2476"/>
      <x:c r="H36" s="2477"/>
      <x:c r="I36" s="2484"/>
      <x:c r="J36" s="2485"/>
      <x:c r="K36" s="2485"/>
      <x:c r="L36" s="2486"/>
      <x:c r="M36" s="1277"/>
      <x:c r="N36" s="2507"/>
      <x:c r="O36" s="2479"/>
      <x:c r="P36" s="2508"/>
      <x:c r="Q36" s="2475" t="str">
        <x:v>C6 · CONFORMIDAD / CERTIFICAR
aceptar · observar · parcial? · ajustar</x:v>
      </x:c>
      <x:c r="R36" s="2476"/>
      <x:c r="S36" s="2476"/>
      <x:c r="T36" s="2476"/>
      <x:c r="U36" s="2476"/>
      <x:c r="V36" s="2476"/>
      <x:c r="W36" s="2476"/>
      <x:c r="X36" s="2477"/>
    </x:row>
    <x:row r="37">
      <x:c r="A37" s="2484"/>
      <x:c r="B37" s="2485"/>
      <x:c r="C37" s="2485"/>
      <x:c r="D37" s="2485"/>
      <x:c r="E37" s="2485"/>
      <x:c r="F37" s="2485"/>
      <x:c r="G37" s="2485"/>
      <x:c r="H37" s="2486"/>
      <x:c r="I37" s="2493"/>
      <x:c r="J37" s="2494"/>
      <x:c r="K37" s="2494"/>
      <x:c r="L37" s="2495"/>
      <x:c r="M37" s="1277"/>
      <x:c r="N37" s="2512"/>
      <x:c r="O37" s="2522"/>
      <x:c r="P37" s="2513"/>
      <x:c r="Q37" s="2484"/>
      <x:c r="R37" s="2485"/>
      <x:c r="S37" s="2485"/>
      <x:c r="T37" s="2485"/>
      <x:c r="U37" s="2485"/>
      <x:c r="V37" s="2485"/>
      <x:c r="W37" s="2485"/>
      <x:c r="X37" s="2486"/>
    </x:row>
    <x:row r="38">
      <x:c r="A38" s="2484"/>
      <x:c r="B38" s="2485"/>
      <x:c r="C38" s="2485"/>
      <x:c r="D38" s="2485"/>
      <x:c r="E38" s="2485"/>
      <x:c r="F38" s="2485"/>
      <x:c r="G38" s="2485"/>
      <x:c r="H38" s="2486"/>
      <x:c r="I38" s="1277"/>
      <x:c r="J38" s="1277"/>
      <x:c r="K38" s="1277"/>
      <x:c r="L38" s="1385" t="str">
        <x:v>↓</x:v>
      </x:c>
      <x:c r="M38" s="1277"/>
      <x:c r="N38" s="1277"/>
      <x:c r="O38" s="1277"/>
      <x:c r="P38" s="1277"/>
      <x:c r="Q38" s="2484"/>
      <x:c r="R38" s="2485"/>
      <x:c r="S38" s="2485"/>
      <x:c r="T38" s="2485"/>
      <x:c r="U38" s="2485"/>
      <x:c r="V38" s="2485"/>
      <x:c r="W38" s="2485"/>
      <x:c r="X38" s="2486"/>
    </x:row>
    <x:row r="39">
      <x:c r="A39" s="2484"/>
      <x:c r="B39" s="2485"/>
      <x:c r="C39" s="2485"/>
      <x:c r="D39" s="2485"/>
      <x:c r="E39" s="2485"/>
      <x:c r="F39" s="2485"/>
      <x:c r="G39" s="2485"/>
      <x:c r="H39" s="2486"/>
      <x:c r="I39" s="2472" t="str">
        <x:v>PARTE + UNIDAD EJECUCIÓN [1..N]
realidad: tiempo · ubicación/activo · personas por intervalo · recursos
imputación · medición · evidencia · eventos</x:v>
      </x:c>
      <x:c r="J39" s="2473"/>
      <x:c r="K39" s="2473"/>
      <x:c r="L39" s="2473"/>
      <x:c r="M39" s="2473"/>
      <x:c r="N39" s="2473"/>
      <x:c r="O39" s="2473"/>
      <x:c r="P39" s="2474"/>
      <x:c r="Q39" s="2493"/>
      <x:c r="R39" s="2494"/>
      <x:c r="S39" s="2494"/>
      <x:c r="T39" s="2494"/>
      <x:c r="U39" s="2494"/>
      <x:c r="V39" s="2494"/>
      <x:c r="W39" s="2494"/>
      <x:c r="X39" s="2495"/>
    </x:row>
    <x:row r="40">
      <x:c r="A40" s="2493"/>
      <x:c r="B40" s="2494"/>
      <x:c r="C40" s="2494"/>
      <x:c r="D40" s="2494"/>
      <x:c r="E40" s="2494"/>
      <x:c r="F40" s="2494"/>
      <x:c r="G40" s="2494"/>
      <x:c r="H40" s="2495"/>
      <x:c r="I40" s="2481"/>
      <x:c r="J40" s="2482"/>
      <x:c r="K40" s="2482"/>
      <x:c r="L40" s="2482"/>
      <x:c r="M40" s="2482"/>
      <x:c r="N40" s="2482"/>
      <x:c r="O40" s="2482"/>
      <x:c r="P40" s="2483"/>
      <x:c r="Q40" s="1277"/>
      <x:c r="R40" s="1277"/>
      <x:c r="S40" s="1277"/>
      <x:c r="T40" s="1277"/>
      <x:c r="U40" s="1385" t="str">
        <x:v>↓</x:v>
      </x:c>
      <x:c r="V40" s="1277"/>
      <x:c r="W40" s="1277"/>
      <x:c r="X40" s="1277"/>
    </x:row>
    <x:row r="41">
      <x:c r="A41" s="1277"/>
      <x:c r="B41" s="1277"/>
      <x:c r="C41" s="1277"/>
      <x:c r="D41" s="1385" t="str">
        <x:v>↓</x:v>
      </x:c>
      <x:c r="E41" s="1277"/>
      <x:c r="F41" s="1277"/>
      <x:c r="G41" s="1277"/>
      <x:c r="H41" s="1277"/>
      <x:c r="I41" s="2481"/>
      <x:c r="J41" s="2482"/>
      <x:c r="K41" s="2482"/>
      <x:c r="L41" s="2482"/>
      <x:c r="M41" s="2482"/>
      <x:c r="N41" s="2482"/>
      <x:c r="O41" s="2482"/>
      <x:c r="P41" s="2483"/>
      <x:c r="Q41" s="2472" t="str">
        <x:v>LINEA FACTURABLE → LOTE → FACTURA
Facturación consume certificado; no reinterpreta campo</x:v>
      </x:c>
      <x:c r="R41" s="2473"/>
      <x:c r="S41" s="2473"/>
      <x:c r="T41" s="2473"/>
      <x:c r="U41" s="2473"/>
      <x:c r="V41" s="2473"/>
      <x:c r="W41" s="2473"/>
      <x:c r="X41" s="2474"/>
    </x:row>
    <x:row r="42">
      <x:c r="A42" s="2475" t="str">
        <x:v>P4 · CONFIRMAR / VERSIONAR
PlanificacionVersion aprobada
→ Interface A</x:v>
      </x:c>
      <x:c r="B42" s="2476"/>
      <x:c r="C42" s="2476"/>
      <x:c r="D42" s="2476"/>
      <x:c r="E42" s="2476"/>
      <x:c r="F42" s="2476"/>
      <x:c r="G42" s="2476"/>
      <x:c r="H42" s="2477"/>
      <x:c r="I42" s="2481"/>
      <x:c r="J42" s="2482"/>
      <x:c r="K42" s="2482"/>
      <x:c r="L42" s="2482"/>
      <x:c r="M42" s="2482"/>
      <x:c r="N42" s="2482"/>
      <x:c r="O42" s="2482"/>
      <x:c r="P42" s="2483"/>
      <x:c r="Q42" s="2481"/>
      <x:c r="R42" s="2482"/>
      <x:c r="S42" s="2482"/>
      <x:c r="T42" s="2482"/>
      <x:c r="U42" s="2482"/>
      <x:c r="V42" s="2482"/>
      <x:c r="W42" s="2482"/>
      <x:c r="X42" s="2483"/>
    </x:row>
    <x:row r="43">
      <x:c r="A43" s="2484"/>
      <x:c r="B43" s="2485"/>
      <x:c r="C43" s="2485"/>
      <x:c r="D43" s="2485"/>
      <x:c r="E43" s="2485"/>
      <x:c r="F43" s="2485"/>
      <x:c r="G43" s="2485"/>
      <x:c r="H43" s="2486"/>
      <x:c r="I43" s="2490"/>
      <x:c r="J43" s="2491"/>
      <x:c r="K43" s="2491"/>
      <x:c r="L43" s="2491"/>
      <x:c r="M43" s="2491"/>
      <x:c r="N43" s="2491"/>
      <x:c r="O43" s="2491"/>
      <x:c r="P43" s="2492"/>
      <x:c r="Q43" s="2481"/>
      <x:c r="R43" s="2482"/>
      <x:c r="S43" s="2482"/>
      <x:c r="T43" s="2482"/>
      <x:c r="U43" s="2482"/>
      <x:c r="V43" s="2482"/>
      <x:c r="W43" s="2482"/>
      <x:c r="X43" s="2483"/>
    </x:row>
    <x:row r="44">
      <x:c r="A44" s="2484"/>
      <x:c r="B44" s="2485"/>
      <x:c r="C44" s="2485"/>
      <x:c r="D44" s="2485"/>
      <x:c r="E44" s="2485"/>
      <x:c r="F44" s="2485"/>
      <x:c r="G44" s="2485"/>
      <x:c r="H44" s="2486"/>
      <x:c r="I44" s="1277"/>
      <x:c r="J44" s="1277"/>
      <x:c r="K44" s="1277"/>
      <x:c r="L44" s="1385" t="str">
        <x:v>↓</x:v>
      </x:c>
      <x:c r="M44" s="1277"/>
      <x:c r="N44" s="1277"/>
      <x:c r="O44" s="1277"/>
      <x:c r="P44" s="1277"/>
      <x:c r="Q44" s="2481"/>
      <x:c r="R44" s="2482"/>
      <x:c r="S44" s="2482"/>
      <x:c r="T44" s="2482"/>
      <x:c r="U44" s="2482"/>
      <x:c r="V44" s="2482"/>
      <x:c r="W44" s="2482"/>
      <x:c r="X44" s="2483"/>
    </x:row>
    <x:row r="45">
      <x:c r="A45" s="2493"/>
      <x:c r="B45" s="2494"/>
      <x:c r="C45" s="2494"/>
      <x:c r="D45" s="2494"/>
      <x:c r="E45" s="2494"/>
      <x:c r="F45" s="2494"/>
      <x:c r="G45" s="2494"/>
      <x:c r="H45" s="2495"/>
      <x:c r="I45" s="2475" t="str">
        <x:v>E4 · REGLAS DE CORTE + E5 · CIERRE OPERATIVO
cerrado_operativamente ≠ documentalmente completo</x:v>
      </x:c>
      <x:c r="J45" s="2476"/>
      <x:c r="K45" s="2476"/>
      <x:c r="L45" s="2476"/>
      <x:c r="M45" s="2476"/>
      <x:c r="N45" s="2476"/>
      <x:c r="O45" s="2476"/>
      <x:c r="P45" s="2477"/>
      <x:c r="Q45" s="2490"/>
      <x:c r="R45" s="2491"/>
      <x:c r="S45" s="2491"/>
      <x:c r="T45" s="2491"/>
      <x:c r="U45" s="2491"/>
      <x:c r="V45" s="2491"/>
      <x:c r="W45" s="2491"/>
      <x:c r="X45" s="2492"/>
    </x:row>
    <x:row r="46">
      <x:c r="A46" s="1277"/>
      <x:c r="B46" s="1277"/>
      <x:c r="C46" s="1277"/>
      <x:c r="D46" s="1277"/>
      <x:c r="E46" s="1277"/>
      <x:c r="F46" s="1277"/>
      <x:c r="G46" s="1277"/>
      <x:c r="H46" s="1277"/>
      <x:c r="I46" s="2484"/>
      <x:c r="J46" s="2485"/>
      <x:c r="K46" s="2485"/>
      <x:c r="L46" s="2485"/>
      <x:c r="M46" s="2485"/>
      <x:c r="N46" s="2485"/>
      <x:c r="O46" s="2485"/>
      <x:c r="P46" s="2486"/>
      <x:c r="Q46" s="1277"/>
      <x:c r="R46" s="1277"/>
      <x:c r="S46" s="1277"/>
      <x:c r="T46" s="1277"/>
      <x:c r="U46" s="1277"/>
      <x:c r="V46" s="1277"/>
      <x:c r="W46" s="1277"/>
      <x:c r="X46" s="1277"/>
    </x:row>
    <x:row r="47">
      <x:c r="A47" s="1277"/>
      <x:c r="B47" s="1277"/>
      <x:c r="C47" s="1277"/>
      <x:c r="D47" s="1277"/>
      <x:c r="E47" s="1277"/>
      <x:c r="F47" s="1277"/>
      <x:c r="G47" s="1277"/>
      <x:c r="H47" s="1277"/>
      <x:c r="I47" s="2493"/>
      <x:c r="J47" s="2494"/>
      <x:c r="K47" s="2494"/>
      <x:c r="L47" s="2494"/>
      <x:c r="M47" s="2494"/>
      <x:c r="N47" s="2494"/>
      <x:c r="O47" s="2494"/>
      <x:c r="P47" s="2495"/>
      <x:c r="Q47" s="1277"/>
      <x:c r="R47" s="1277"/>
      <x:c r="S47" s="1277"/>
      <x:c r="T47" s="1277"/>
      <x:c r="U47" s="1277"/>
      <x:c r="V47" s="1277"/>
      <x:c r="W47" s="1277"/>
      <x:c r="X47" s="1277"/>
    </x:row>
    <x:row r="48">
      <x:c r="A48" s="2561" t="str">
        <x:v>I-A · PLANIFICACIÓN → EJECUCIÓN · VERSIÓN CONFIRMADA + EXECUTION CONTEXT BUNDLE</x:v>
      </x:c>
      <x:c r="B48" s="2561"/>
      <x:c r="C48" s="2561"/>
      <x:c r="D48" s="2561"/>
      <x:c r="E48" s="2561"/>
      <x:c r="F48" s="2561"/>
      <x:c r="G48" s="2561"/>
      <x:c r="H48" s="2561"/>
      <x:c r="I48" s="2561"/>
      <x:c r="J48" s="2561"/>
      <x:c r="K48" s="2561"/>
      <x:c r="L48" s="2561"/>
      <x:c r="M48" s="2561"/>
      <x:c r="N48" s="2561"/>
      <x:c r="O48" s="2561"/>
      <x:c r="P48" s="2561"/>
      <x:c r="Q48" s="1277"/>
      <x:c r="R48" s="1277"/>
      <x:c r="S48" s="1277"/>
      <x:c r="T48" s="1277"/>
      <x:c r="U48" s="1277"/>
      <x:c r="V48" s="1277"/>
      <x:c r="W48" s="1277"/>
      <x:c r="X48" s="1277"/>
    </x:row>
    <x:row r="49">
      <x:c r="A49" s="2562" t="str">
        <x:v>PlanificacionVersion aprobada + Asignaciones/UnidadesPlanificadas + ventana + contexto + recursos/personas previstos + prioridad + pre-check + TipoParte previsto. Para offline: proyección versionada de reglas/catálogos/ubicaciones/requisitos mínimos.</x:v>
      </x:c>
      <x:c r="B49" s="2562"/>
      <x:c r="C49" s="2562"/>
      <x:c r="D49" s="2562"/>
      <x:c r="E49" s="2562"/>
      <x:c r="F49" s="2562"/>
      <x:c r="G49" s="2562"/>
      <x:c r="H49" s="2562"/>
      <x:c r="I49" s="2562"/>
      <x:c r="J49" s="2562"/>
      <x:c r="K49" s="2562"/>
      <x:c r="L49" s="2562"/>
      <x:c r="M49" s="2562"/>
      <x:c r="N49" s="2562"/>
      <x:c r="O49" s="2562"/>
      <x:c r="P49" s="2562"/>
      <x:c r="Q49" s="1277"/>
      <x:c r="R49" s="1277"/>
      <x:c r="S49" s="1277"/>
      <x:c r="T49" s="1277"/>
      <x:c r="U49" s="1277"/>
      <x:c r="V49" s="1277"/>
      <x:c r="W49" s="1277"/>
      <x:c r="X49" s="1277"/>
    </x:row>
    <x:row r="50">
      <x:c r="A50" s="2562"/>
      <x:c r="B50" s="2562"/>
      <x:c r="C50" s="2562"/>
      <x:c r="D50" s="2562"/>
      <x:c r="E50" s="2562"/>
      <x:c r="F50" s="2562"/>
      <x:c r="G50" s="2562"/>
      <x:c r="H50" s="2562"/>
      <x:c r="I50" s="2562"/>
      <x:c r="J50" s="2562"/>
      <x:c r="K50" s="2562"/>
      <x:c r="L50" s="2562"/>
      <x:c r="M50" s="2562"/>
      <x:c r="N50" s="2562"/>
      <x:c r="O50" s="2562"/>
      <x:c r="P50" s="2562"/>
      <x:c r="Q50" s="1277"/>
      <x:c r="R50" s="1277"/>
      <x:c r="S50" s="1277"/>
      <x:c r="T50" s="1277"/>
      <x:c r="U50" s="1277"/>
      <x:c r="V50" s="1277"/>
      <x:c r="W50" s="1277"/>
      <x:c r="X50" s="1277"/>
    </x:row>
    <x:row r="51">
      <x:c r="A51" s="2562"/>
      <x:c r="B51" s="2562"/>
      <x:c r="C51" s="2562"/>
      <x:c r="D51" s="2562"/>
      <x:c r="E51" s="2562"/>
      <x:c r="F51" s="2562"/>
      <x:c r="G51" s="2562"/>
      <x:c r="H51" s="2562"/>
      <x:c r="I51" s="2562"/>
      <x:c r="J51" s="2562"/>
      <x:c r="K51" s="2562"/>
      <x:c r="L51" s="2562"/>
      <x:c r="M51" s="2562"/>
      <x:c r="N51" s="2562"/>
      <x:c r="O51" s="2562"/>
      <x:c r="P51" s="2562"/>
      <x:c r="Q51" s="1277"/>
      <x:c r="R51" s="1277"/>
      <x:c r="S51" s="1277"/>
      <x:c r="T51" s="1277"/>
      <x:c r="U51" s="1277"/>
      <x:c r="V51" s="1277"/>
      <x:c r="W51" s="1277"/>
      <x:c r="X51" s="1277"/>
    </x:row>
    <x:row r="52">
      <x:c r="A52" s="2562"/>
      <x:c r="B52" s="2562"/>
      <x:c r="C52" s="2562"/>
      <x:c r="D52" s="2562"/>
      <x:c r="E52" s="2562"/>
      <x:c r="F52" s="2562"/>
      <x:c r="G52" s="2562"/>
      <x:c r="H52" s="2562"/>
      <x:c r="I52" s="2562"/>
      <x:c r="J52" s="2562"/>
      <x:c r="K52" s="2562"/>
      <x:c r="L52" s="2562"/>
      <x:c r="M52" s="2562"/>
      <x:c r="N52" s="2562"/>
      <x:c r="O52" s="2562"/>
      <x:c r="P52" s="2562"/>
      <x:c r="Q52" s="1277"/>
      <x:c r="R52" s="1277"/>
      <x:c r="S52" s="1277"/>
      <x:c r="T52" s="1277"/>
      <x:c r="U52" s="1277"/>
      <x:c r="V52" s="1277"/>
      <x:c r="W52" s="1277"/>
      <x:c r="X52" s="1277"/>
    </x:row>
    <x:row r="53">
      <x:c r="A53" s="1277"/>
      <x:c r="B53" s="1277"/>
      <x:c r="C53" s="1277"/>
      <x:c r="D53" s="1277"/>
      <x:c r="E53" s="1277"/>
      <x:c r="F53" s="1277"/>
      <x:c r="G53" s="1277"/>
      <x:c r="H53" s="1277"/>
      <x:c r="I53" s="1277"/>
      <x:c r="J53" s="1277"/>
      <x:c r="K53" s="1277"/>
      <x:c r="L53" s="1277"/>
      <x:c r="M53" s="1277"/>
      <x:c r="N53" s="1277"/>
      <x:c r="O53" s="1277"/>
      <x:c r="P53" s="1277"/>
      <x:c r="Q53" s="1277"/>
      <x:c r="R53" s="1277"/>
      <x:c r="S53" s="1277"/>
      <x:c r="T53" s="1277"/>
      <x:c r="U53" s="1277"/>
      <x:c r="V53" s="1277"/>
      <x:c r="W53" s="1277"/>
      <x:c r="X53" s="1277"/>
    </x:row>
    <x:row r="54">
      <x:c r="A54" s="1277"/>
      <x:c r="B54" s="1277"/>
      <x:c r="C54" s="1277"/>
      <x:c r="D54" s="1277"/>
      <x:c r="E54" s="1277"/>
      <x:c r="F54" s="1277"/>
      <x:c r="G54" s="1277"/>
      <x:c r="H54" s="1277"/>
      <x:c r="I54" s="1277"/>
      <x:c r="J54" s="1277"/>
      <x:c r="K54" s="1277"/>
      <x:c r="L54" s="1277"/>
      <x:c r="M54" s="1277"/>
      <x:c r="N54" s="1277"/>
      <x:c r="O54" s="1277"/>
      <x:c r="P54" s="1277"/>
      <x:c r="Q54" s="1277"/>
      <x:c r="R54" s="1277"/>
      <x:c r="S54" s="1277"/>
      <x:c r="T54" s="1277"/>
      <x:c r="U54" s="1277"/>
      <x:c r="V54" s="1277"/>
      <x:c r="W54" s="1277"/>
      <x:c r="X54" s="1277"/>
    </x:row>
    <x:row r="55">
      <x:c r="A55" s="1277"/>
      <x:c r="B55" s="1277"/>
      <x:c r="C55" s="1277"/>
      <x:c r="D55" s="1277"/>
      <x:c r="E55" s="1277"/>
      <x:c r="F55" s="1277"/>
      <x:c r="G55" s="1277"/>
      <x:c r="H55" s="1277"/>
      <x:c r="I55" s="2561" t="str">
        <x:v>I-B · EJECUCIÓN → CERTIFICACIÓN · VERDAD OPERACIONAL NORMALIZADA</x:v>
      </x:c>
      <x:c r="J55" s="2561"/>
      <x:c r="K55" s="2561"/>
      <x:c r="L55" s="2561"/>
      <x:c r="M55" s="2561"/>
      <x:c r="N55" s="2561"/>
      <x:c r="O55" s="2561"/>
      <x:c r="P55" s="2561"/>
      <x:c r="Q55" s="2561"/>
      <x:c r="R55" s="2561"/>
      <x:c r="S55" s="2561"/>
      <x:c r="T55" s="2561"/>
      <x:c r="U55" s="2561"/>
      <x:c r="V55" s="2561"/>
      <x:c r="W55" s="2561"/>
      <x:c r="X55" s="2561"/>
    </x:row>
    <x:row r="56">
      <x:c r="A56" s="1277"/>
      <x:c r="B56" s="1277"/>
      <x:c r="C56" s="1277"/>
      <x:c r="D56" s="1277"/>
      <x:c r="E56" s="1277"/>
      <x:c r="F56" s="1277"/>
      <x:c r="G56" s="1277"/>
      <x:c r="H56" s="1277"/>
      <x:c r="I56" s="2562" t="str">
        <x:v>UnidadEjecución + ubicación/activo real + timestamps + AsignacionPersonaEjecucion + recursos reales + CentroCosto/Item + medición base + evidencias/conformidades + resultado/desvíos + vínculo PlanificacionVersion + EnmiendasOperativas aplicables.</x:v>
      </x:c>
      <x:c r="J56" s="2562"/>
      <x:c r="K56" s="2562"/>
      <x:c r="L56" s="2562"/>
      <x:c r="M56" s="2562"/>
      <x:c r="N56" s="2562"/>
      <x:c r="O56" s="2562"/>
      <x:c r="P56" s="2562"/>
      <x:c r="Q56" s="2562"/>
      <x:c r="R56" s="2562"/>
      <x:c r="S56" s="2562"/>
      <x:c r="T56" s="2562"/>
      <x:c r="U56" s="2562"/>
      <x:c r="V56" s="2562"/>
      <x:c r="W56" s="2562"/>
      <x:c r="X56" s="2562"/>
    </x:row>
    <x:row r="57">
      <x:c r="A57" s="1277"/>
      <x:c r="B57" s="1277"/>
      <x:c r="C57" s="1277"/>
      <x:c r="D57" s="1277"/>
      <x:c r="E57" s="1277"/>
      <x:c r="F57" s="1277"/>
      <x:c r="G57" s="1277"/>
      <x:c r="H57" s="1277"/>
      <x:c r="I57" s="2562"/>
      <x:c r="J57" s="2562"/>
      <x:c r="K57" s="2562"/>
      <x:c r="L57" s="2562"/>
      <x:c r="M57" s="2562"/>
      <x:c r="N57" s="2562"/>
      <x:c r="O57" s="2562"/>
      <x:c r="P57" s="2562"/>
      <x:c r="Q57" s="2562"/>
      <x:c r="R57" s="2562"/>
      <x:c r="S57" s="2562"/>
      <x:c r="T57" s="2562"/>
      <x:c r="U57" s="2562"/>
      <x:c r="V57" s="2562"/>
      <x:c r="W57" s="2562"/>
      <x:c r="X57" s="2562"/>
    </x:row>
    <x:row r="58">
      <x:c r="A58" s="1277"/>
      <x:c r="B58" s="1277"/>
      <x:c r="C58" s="1277"/>
      <x:c r="D58" s="1277"/>
      <x:c r="E58" s="1277"/>
      <x:c r="F58" s="1277"/>
      <x:c r="G58" s="1277"/>
      <x:c r="H58" s="1277"/>
      <x:c r="I58" s="2562"/>
      <x:c r="J58" s="2562"/>
      <x:c r="K58" s="2562"/>
      <x:c r="L58" s="2562"/>
      <x:c r="M58" s="2562"/>
      <x:c r="N58" s="2562"/>
      <x:c r="O58" s="2562"/>
      <x:c r="P58" s="2562"/>
      <x:c r="Q58" s="2562"/>
      <x:c r="R58" s="2562"/>
      <x:c r="S58" s="2562"/>
      <x:c r="T58" s="2562"/>
      <x:c r="U58" s="2562"/>
      <x:c r="V58" s="2562"/>
      <x:c r="W58" s="2562"/>
      <x:c r="X58" s="2562"/>
    </x:row>
    <x:row r="59">
      <x:c r="A59" s="1277"/>
      <x:c r="B59" s="1277"/>
      <x:c r="C59" s="1277"/>
      <x:c r="D59" s="1277"/>
      <x:c r="E59" s="1277"/>
      <x:c r="F59" s="1277"/>
      <x:c r="G59" s="1277"/>
      <x:c r="H59" s="1277"/>
      <x:c r="I59" s="2562"/>
      <x:c r="J59" s="2562"/>
      <x:c r="K59" s="2562"/>
      <x:c r="L59" s="2562"/>
      <x:c r="M59" s="2562"/>
      <x:c r="N59" s="2562"/>
      <x:c r="O59" s="2562"/>
      <x:c r="P59" s="2562"/>
      <x:c r="Q59" s="2562"/>
      <x:c r="R59" s="2562"/>
      <x:c r="S59" s="2562"/>
      <x:c r="T59" s="2562"/>
      <x:c r="U59" s="2562"/>
      <x:c r="V59" s="2562"/>
      <x:c r="W59" s="2562"/>
      <x:c r="X59" s="2562"/>
    </x:row>
    <x:row r="60">
      <x:c r="A60" s="1277"/>
      <x:c r="B60" s="1277"/>
      <x:c r="C60" s="1277"/>
      <x:c r="D60" s="1277"/>
      <x:c r="E60" s="1277"/>
      <x:c r="F60" s="1277"/>
      <x:c r="G60" s="1277"/>
      <x:c r="H60" s="1277"/>
      <x:c r="I60" s="1277"/>
      <x:c r="J60" s="1277"/>
      <x:c r="K60" s="1277"/>
      <x:c r="L60" s="1277"/>
      <x:c r="M60" s="1277"/>
      <x:c r="N60" s="1277"/>
      <x:c r="O60" s="1277"/>
      <x:c r="P60" s="1277"/>
      <x:c r="Q60" s="1277"/>
      <x:c r="R60" s="1277"/>
      <x:c r="S60" s="1277"/>
      <x:c r="T60" s="1277"/>
      <x:c r="U60" s="1277"/>
      <x:c r="V60" s="1277"/>
      <x:c r="W60" s="1277"/>
      <x:c r="X60" s="1277"/>
    </x:row>
    <x:row r="61">
      <x:c r="A61" s="1277"/>
      <x:c r="B61" s="1277"/>
      <x:c r="C61" s="1277"/>
      <x:c r="D61" s="1277"/>
      <x:c r="E61" s="1277"/>
      <x:c r="F61" s="1277"/>
      <x:c r="G61" s="1277"/>
      <x:c r="H61" s="1277"/>
      <x:c r="I61" s="1277"/>
      <x:c r="J61" s="1277"/>
      <x:c r="K61" s="1277"/>
      <x:c r="L61" s="1277"/>
      <x:c r="M61" s="1277"/>
      <x:c r="N61" s="1277"/>
      <x:c r="O61" s="1277"/>
      <x:c r="P61" s="1277"/>
      <x:c r="Q61" s="1277"/>
      <x:c r="R61" s="1277"/>
      <x:c r="S61" s="1277"/>
      <x:c r="T61" s="1277"/>
      <x:c r="U61" s="1277"/>
      <x:c r="V61" s="1277"/>
      <x:c r="W61" s="1277"/>
      <x:c r="X61" s="1277"/>
    </x:row>
    <x:row r="62">
      <x:c r="A62" s="2524" t="str">
        <x:v>02 — CONTROL PLANE · CAMBIOS DESPUÉS DEL DESPACHO SIN REESCRIBIR EL PLAN</x:v>
      </x:c>
      <x:c r="B62" s="2524"/>
      <x:c r="C62" s="2524"/>
      <x:c r="D62" s="2524"/>
      <x:c r="E62" s="2524"/>
      <x:c r="F62" s="2524"/>
      <x:c r="G62" s="2524"/>
      <x:c r="H62" s="2524"/>
      <x:c r="I62" s="2524"/>
      <x:c r="J62" s="2524"/>
      <x:c r="K62" s="2524"/>
      <x:c r="L62" s="2524"/>
      <x:c r="M62" s="2524"/>
      <x:c r="N62" s="2524"/>
      <x:c r="O62" s="2524"/>
      <x:c r="P62" s="2524"/>
      <x:c r="Q62" s="2524"/>
      <x:c r="R62" s="2524"/>
      <x:c r="S62" s="2524"/>
      <x:c r="T62" s="2524"/>
      <x:c r="U62" s="2524"/>
      <x:c r="V62" s="2524"/>
      <x:c r="W62" s="2524"/>
      <x:c r="X62" s="2524"/>
    </x:row>
    <x:row r="63">
      <x:c r="A63" s="1277"/>
      <x:c r="B63" s="1277"/>
      <x:c r="C63" s="1277"/>
      <x:c r="D63" s="1277"/>
      <x:c r="E63" s="1277"/>
      <x:c r="F63" s="1277"/>
      <x:c r="G63" s="1277"/>
      <x:c r="H63" s="1277"/>
      <x:c r="I63" s="1277"/>
      <x:c r="J63" s="1277"/>
      <x:c r="K63" s="1277"/>
      <x:c r="L63" s="1277"/>
      <x:c r="M63" s="1277"/>
      <x:c r="N63" s="1277"/>
      <x:c r="O63" s="1277"/>
      <x:c r="P63" s="1277"/>
      <x:c r="Q63" s="1277"/>
      <x:c r="R63" s="1277"/>
      <x:c r="S63" s="1277"/>
      <x:c r="T63" s="1277"/>
      <x:c r="U63" s="1277"/>
      <x:c r="V63" s="1277"/>
      <x:c r="W63" s="1277"/>
      <x:c r="X63" s="1277"/>
    </x:row>
    <x:row r="64">
      <x:c r="A64" s="2472" t="str">
        <x:v>PLANIFICACIÓN /
SUPERVISIÓN
emitir directiva</x:v>
      </x:c>
      <x:c r="B64" s="2473"/>
      <x:c r="C64" s="2473"/>
      <x:c r="D64" s="2473"/>
      <x:c r="E64" s="2473"/>
      <x:c r="F64" s="2474"/>
      <x:c r="G64" s="1277"/>
      <x:c r="H64" s="2475" t="str">
        <x:v>DIRECTIVA OPERATIVA
CANCELAR · SUSPENDER
REPROGRAMAR · REPRIORIZAR
CAMBIO ALCANCE</x:v>
      </x:c>
      <x:c r="I64" s="2476"/>
      <x:c r="J64" s="2476"/>
      <x:c r="K64" s="2476"/>
      <x:c r="L64" s="2476"/>
      <x:c r="M64" s="2477"/>
      <x:c r="N64" s="1277"/>
      <x:c r="O64" s="2472" t="str">
        <x:v>EJECUCIÓN
RECIBIR → ACK
APLICAR / RECHAZAR
con causa</x:v>
      </x:c>
      <x:c r="P64" s="2473"/>
      <x:c r="Q64" s="2473"/>
      <x:c r="R64" s="2473"/>
      <x:c r="S64" s="2473"/>
      <x:c r="T64" s="2474"/>
      <x:c r="U64" s="1277"/>
      <x:c r="V64" s="2469" t="str">
        <x:v>OFFLINE
pendiente de
recepción</x:v>
      </x:c>
      <x:c r="W64" s="2470"/>
      <x:c r="X64" s="2471"/>
    </x:row>
    <x:row r="65">
      <x:c r="A65" s="2481"/>
      <x:c r="B65" s="2482"/>
      <x:c r="C65" s="2482"/>
      <x:c r="D65" s="2482"/>
      <x:c r="E65" s="2482"/>
      <x:c r="F65" s="2483"/>
      <x:c r="G65" s="1277"/>
      <x:c r="H65" s="2484"/>
      <x:c r="I65" s="2485"/>
      <x:c r="J65" s="2485"/>
      <x:c r="K65" s="2485"/>
      <x:c r="L65" s="2485"/>
      <x:c r="M65" s="2486"/>
      <x:c r="N65" s="1277"/>
      <x:c r="O65" s="2481"/>
      <x:c r="P65" s="2482"/>
      <x:c r="Q65" s="2482"/>
      <x:c r="R65" s="2482"/>
      <x:c r="S65" s="2482"/>
      <x:c r="T65" s="2483"/>
      <x:c r="U65" s="1277"/>
      <x:c r="V65" s="2478"/>
      <x:c r="W65" s="2479"/>
      <x:c r="X65" s="2480"/>
    </x:row>
    <x:row r="66">
      <x:c r="A66" s="2481"/>
      <x:c r="B66" s="2482"/>
      <x:c r="C66" s="2482"/>
      <x:c r="D66" s="2482"/>
      <x:c r="E66" s="2482"/>
      <x:c r="F66" s="2483"/>
      <x:c r="G66" s="1297" t="str">
        <x:v>→</x:v>
      </x:c>
      <x:c r="H66" s="2484"/>
      <x:c r="I66" s="2485"/>
      <x:c r="J66" s="2485"/>
      <x:c r="K66" s="2485"/>
      <x:c r="L66" s="2485"/>
      <x:c r="M66" s="2486"/>
      <x:c r="N66" s="1297" t="str">
        <x:v>→</x:v>
      </x:c>
      <x:c r="O66" s="2481"/>
      <x:c r="P66" s="2482"/>
      <x:c r="Q66" s="2482"/>
      <x:c r="R66" s="2482"/>
      <x:c r="S66" s="2482"/>
      <x:c r="T66" s="2483"/>
      <x:c r="U66" s="1277"/>
      <x:c r="V66" s="2478"/>
      <x:c r="W66" s="2479"/>
      <x:c r="X66" s="2480"/>
    </x:row>
    <x:row r="67">
      <x:c r="A67" s="2481"/>
      <x:c r="B67" s="2482"/>
      <x:c r="C67" s="2482"/>
      <x:c r="D67" s="2482"/>
      <x:c r="E67" s="2482"/>
      <x:c r="F67" s="2483"/>
      <x:c r="G67" s="1277"/>
      <x:c r="H67" s="2484"/>
      <x:c r="I67" s="2485"/>
      <x:c r="J67" s="2485"/>
      <x:c r="K67" s="2485"/>
      <x:c r="L67" s="2485"/>
      <x:c r="M67" s="2486"/>
      <x:c r="N67" s="1277"/>
      <x:c r="O67" s="2481"/>
      <x:c r="P67" s="2482"/>
      <x:c r="Q67" s="2482"/>
      <x:c r="R67" s="2482"/>
      <x:c r="S67" s="2482"/>
      <x:c r="T67" s="2483"/>
      <x:c r="U67" s="1277"/>
      <x:c r="V67" s="2478"/>
      <x:c r="W67" s="2479"/>
      <x:c r="X67" s="2480"/>
    </x:row>
    <x:row r="68">
      <x:c r="A68" s="2490"/>
      <x:c r="B68" s="2491"/>
      <x:c r="C68" s="2491"/>
      <x:c r="D68" s="2491"/>
      <x:c r="E68" s="2491"/>
      <x:c r="F68" s="2492"/>
      <x:c r="G68" s="1277"/>
      <x:c r="H68" s="2493"/>
      <x:c r="I68" s="2494"/>
      <x:c r="J68" s="2494"/>
      <x:c r="K68" s="2494"/>
      <x:c r="L68" s="2494"/>
      <x:c r="M68" s="2495"/>
      <x:c r="N68" s="1277"/>
      <x:c r="O68" s="2490"/>
      <x:c r="P68" s="2491"/>
      <x:c r="Q68" s="2491"/>
      <x:c r="R68" s="2491"/>
      <x:c r="S68" s="2491"/>
      <x:c r="T68" s="2492"/>
      <x:c r="U68" s="1277"/>
      <x:c r="V68" s="2487"/>
      <x:c r="W68" s="2488"/>
      <x:c r="X68" s="2489"/>
    </x:row>
    <x:row r="69">
      <x:c r="A69" s="1277"/>
      <x:c r="B69" s="1277"/>
      <x:c r="C69" s="1277"/>
      <x:c r="D69" s="1277"/>
      <x:c r="E69" s="1277"/>
      <x:c r="F69" s="1277"/>
      <x:c r="G69" s="1277"/>
      <x:c r="H69" s="1277"/>
      <x:c r="I69" s="1277"/>
      <x:c r="J69" s="1277"/>
      <x:c r="K69" s="1277"/>
      <x:c r="L69" s="1277"/>
      <x:c r="M69" s="1277"/>
      <x:c r="N69" s="1277"/>
      <x:c r="O69" s="1277"/>
      <x:c r="P69" s="1277"/>
      <x:c r="Q69" s="1277"/>
      <x:c r="R69" s="1277"/>
      <x:c r="S69" s="1277"/>
      <x:c r="T69" s="1277"/>
      <x:c r="U69" s="1277"/>
      <x:c r="V69" s="1277"/>
      <x:c r="W69" s="1277"/>
      <x:c r="X69" s="1277"/>
    </x:row>
    <x:row r="70">
      <x:c r="A70" s="2514" t="str">
        <x:v>Directiva emitida ≠ recibida ≠ aplicada. El Control Plane agrega hechos posteriores al SnapshotPlanificado. Una cancelación de OT o cambio de alcance viaja por este canal; si el dispositivo está offline, central conserva estado PENDIENTE_RECEPCION.</x:v>
      </x:c>
      <x:c r="B70" s="2514"/>
      <x:c r="C70" s="2514"/>
      <x:c r="D70" s="2514"/>
      <x:c r="E70" s="2514"/>
      <x:c r="F70" s="2514"/>
      <x:c r="G70" s="2514"/>
      <x:c r="H70" s="2514"/>
      <x:c r="I70" s="2514"/>
      <x:c r="J70" s="2514"/>
      <x:c r="K70" s="2514"/>
      <x:c r="L70" s="2514"/>
      <x:c r="M70" s="2514"/>
      <x:c r="N70" s="2514"/>
      <x:c r="O70" s="2514"/>
      <x:c r="P70" s="2514"/>
      <x:c r="Q70" s="2514"/>
      <x:c r="R70" s="2514"/>
      <x:c r="S70" s="2514"/>
      <x:c r="T70" s="2514"/>
      <x:c r="U70" s="2514"/>
      <x:c r="V70" s="2514"/>
      <x:c r="W70" s="2514"/>
      <x:c r="X70" s="2514"/>
    </x:row>
    <x:row r="71">
      <x:c r="A71" s="2514"/>
      <x:c r="B71" s="2514"/>
      <x:c r="C71" s="2514"/>
      <x:c r="D71" s="2514"/>
      <x:c r="E71" s="2514"/>
      <x:c r="F71" s="2514"/>
      <x:c r="G71" s="2514"/>
      <x:c r="H71" s="2514"/>
      <x:c r="I71" s="2514"/>
      <x:c r="J71" s="2514"/>
      <x:c r="K71" s="2514"/>
      <x:c r="L71" s="2514"/>
      <x:c r="M71" s="2514"/>
      <x:c r="N71" s="2514"/>
      <x:c r="O71" s="2514"/>
      <x:c r="P71" s="2514"/>
      <x:c r="Q71" s="2514"/>
      <x:c r="R71" s="2514"/>
      <x:c r="S71" s="2514"/>
      <x:c r="T71" s="2514"/>
      <x:c r="U71" s="2514"/>
      <x:c r="V71" s="2514"/>
      <x:c r="W71" s="2514"/>
      <x:c r="X71" s="2514"/>
    </x:row>
    <x:row r="72">
      <x:c r="A72" s="2514"/>
      <x:c r="B72" s="2514"/>
      <x:c r="C72" s="2514"/>
      <x:c r="D72" s="2514"/>
      <x:c r="E72" s="2514"/>
      <x:c r="F72" s="2514"/>
      <x:c r="G72" s="2514"/>
      <x:c r="H72" s="2514"/>
      <x:c r="I72" s="2514"/>
      <x:c r="J72" s="2514"/>
      <x:c r="K72" s="2514"/>
      <x:c r="L72" s="2514"/>
      <x:c r="M72" s="2514"/>
      <x:c r="N72" s="2514"/>
      <x:c r="O72" s="2514"/>
      <x:c r="P72" s="2514"/>
      <x:c r="Q72" s="2514"/>
      <x:c r="R72" s="2514"/>
      <x:c r="S72" s="2514"/>
      <x:c r="T72" s="2514"/>
      <x:c r="U72" s="2514"/>
      <x:c r="V72" s="2514"/>
      <x:c r="W72" s="2514"/>
      <x:c r="X72" s="2514"/>
    </x:row>
    <x:row r="73">
      <x:c r="A73" s="2514"/>
      <x:c r="B73" s="2514"/>
      <x:c r="C73" s="2514"/>
      <x:c r="D73" s="2514"/>
      <x:c r="E73" s="2514"/>
      <x:c r="F73" s="2514"/>
      <x:c r="G73" s="2514"/>
      <x:c r="H73" s="2514"/>
      <x:c r="I73" s="2514"/>
      <x:c r="J73" s="2514"/>
      <x:c r="K73" s="2514"/>
      <x:c r="L73" s="2514"/>
      <x:c r="M73" s="2514"/>
      <x:c r="N73" s="2514"/>
      <x:c r="O73" s="2514"/>
      <x:c r="P73" s="2514"/>
      <x:c r="Q73" s="2514"/>
      <x:c r="R73" s="2514"/>
      <x:c r="S73" s="2514"/>
      <x:c r="T73" s="2514"/>
      <x:c r="U73" s="2514"/>
      <x:c r="V73" s="2514"/>
      <x:c r="W73" s="2514"/>
      <x:c r="X73" s="2514"/>
    </x:row>
    <x:row r="74">
      <x:c r="A74" s="1277"/>
      <x:c r="B74" s="1277"/>
      <x:c r="C74" s="1277"/>
      <x:c r="D74" s="1277"/>
      <x:c r="E74" s="1277"/>
      <x:c r="F74" s="1277"/>
      <x:c r="G74" s="1277"/>
      <x:c r="H74" s="1277"/>
      <x:c r="I74" s="1277"/>
      <x:c r="J74" s="1277"/>
      <x:c r="K74" s="1277"/>
      <x:c r="L74" s="1277"/>
      <x:c r="M74" s="1277"/>
      <x:c r="N74" s="1277"/>
      <x:c r="O74" s="1277"/>
      <x:c r="P74" s="1277"/>
      <x:c r="Q74" s="1277"/>
      <x:c r="R74" s="1277"/>
      <x:c r="S74" s="1277"/>
      <x:c r="T74" s="1277"/>
      <x:c r="U74" s="1277"/>
      <x:c r="V74" s="1277"/>
      <x:c r="W74" s="1277"/>
      <x:c r="X74" s="1277"/>
    </x:row>
    <x:row r="75">
      <x:c r="A75" s="2524" t="str">
        <x:v>03 — CORRECTION PATH · ERROR OPERATIVO ≠ AJUSTE COMERCIAL</x:v>
      </x:c>
      <x:c r="B75" s="2524"/>
      <x:c r="C75" s="2524"/>
      <x:c r="D75" s="2524"/>
      <x:c r="E75" s="2524"/>
      <x:c r="F75" s="2524"/>
      <x:c r="G75" s="2524"/>
      <x:c r="H75" s="2524"/>
      <x:c r="I75" s="2524"/>
      <x:c r="J75" s="2524"/>
      <x:c r="K75" s="2524"/>
      <x:c r="L75" s="2524"/>
      <x:c r="M75" s="2524"/>
      <x:c r="N75" s="2524"/>
      <x:c r="O75" s="2524"/>
      <x:c r="P75" s="2524"/>
      <x:c r="Q75" s="2524"/>
      <x:c r="R75" s="2524"/>
      <x:c r="S75" s="2524"/>
      <x:c r="T75" s="2524"/>
      <x:c r="U75" s="2524"/>
      <x:c r="V75" s="2524"/>
      <x:c r="W75" s="2524"/>
      <x:c r="X75" s="2524"/>
    </x:row>
    <x:row r="76">
      <x:c r="A76" s="1277"/>
      <x:c r="B76" s="1277"/>
      <x:c r="C76" s="1277"/>
      <x:c r="D76" s="1277"/>
      <x:c r="E76" s="1277"/>
      <x:c r="F76" s="1277"/>
      <x:c r="G76" s="1277"/>
      <x:c r="H76" s="1277"/>
      <x:c r="I76" s="1277"/>
      <x:c r="J76" s="1277"/>
      <x:c r="K76" s="1277"/>
      <x:c r="L76" s="1277"/>
      <x:c r="M76" s="1277"/>
      <x:c r="N76" s="1277"/>
      <x:c r="O76" s="1277"/>
      <x:c r="P76" s="1277"/>
      <x:c r="Q76" s="1277"/>
      <x:c r="R76" s="1277"/>
      <x:c r="S76" s="1277"/>
      <x:c r="T76" s="1277"/>
      <x:c r="U76" s="1277"/>
      <x:c r="V76" s="1277"/>
      <x:c r="W76" s="1277"/>
      <x:c r="X76" s="1277"/>
    </x:row>
    <x:row r="77">
      <x:c r="A77" s="2499" t="str">
        <x:v>ERROR REAL DE CAMPO
ENMIENDA OPERATIVA
append-only · autorizada
80h → 8h reales</x:v>
      </x:c>
      <x:c r="B77" s="2500"/>
      <x:c r="C77" s="2500"/>
      <x:c r="D77" s="2500"/>
      <x:c r="E77" s="2500"/>
      <x:c r="F77" s="2500"/>
      <x:c r="G77" s="2500"/>
      <x:c r="H77" s="2501"/>
      <x:c r="I77" s="1277"/>
      <x:c r="J77" s="2472" t="str">
        <x:v>EVIDENCIA FALTANTE /
ACLARACIÓN
SolicitudCorreccion / pendiente
sin editar silenciosamente</x:v>
      </x:c>
      <x:c r="K77" s="2473"/>
      <x:c r="L77" s="2473"/>
      <x:c r="M77" s="2473"/>
      <x:c r="N77" s="2473"/>
      <x:c r="O77" s="2473"/>
      <x:c r="P77" s="2474"/>
      <x:c r="Q77" s="1277"/>
      <x:c r="R77" s="2502" t="str">
        <x:v>DIFERENCIA COMERCIAL
AJUSTE CERTIFICACIÓN
8h reales → 7h reconocidas
operación queda en 8h</x:v>
      </x:c>
      <x:c r="S77" s="2521"/>
      <x:c r="T77" s="2521"/>
      <x:c r="U77" s="2521"/>
      <x:c r="V77" s="2521"/>
      <x:c r="W77" s="2521"/>
      <x:c r="X77" s="2503"/>
    </x:row>
    <x:row r="78">
      <x:c r="A78" s="2504"/>
      <x:c r="B78" s="2505"/>
      <x:c r="C78" s="2505"/>
      <x:c r="D78" s="2505"/>
      <x:c r="E78" s="2505"/>
      <x:c r="F78" s="2505"/>
      <x:c r="G78" s="2505"/>
      <x:c r="H78" s="2506"/>
      <x:c r="I78" s="1277"/>
      <x:c r="J78" s="2481"/>
      <x:c r="K78" s="2482"/>
      <x:c r="L78" s="2482"/>
      <x:c r="M78" s="2482"/>
      <x:c r="N78" s="2482"/>
      <x:c r="O78" s="2482"/>
      <x:c r="P78" s="2483"/>
      <x:c r="Q78" s="1277"/>
      <x:c r="R78" s="2507"/>
      <x:c r="S78" s="2479"/>
      <x:c r="T78" s="2479"/>
      <x:c r="U78" s="2479"/>
      <x:c r="V78" s="2479"/>
      <x:c r="W78" s="2479"/>
      <x:c r="X78" s="2508"/>
    </x:row>
    <x:row r="79">
      <x:c r="A79" s="2504"/>
      <x:c r="B79" s="2505"/>
      <x:c r="C79" s="2505"/>
      <x:c r="D79" s="2505"/>
      <x:c r="E79" s="2505"/>
      <x:c r="F79" s="2505"/>
      <x:c r="G79" s="2505"/>
      <x:c r="H79" s="2506"/>
      <x:c r="I79" s="1277"/>
      <x:c r="J79" s="2481"/>
      <x:c r="K79" s="2482"/>
      <x:c r="L79" s="2482"/>
      <x:c r="M79" s="2482"/>
      <x:c r="N79" s="2482"/>
      <x:c r="O79" s="2482"/>
      <x:c r="P79" s="2483"/>
      <x:c r="Q79" s="1277"/>
      <x:c r="R79" s="2507"/>
      <x:c r="S79" s="2479"/>
      <x:c r="T79" s="2479"/>
      <x:c r="U79" s="2479"/>
      <x:c r="V79" s="2479"/>
      <x:c r="W79" s="2479"/>
      <x:c r="X79" s="2508"/>
    </x:row>
    <x:row r="80">
      <x:c r="A80" s="2504"/>
      <x:c r="B80" s="2505"/>
      <x:c r="C80" s="2505"/>
      <x:c r="D80" s="2505"/>
      <x:c r="E80" s="2505"/>
      <x:c r="F80" s="2505"/>
      <x:c r="G80" s="2505"/>
      <x:c r="H80" s="2506"/>
      <x:c r="I80" s="1277"/>
      <x:c r="J80" s="2481"/>
      <x:c r="K80" s="2482"/>
      <x:c r="L80" s="2482"/>
      <x:c r="M80" s="2482"/>
      <x:c r="N80" s="2482"/>
      <x:c r="O80" s="2482"/>
      <x:c r="P80" s="2483"/>
      <x:c r="Q80" s="1277"/>
      <x:c r="R80" s="2507"/>
      <x:c r="S80" s="2479"/>
      <x:c r="T80" s="2479"/>
      <x:c r="U80" s="2479"/>
      <x:c r="V80" s="2479"/>
      <x:c r="W80" s="2479"/>
      <x:c r="X80" s="2508"/>
    </x:row>
    <x:row r="81">
      <x:c r="A81" s="2509"/>
      <x:c r="B81" s="2510"/>
      <x:c r="C81" s="2510"/>
      <x:c r="D81" s="2510"/>
      <x:c r="E81" s="2510"/>
      <x:c r="F81" s="2510"/>
      <x:c r="G81" s="2510"/>
      <x:c r="H81" s="2511"/>
      <x:c r="I81" s="1277"/>
      <x:c r="J81" s="2490"/>
      <x:c r="K81" s="2491"/>
      <x:c r="L81" s="2491"/>
      <x:c r="M81" s="2491"/>
      <x:c r="N81" s="2491"/>
      <x:c r="O81" s="2491"/>
      <x:c r="P81" s="2492"/>
      <x:c r="Q81" s="1277"/>
      <x:c r="R81" s="2512"/>
      <x:c r="S81" s="2522"/>
      <x:c r="T81" s="2522"/>
      <x:c r="U81" s="2522"/>
      <x:c r="V81" s="2522"/>
      <x:c r="W81" s="2522"/>
      <x:c r="X81" s="2513"/>
    </x:row>
    <x:row r="82">
      <x:c r="A82" s="1277"/>
      <x:c r="B82" s="1277"/>
      <x:c r="C82" s="1277"/>
      <x:c r="D82" s="1277"/>
      <x:c r="E82" s="1277"/>
      <x:c r="F82" s="1277"/>
      <x:c r="G82" s="1277"/>
      <x:c r="H82" s="1277"/>
      <x:c r="I82" s="1277"/>
      <x:c r="J82" s="1277"/>
      <x:c r="K82" s="1277"/>
      <x:c r="L82" s="1277"/>
      <x:c r="M82" s="1277"/>
      <x:c r="N82" s="1277"/>
      <x:c r="O82" s="1277"/>
      <x:c r="P82" s="1277"/>
      <x:c r="Q82" s="1277"/>
      <x:c r="R82" s="1277"/>
      <x:c r="S82" s="1277"/>
      <x:c r="T82" s="1277"/>
      <x:c r="U82" s="1277"/>
      <x:c r="V82" s="1277"/>
      <x:c r="W82" s="1277"/>
      <x:c r="X82" s="1277"/>
    </x:row>
    <x:row r="83">
      <x:c r="A83" s="1277"/>
      <x:c r="B83" s="1277"/>
      <x:c r="C83" s="1277"/>
      <x:c r="D83" s="1277"/>
      <x:c r="E83" s="1277"/>
      <x:c r="F83" s="1277"/>
      <x:c r="G83" s="1277"/>
      <x:c r="H83" s="1277"/>
      <x:c r="I83" s="1277"/>
      <x:c r="J83" s="1277"/>
      <x:c r="K83" s="1277"/>
      <x:c r="L83" s="1277"/>
      <x:c r="M83" s="1277"/>
      <x:c r="N83" s="1277"/>
      <x:c r="O83" s="1277"/>
      <x:c r="P83" s="1277"/>
      <x:c r="Q83" s="1277"/>
      <x:c r="R83" s="1277"/>
      <x:c r="S83" s="1277"/>
      <x:c r="T83" s="1277"/>
      <x:c r="U83" s="1277"/>
      <x:c r="V83" s="1277"/>
      <x:c r="W83" s="1277"/>
      <x:c r="X83" s="1277"/>
    </x:row>
    <x:row r="84">
      <x:c r="A84" s="2524" t="str">
        <x:v>04 — HABILITA PLANE · HABILITACIÓN Y CONTROL DEL TRABAJO</x:v>
      </x:c>
      <x:c r="B84" s="2524"/>
      <x:c r="C84" s="2524"/>
      <x:c r="D84" s="2524"/>
      <x:c r="E84" s="2524"/>
      <x:c r="F84" s="2524"/>
      <x:c r="G84" s="2524"/>
      <x:c r="H84" s="2524"/>
      <x:c r="I84" s="2524"/>
      <x:c r="J84" s="2524"/>
      <x:c r="K84" s="2524"/>
      <x:c r="L84" s="2524"/>
      <x:c r="M84" s="2524"/>
      <x:c r="N84" s="2524"/>
      <x:c r="O84" s="2524"/>
      <x:c r="P84" s="2524"/>
      <x:c r="Q84" s="2524"/>
      <x:c r="R84" s="2524"/>
      <x:c r="S84" s="2524"/>
      <x:c r="T84" s="2524"/>
      <x:c r="U84" s="2524"/>
      <x:c r="V84" s="2524"/>
      <x:c r="W84" s="2524"/>
      <x:c r="X84" s="2524"/>
    </x:row>
    <x:row r="85">
      <x:c r="A85" s="1277"/>
      <x:c r="B85" s="1277"/>
      <x:c r="C85" s="1277"/>
      <x:c r="D85" s="1277"/>
      <x:c r="E85" s="1277"/>
      <x:c r="F85" s="1277"/>
      <x:c r="G85" s="1277"/>
      <x:c r="H85" s="1277"/>
      <x:c r="I85" s="1277"/>
      <x:c r="J85" s="1277"/>
      <x:c r="K85" s="1277"/>
      <x:c r="L85" s="1277"/>
      <x:c r="M85" s="1277"/>
      <x:c r="N85" s="1277"/>
      <x:c r="O85" s="1277"/>
      <x:c r="P85" s="1277"/>
      <x:c r="Q85" s="1277"/>
      <x:c r="R85" s="1277"/>
      <x:c r="S85" s="1277"/>
      <x:c r="T85" s="1277"/>
      <x:c r="U85" s="1277"/>
      <x:c r="V85" s="1277"/>
      <x:c r="W85" s="1277"/>
      <x:c r="X85" s="1277"/>
    </x:row>
    <x:row r="86">
      <x:c r="A86" s="2472" t="str">
        <x:v>CONTROL DOCUMENTAL
pre-check futuro
+ revalidación real</x:v>
      </x:c>
      <x:c r="B86" s="2473"/>
      <x:c r="C86" s="2473"/>
      <x:c r="D86" s="2473"/>
      <x:c r="E86" s="2473"/>
      <x:c r="F86" s="2474"/>
      <x:c r="G86" s="1277"/>
      <x:c r="H86" s="2502" t="str">
        <x:v>PTW [0..N]
aprobado · vigente
suspendido · handover</x:v>
      </x:c>
      <x:c r="I86" s="2521"/>
      <x:c r="J86" s="2521"/>
      <x:c r="K86" s="2521"/>
      <x:c r="L86" s="2521"/>
      <x:c r="M86" s="2503"/>
      <x:c r="N86" s="1277"/>
      <x:c r="O86" s="2475" t="str">
        <x:v>START / SUSPEND /
RESTART / CLOSE
según seguridad real</x:v>
      </x:c>
      <x:c r="P86" s="2476"/>
      <x:c r="Q86" s="2476"/>
      <x:c r="R86" s="2476"/>
      <x:c r="S86" s="2476"/>
      <x:c r="T86" s="2477"/>
      <x:c r="U86" s="1277"/>
      <x:c r="V86" s="2515" t="str">
        <x:v>CIERRE ADM.
solo autorizado
NO timeout</x:v>
      </x:c>
      <x:c r="W86" s="2563"/>
      <x:c r="X86" s="2516"/>
    </x:row>
    <x:row r="87">
      <x:c r="A87" s="2481"/>
      <x:c r="B87" s="2482"/>
      <x:c r="C87" s="2482"/>
      <x:c r="D87" s="2482"/>
      <x:c r="E87" s="2482"/>
      <x:c r="F87" s="2483"/>
      <x:c r="G87" s="1277"/>
      <x:c r="H87" s="2507"/>
      <x:c r="I87" s="2479"/>
      <x:c r="J87" s="2479"/>
      <x:c r="K87" s="2479"/>
      <x:c r="L87" s="2479"/>
      <x:c r="M87" s="2508"/>
      <x:c r="N87" s="1277"/>
      <x:c r="O87" s="2484"/>
      <x:c r="P87" s="2485"/>
      <x:c r="Q87" s="2485"/>
      <x:c r="R87" s="2485"/>
      <x:c r="S87" s="2485"/>
      <x:c r="T87" s="2486"/>
      <x:c r="U87" s="1277"/>
      <x:c r="V87" s="2517"/>
      <x:c r="W87" s="2564"/>
      <x:c r="X87" s="2518"/>
    </x:row>
    <x:row r="88">
      <x:c r="A88" s="2481"/>
      <x:c r="B88" s="2482"/>
      <x:c r="C88" s="2482"/>
      <x:c r="D88" s="2482"/>
      <x:c r="E88" s="2482"/>
      <x:c r="F88" s="2483"/>
      <x:c r="G88" s="1297" t="str">
        <x:v>→</x:v>
      </x:c>
      <x:c r="H88" s="2507"/>
      <x:c r="I88" s="2479"/>
      <x:c r="J88" s="2479"/>
      <x:c r="K88" s="2479"/>
      <x:c r="L88" s="2479"/>
      <x:c r="M88" s="2508"/>
      <x:c r="N88" s="1297" t="str">
        <x:v>→</x:v>
      </x:c>
      <x:c r="O88" s="2484"/>
      <x:c r="P88" s="2485"/>
      <x:c r="Q88" s="2485"/>
      <x:c r="R88" s="2485"/>
      <x:c r="S88" s="2485"/>
      <x:c r="T88" s="2486"/>
      <x:c r="U88" s="1277"/>
      <x:c r="V88" s="2517"/>
      <x:c r="W88" s="2564"/>
      <x:c r="X88" s="2518"/>
    </x:row>
    <x:row r="89">
      <x:c r="A89" s="2481"/>
      <x:c r="B89" s="2482"/>
      <x:c r="C89" s="2482"/>
      <x:c r="D89" s="2482"/>
      <x:c r="E89" s="2482"/>
      <x:c r="F89" s="2483"/>
      <x:c r="G89" s="1277"/>
      <x:c r="H89" s="2507"/>
      <x:c r="I89" s="2479"/>
      <x:c r="J89" s="2479"/>
      <x:c r="K89" s="2479"/>
      <x:c r="L89" s="2479"/>
      <x:c r="M89" s="2508"/>
      <x:c r="N89" s="1277"/>
      <x:c r="O89" s="2484"/>
      <x:c r="P89" s="2485"/>
      <x:c r="Q89" s="2485"/>
      <x:c r="R89" s="2485"/>
      <x:c r="S89" s="2485"/>
      <x:c r="T89" s="2486"/>
      <x:c r="U89" s="1277"/>
      <x:c r="V89" s="2517"/>
      <x:c r="W89" s="2564"/>
      <x:c r="X89" s="2518"/>
    </x:row>
    <x:row r="90">
      <x:c r="A90" s="2490"/>
      <x:c r="B90" s="2491"/>
      <x:c r="C90" s="2491"/>
      <x:c r="D90" s="2491"/>
      <x:c r="E90" s="2491"/>
      <x:c r="F90" s="2492"/>
      <x:c r="G90" s="1277"/>
      <x:c r="H90" s="2512"/>
      <x:c r="I90" s="2522"/>
      <x:c r="J90" s="2522"/>
      <x:c r="K90" s="2522"/>
      <x:c r="L90" s="2522"/>
      <x:c r="M90" s="2513"/>
      <x:c r="N90" s="1277"/>
      <x:c r="O90" s="2493"/>
      <x:c r="P90" s="2494"/>
      <x:c r="Q90" s="2494"/>
      <x:c r="R90" s="2494"/>
      <x:c r="S90" s="2494"/>
      <x:c r="T90" s="2495"/>
      <x:c r="U90" s="1277"/>
      <x:c r="V90" s="2519"/>
      <x:c r="W90" s="2565"/>
      <x:c r="X90" s="2520"/>
    </x:row>
    <x:row r="91">
      <x:c r="A91" s="1277"/>
      <x:c r="B91" s="1277"/>
      <x:c r="C91" s="1277"/>
      <x:c r="D91" s="1277"/>
      <x:c r="E91" s="1277"/>
      <x:c r="F91" s="1277"/>
      <x:c r="G91" s="1277"/>
      <x:c r="H91" s="1277"/>
      <x:c r="I91" s="1277"/>
      <x:c r="J91" s="1277"/>
      <x:c r="K91" s="1277"/>
      <x:c r="L91" s="1277"/>
      <x:c r="M91" s="1277"/>
      <x:c r="N91" s="1277"/>
      <x:c r="O91" s="1277"/>
      <x:c r="P91" s="1277"/>
      <x:c r="Q91" s="1277"/>
      <x:c r="R91" s="1277"/>
      <x:c r="S91" s="1277"/>
      <x:c r="T91" s="1277"/>
      <x:c r="U91" s="1277"/>
      <x:c r="V91" s="1277"/>
      <x:c r="W91" s="1277"/>
      <x:c r="X91" s="1277"/>
    </x:row>
    <x:row r="92">
      <x:c r="A92" s="1277"/>
      <x:c r="B92" s="1277"/>
      <x:c r="C92" s="1277"/>
      <x:c r="D92" s="1277"/>
      <x:c r="E92" s="1277"/>
      <x:c r="F92" s="1277"/>
      <x:c r="G92" s="1277"/>
      <x:c r="H92" s="1277"/>
      <x:c r="I92" s="1277"/>
      <x:c r="J92" s="1277"/>
      <x:c r="K92" s="1277"/>
      <x:c r="L92" s="1277"/>
      <x:c r="M92" s="1277"/>
      <x:c r="N92" s="1277"/>
      <x:c r="O92" s="1277"/>
      <x:c r="P92" s="1277"/>
      <x:c r="Q92" s="1277"/>
      <x:c r="R92" s="1277"/>
      <x:c r="S92" s="1277"/>
      <x:c r="T92" s="1277"/>
      <x:c r="U92" s="1277"/>
      <x:c r="V92" s="1277"/>
      <x:c r="W92" s="1277"/>
      <x:c r="X92" s="1277"/>
    </x:row>
    <x:row r="93">
      <x:c r="A93" s="2524" t="str">
        <x:v>05 — RAILS / BUSES TRANSVERSALES</x:v>
      </x:c>
      <x:c r="B93" s="2524"/>
      <x:c r="C93" s="2524"/>
      <x:c r="D93" s="2524"/>
      <x:c r="E93" s="2524"/>
      <x:c r="F93" s="2524"/>
      <x:c r="G93" s="2524"/>
      <x:c r="H93" s="2524"/>
      <x:c r="I93" s="2524"/>
      <x:c r="J93" s="2524"/>
      <x:c r="K93" s="2524"/>
      <x:c r="L93" s="2524"/>
      <x:c r="M93" s="2524"/>
      <x:c r="N93" s="2524"/>
      <x:c r="O93" s="2524"/>
      <x:c r="P93" s="2524"/>
      <x:c r="Q93" s="2524"/>
      <x:c r="R93" s="2524"/>
      <x:c r="S93" s="2524"/>
      <x:c r="T93" s="2524"/>
      <x:c r="U93" s="2524"/>
      <x:c r="V93" s="2524"/>
      <x:c r="W93" s="2524"/>
      <x:c r="X93" s="2524"/>
    </x:row>
    <x:row r="94">
      <x:c r="A94" s="1277"/>
      <x:c r="B94" s="1277"/>
      <x:c r="C94" s="1277"/>
      <x:c r="D94" s="1277"/>
      <x:c r="E94" s="1277"/>
      <x:c r="F94" s="1277"/>
      <x:c r="G94" s="1277"/>
      <x:c r="H94" s="1277"/>
      <x:c r="I94" s="1277"/>
      <x:c r="J94" s="1277"/>
      <x:c r="K94" s="1277"/>
      <x:c r="L94" s="1277"/>
      <x:c r="M94" s="1277"/>
      <x:c r="N94" s="1277"/>
      <x:c r="O94" s="1277"/>
      <x:c r="P94" s="1277"/>
      <x:c r="Q94" s="1277"/>
      <x:c r="R94" s="1277"/>
      <x:c r="S94" s="1277"/>
      <x:c r="T94" s="1277"/>
      <x:c r="U94" s="1277"/>
      <x:c r="V94" s="1277"/>
      <x:c r="W94" s="1277"/>
      <x:c r="X94" s="1277"/>
    </x:row>
    <x:row r="95">
      <x:c r="A95" s="2472" t="str">
        <x:v>R1 · DISPONIBILIDAD
recursos · personas · ventanas
matching / conflictos</x:v>
      </x:c>
      <x:c r="B95" s="2473"/>
      <x:c r="C95" s="2473"/>
      <x:c r="D95" s="2473"/>
      <x:c r="E95" s="2473"/>
      <x:c r="F95" s="2474"/>
      <x:c r="G95" s="2472" t="str">
        <x:v>R2 · DERIVACIÓN
perfil · ubicación · servicio
TipoParte · item · reglas</x:v>
      </x:c>
      <x:c r="H95" s="2473"/>
      <x:c r="I95" s="2473"/>
      <x:c r="J95" s="2473"/>
      <x:c r="K95" s="2473"/>
      <x:c r="L95" s="2474"/>
      <x:c r="M95" s="2472" t="str">
        <x:v>R3 · ANTICIPACIÓN
readiness · vencimientos
faltantes · backlog comercial</x:v>
      </x:c>
      <x:c r="N95" s="2473"/>
      <x:c r="O95" s="2473"/>
      <x:c r="P95" s="2473"/>
      <x:c r="Q95" s="2473"/>
      <x:c r="R95" s="2474"/>
      <x:c r="S95" s="2472" t="str">
        <x:v>R4 · TRACE BUS
versiones · eventos · ACK
handover · enmiendas · ajustes</x:v>
      </x:c>
      <x:c r="T95" s="2473"/>
      <x:c r="U95" s="2473"/>
      <x:c r="V95" s="2473"/>
      <x:c r="W95" s="2473"/>
      <x:c r="X95" s="2474"/>
    </x:row>
    <x:row r="96">
      <x:c r="A96" s="2481"/>
      <x:c r="B96" s="2482"/>
      <x:c r="C96" s="2482"/>
      <x:c r="D96" s="2482"/>
      <x:c r="E96" s="2482"/>
      <x:c r="F96" s="2483"/>
      <x:c r="G96" s="2481"/>
      <x:c r="H96" s="2482"/>
      <x:c r="I96" s="2482"/>
      <x:c r="J96" s="2482"/>
      <x:c r="K96" s="2482"/>
      <x:c r="L96" s="2483"/>
      <x:c r="M96" s="2481"/>
      <x:c r="N96" s="2482"/>
      <x:c r="O96" s="2482"/>
      <x:c r="P96" s="2482"/>
      <x:c r="Q96" s="2482"/>
      <x:c r="R96" s="2483"/>
      <x:c r="S96" s="2481"/>
      <x:c r="T96" s="2482"/>
      <x:c r="U96" s="2482"/>
      <x:c r="V96" s="2482"/>
      <x:c r="W96" s="2482"/>
      <x:c r="X96" s="2483"/>
    </x:row>
    <x:row r="97">
      <x:c r="A97" s="2481"/>
      <x:c r="B97" s="2482"/>
      <x:c r="C97" s="2482"/>
      <x:c r="D97" s="2482"/>
      <x:c r="E97" s="2482"/>
      <x:c r="F97" s="2483"/>
      <x:c r="G97" s="2481"/>
      <x:c r="H97" s="2482"/>
      <x:c r="I97" s="2482"/>
      <x:c r="J97" s="2482"/>
      <x:c r="K97" s="2482"/>
      <x:c r="L97" s="2483"/>
      <x:c r="M97" s="2481"/>
      <x:c r="N97" s="2482"/>
      <x:c r="O97" s="2482"/>
      <x:c r="P97" s="2482"/>
      <x:c r="Q97" s="2482"/>
      <x:c r="R97" s="2483"/>
      <x:c r="S97" s="2481"/>
      <x:c r="T97" s="2482"/>
      <x:c r="U97" s="2482"/>
      <x:c r="V97" s="2482"/>
      <x:c r="W97" s="2482"/>
      <x:c r="X97" s="2483"/>
    </x:row>
    <x:row r="98">
      <x:c r="A98" s="2481"/>
      <x:c r="B98" s="2482"/>
      <x:c r="C98" s="2482"/>
      <x:c r="D98" s="2482"/>
      <x:c r="E98" s="2482"/>
      <x:c r="F98" s="2483"/>
      <x:c r="G98" s="2481"/>
      <x:c r="H98" s="2482"/>
      <x:c r="I98" s="2482"/>
      <x:c r="J98" s="2482"/>
      <x:c r="K98" s="2482"/>
      <x:c r="L98" s="2483"/>
      <x:c r="M98" s="2481"/>
      <x:c r="N98" s="2482"/>
      <x:c r="O98" s="2482"/>
      <x:c r="P98" s="2482"/>
      <x:c r="Q98" s="2482"/>
      <x:c r="R98" s="2483"/>
      <x:c r="S98" s="2481"/>
      <x:c r="T98" s="2482"/>
      <x:c r="U98" s="2482"/>
      <x:c r="V98" s="2482"/>
      <x:c r="W98" s="2482"/>
      <x:c r="X98" s="2483"/>
    </x:row>
    <x:row r="99">
      <x:c r="A99" s="2490"/>
      <x:c r="B99" s="2491"/>
      <x:c r="C99" s="2491"/>
      <x:c r="D99" s="2491"/>
      <x:c r="E99" s="2491"/>
      <x:c r="F99" s="2492"/>
      <x:c r="G99" s="2490"/>
      <x:c r="H99" s="2491"/>
      <x:c r="I99" s="2491"/>
      <x:c r="J99" s="2491"/>
      <x:c r="K99" s="2491"/>
      <x:c r="L99" s="2492"/>
      <x:c r="M99" s="2490"/>
      <x:c r="N99" s="2491"/>
      <x:c r="O99" s="2491"/>
      <x:c r="P99" s="2491"/>
      <x:c r="Q99" s="2491"/>
      <x:c r="R99" s="2492"/>
      <x:c r="S99" s="2490"/>
      <x:c r="T99" s="2491"/>
      <x:c r="U99" s="2491"/>
      <x:c r="V99" s="2491"/>
      <x:c r="W99" s="2491"/>
      <x:c r="X99" s="2492"/>
    </x:row>
    <x:row r="100">
      <x:c r="A100" s="1277"/>
      <x:c r="B100" s="1277"/>
      <x:c r="C100" s="1277"/>
      <x:c r="D100" s="1277"/>
      <x:c r="E100" s="1277"/>
      <x:c r="F100" s="1277"/>
      <x:c r="G100" s="1277"/>
      <x:c r="H100" s="1277"/>
      <x:c r="I100" s="1277"/>
      <x:c r="J100" s="1277"/>
      <x:c r="K100" s="1277"/>
      <x:c r="L100" s="1277"/>
      <x:c r="M100" s="1277"/>
      <x:c r="N100" s="1277"/>
      <x:c r="O100" s="1277"/>
      <x:c r="P100" s="1277"/>
      <x:c r="Q100" s="1277"/>
      <x:c r="R100" s="1277"/>
      <x:c r="S100" s="1277"/>
      <x:c r="T100" s="1277"/>
      <x:c r="U100" s="1277"/>
      <x:c r="V100" s="1277"/>
      <x:c r="W100" s="1277"/>
      <x:c r="X100" s="1277"/>
    </x:row>
    <x:row r="101">
      <x:c r="A101" s="1277"/>
      <x:c r="B101" s="1277"/>
      <x:c r="C101" s="1277"/>
      <x:c r="D101" s="1277"/>
      <x:c r="E101" s="1277"/>
      <x:c r="F101" s="1277"/>
      <x:c r="G101" s="1277"/>
      <x:c r="H101" s="1277"/>
      <x:c r="I101" s="1277"/>
      <x:c r="J101" s="1277"/>
      <x:c r="K101" s="1277"/>
      <x:c r="L101" s="1277"/>
      <x:c r="M101" s="1277"/>
      <x:c r="N101" s="1277"/>
      <x:c r="O101" s="1277"/>
      <x:c r="P101" s="1277"/>
      <x:c r="Q101" s="1277"/>
      <x:c r="R101" s="1277"/>
      <x:c r="S101" s="1277"/>
      <x:c r="T101" s="1277"/>
      <x:c r="U101" s="1277"/>
      <x:c r="V101" s="1277"/>
      <x:c r="W101" s="1277"/>
      <x:c r="X101" s="1277"/>
    </x:row>
    <x:row r="102">
      <x:c r="A102" s="2524" t="str">
        <x:v>06 — ESCALERA DE MADUREZ · NO MEZCLAR ESTADOS ENTRE DOMINIOS</x:v>
      </x:c>
      <x:c r="B102" s="2524"/>
      <x:c r="C102" s="2524"/>
      <x:c r="D102" s="2524"/>
      <x:c r="E102" s="2524"/>
      <x:c r="F102" s="2524"/>
      <x:c r="G102" s="2524"/>
      <x:c r="H102" s="2524"/>
      <x:c r="I102" s="2524"/>
      <x:c r="J102" s="2524"/>
      <x:c r="K102" s="2524"/>
      <x:c r="L102" s="2524"/>
      <x:c r="M102" s="2524"/>
      <x:c r="N102" s="2524"/>
      <x:c r="O102" s="2524"/>
      <x:c r="P102" s="2524"/>
      <x:c r="Q102" s="2524"/>
      <x:c r="R102" s="2524"/>
      <x:c r="S102" s="2524"/>
      <x:c r="T102" s="2524"/>
      <x:c r="U102" s="2524"/>
      <x:c r="V102" s="2524"/>
      <x:c r="W102" s="2524"/>
      <x:c r="X102" s="2524"/>
    </x:row>
    <x:row r="103">
      <x:c r="A103" s="1277"/>
      <x:c r="B103" s="1277"/>
      <x:c r="C103" s="1277"/>
      <x:c r="D103" s="1277"/>
      <x:c r="E103" s="1277"/>
      <x:c r="F103" s="1277"/>
      <x:c r="G103" s="1277"/>
      <x:c r="H103" s="1277"/>
      <x:c r="I103" s="1277"/>
      <x:c r="J103" s="1277"/>
      <x:c r="K103" s="1277"/>
      <x:c r="L103" s="1277"/>
      <x:c r="M103" s="1277"/>
      <x:c r="N103" s="1277"/>
      <x:c r="O103" s="1277"/>
      <x:c r="P103" s="1277"/>
      <x:c r="Q103" s="1277"/>
      <x:c r="R103" s="1277"/>
      <x:c r="S103" s="1277"/>
      <x:c r="T103" s="1277"/>
      <x:c r="U103" s="1277"/>
      <x:c r="V103" s="1277"/>
      <x:c r="W103" s="1277"/>
      <x:c r="X103" s="1277"/>
    </x:row>
    <x:row r="104">
      <x:c r="A104" s="2472" t="str">
        <x:v>PLANIFICADO
/ READY</x:v>
      </x:c>
      <x:c r="B104" s="2473"/>
      <x:c r="C104" s="2473"/>
      <x:c r="D104" s="2474"/>
      <x:c r="E104" s="1277"/>
      <x:c r="F104" s="2472" t="str">
        <x:v>EN
EJECUCIÓN</x:v>
      </x:c>
      <x:c r="G104" s="2473"/>
      <x:c r="H104" s="2473"/>
      <x:c r="I104" s="2474"/>
      <x:c r="J104" s="1277"/>
      <x:c r="K104" s="2472" t="str">
        <x:v>CERRADO
OPERATIVAMENTE</x:v>
      </x:c>
      <x:c r="L104" s="2473"/>
      <x:c r="M104" s="2473"/>
      <x:c r="N104" s="2474"/>
      <x:c r="O104" s="1277"/>
      <x:c r="P104" s="2472" t="str">
        <x:v>DOCUMENTALMENTE
COMPLETO</x:v>
      </x:c>
      <x:c r="Q104" s="2473"/>
      <x:c r="R104" s="2473"/>
      <x:c r="S104" s="2474"/>
      <x:c r="T104" s="1277"/>
      <x:c r="U104" s="2472" t="str">
        <x:v>CERTIFICADO</x:v>
      </x:c>
      <x:c r="V104" s="2474"/>
      <x:c r="W104" s="1277"/>
      <x:c r="X104" s="2566" t="str">
        <x:v>FACTURADO</x:v>
      </x:c>
    </x:row>
    <x:row r="105">
      <x:c r="A105" s="2481"/>
      <x:c r="B105" s="2482"/>
      <x:c r="C105" s="2482"/>
      <x:c r="D105" s="2483"/>
      <x:c r="E105" s="1277"/>
      <x:c r="F105" s="2481"/>
      <x:c r="G105" s="2482"/>
      <x:c r="H105" s="2482"/>
      <x:c r="I105" s="2483"/>
      <x:c r="J105" s="1277"/>
      <x:c r="K105" s="2481"/>
      <x:c r="L105" s="2482"/>
      <x:c r="M105" s="2482"/>
      <x:c r="N105" s="2483"/>
      <x:c r="O105" s="1277"/>
      <x:c r="P105" s="2481"/>
      <x:c r="Q105" s="2482"/>
      <x:c r="R105" s="2482"/>
      <x:c r="S105" s="2483"/>
      <x:c r="T105" s="1277"/>
      <x:c r="U105" s="2481"/>
      <x:c r="V105" s="2483"/>
      <x:c r="W105" s="1277"/>
      <x:c r="X105" s="2567"/>
    </x:row>
    <x:row r="106">
      <x:c r="A106" s="2481"/>
      <x:c r="B106" s="2482"/>
      <x:c r="C106" s="2482"/>
      <x:c r="D106" s="2483"/>
      <x:c r="E106" s="1297" t="str">
        <x:v>→</x:v>
      </x:c>
      <x:c r="F106" s="2481"/>
      <x:c r="G106" s="2482"/>
      <x:c r="H106" s="2482"/>
      <x:c r="I106" s="2483"/>
      <x:c r="J106" s="1297" t="str">
        <x:v>→</x:v>
      </x:c>
      <x:c r="K106" s="2481"/>
      <x:c r="L106" s="2482"/>
      <x:c r="M106" s="2482"/>
      <x:c r="N106" s="2483"/>
      <x:c r="O106" s="1297" t="str">
        <x:v>→</x:v>
      </x:c>
      <x:c r="P106" s="2481"/>
      <x:c r="Q106" s="2482"/>
      <x:c r="R106" s="2482"/>
      <x:c r="S106" s="2483"/>
      <x:c r="T106" s="1297" t="str">
        <x:v>→</x:v>
      </x:c>
      <x:c r="U106" s="2481"/>
      <x:c r="V106" s="2483"/>
      <x:c r="W106" s="1297" t="str">
        <x:v>→</x:v>
      </x:c>
      <x:c r="X106" s="2567"/>
    </x:row>
    <x:row r="107">
      <x:c r="A107" s="2481"/>
      <x:c r="B107" s="2482"/>
      <x:c r="C107" s="2482"/>
      <x:c r="D107" s="2483"/>
      <x:c r="E107" s="1277"/>
      <x:c r="F107" s="2481"/>
      <x:c r="G107" s="2482"/>
      <x:c r="H107" s="2482"/>
      <x:c r="I107" s="2483"/>
      <x:c r="J107" s="1277"/>
      <x:c r="K107" s="2481"/>
      <x:c r="L107" s="2482"/>
      <x:c r="M107" s="2482"/>
      <x:c r="N107" s="2483"/>
      <x:c r="O107" s="1277"/>
      <x:c r="P107" s="2481"/>
      <x:c r="Q107" s="2482"/>
      <x:c r="R107" s="2482"/>
      <x:c r="S107" s="2483"/>
      <x:c r="T107" s="1277"/>
      <x:c r="U107" s="2481"/>
      <x:c r="V107" s="2483"/>
      <x:c r="W107" s="1277"/>
      <x:c r="X107" s="2567"/>
    </x:row>
    <x:row r="108">
      <x:c r="A108" s="2490"/>
      <x:c r="B108" s="2491"/>
      <x:c r="C108" s="2491"/>
      <x:c r="D108" s="2492"/>
      <x:c r="E108" s="1277"/>
      <x:c r="F108" s="2490"/>
      <x:c r="G108" s="2491"/>
      <x:c r="H108" s="2491"/>
      <x:c r="I108" s="2492"/>
      <x:c r="J108" s="1277"/>
      <x:c r="K108" s="2490"/>
      <x:c r="L108" s="2491"/>
      <x:c r="M108" s="2491"/>
      <x:c r="N108" s="2492"/>
      <x:c r="O108" s="1277"/>
      <x:c r="P108" s="2490"/>
      <x:c r="Q108" s="2491"/>
      <x:c r="R108" s="2491"/>
      <x:c r="S108" s="2492"/>
      <x:c r="T108" s="1277"/>
      <x:c r="U108" s="2490"/>
      <x:c r="V108" s="2492"/>
      <x:c r="W108" s="1277"/>
      <x:c r="X108" s="2568"/>
    </x:row>
    <x:row r="109">
      <x:c r="A109" s="1277"/>
      <x:c r="B109" s="1277"/>
      <x:c r="C109" s="1277"/>
      <x:c r="D109" s="1277"/>
      <x:c r="E109" s="1277"/>
      <x:c r="F109" s="1277"/>
      <x:c r="G109" s="1277"/>
      <x:c r="H109" s="1277"/>
      <x:c r="I109" s="1277"/>
      <x:c r="J109" s="1277"/>
      <x:c r="K109" s="1277"/>
      <x:c r="L109" s="1277"/>
      <x:c r="M109" s="1277"/>
      <x:c r="N109" s="1277"/>
      <x:c r="O109" s="1277"/>
      <x:c r="P109" s="1277"/>
      <x:c r="Q109" s="1277"/>
      <x:c r="R109" s="1277"/>
      <x:c r="S109" s="1277"/>
      <x:c r="T109" s="1277"/>
      <x:c r="U109" s="1277"/>
      <x:c r="V109" s="1277"/>
      <x:c r="W109" s="1277"/>
      <x:c r="X109" s="1277"/>
    </x:row>
    <x:row r="110">
      <x:c r="A110" s="1277"/>
      <x:c r="B110" s="1277"/>
      <x:c r="C110" s="1277"/>
      <x:c r="D110" s="1277"/>
      <x:c r="E110" s="1277"/>
      <x:c r="F110" s="1277"/>
      <x:c r="G110" s="1277"/>
      <x:c r="H110" s="1277"/>
      <x:c r="I110" s="1277"/>
      <x:c r="J110" s="1277"/>
      <x:c r="K110" s="1277"/>
      <x:c r="L110" s="1277"/>
      <x:c r="M110" s="1277"/>
      <x:c r="N110" s="1277"/>
      <x:c r="O110" s="1277"/>
      <x:c r="P110" s="1277"/>
      <x:c r="Q110" s="1277"/>
      <x:c r="R110" s="1277"/>
      <x:c r="S110" s="1277"/>
      <x:c r="T110" s="1277"/>
      <x:c r="U110" s="1277"/>
      <x:c r="V110" s="1277"/>
      <x:c r="W110" s="1277"/>
      <x:c r="X110" s="1277"/>
    </x:row>
    <x:row r="111">
      <x:c r="A111" s="2560" t="str">
        <x:v>ESTADO REV D.4 · PATCHES APLICADOS / DECISIONES AÚN ABIERTAS</x:v>
      </x:c>
      <x:c r="B111" s="2560"/>
      <x:c r="C111" s="2560"/>
      <x:c r="D111" s="2560"/>
      <x:c r="E111" s="2560"/>
      <x:c r="F111" s="2560"/>
      <x:c r="G111" s="2560"/>
      <x:c r="H111" s="2560"/>
      <x:c r="I111" s="2560"/>
      <x:c r="J111" s="2560"/>
      <x:c r="K111" s="2560"/>
      <x:c r="L111" s="2560"/>
      <x:c r="M111" s="2560"/>
      <x:c r="N111" s="2560"/>
      <x:c r="O111" s="2560"/>
      <x:c r="P111" s="2560"/>
      <x:c r="Q111" s="2560"/>
      <x:c r="R111" s="2560"/>
      <x:c r="S111" s="2560"/>
      <x:c r="T111" s="2560"/>
      <x:c r="U111" s="2560"/>
      <x:c r="V111" s="2560"/>
      <x:c r="W111" s="2560"/>
      <x:c r="X111" s="2560"/>
    </x:row>
    <x:row r="112" ht="38" customHeight="1">
      <x:c r="A112" s="1396" t="str">
        <x:v>APLICADO</x:v>
      </x:c>
      <x:c r="B112" s="1327" t="str">
        <x:v>ABS-05 absorbido en TP-01 · TP-01 1..N UE · EnmiendaOperativa · DisponibilidadRecurso · DirectivaOperativa · Bundle offline.</x:v>
      </x:c>
      <x:c r="C112" s="1327"/>
      <x:c r="D112" s="1327"/>
      <x:c r="E112" s="1327"/>
      <x:c r="F112" s="1327"/>
      <x:c r="G112" s="1327"/>
      <x:c r="H112" s="1327"/>
      <x:c r="I112" s="1327"/>
      <x:c r="J112" s="1327"/>
      <x:c r="K112" s="1327"/>
      <x:c r="L112" s="1327"/>
      <x:c r="M112" s="1327"/>
      <x:c r="N112" s="1327"/>
      <x:c r="O112" s="1327"/>
      <x:c r="P112" s="1327"/>
      <x:c r="Q112" s="1327"/>
      <x:c r="R112" s="1327"/>
      <x:c r="S112" s="1327"/>
      <x:c r="T112" s="1327"/>
      <x:c r="U112" s="1327"/>
      <x:c r="V112" s="1327"/>
      <x:c r="W112" s="1327"/>
      <x:c r="X112" s="1327"/>
    </x:row>
    <x:row r="113" ht="38" customHeight="1">
      <x:c r="A113" s="1396" t="str">
        <x:v>ABIERTO</x:v>
      </x:c>
      <x:c r="B113" s="1327" t="str">
        <x:v>Cambio turno TP-01: continuidad con handover vs split por regla; no universal.</x:v>
      </x:c>
      <x:c r="C113" s="1327"/>
      <x:c r="D113" s="1327"/>
      <x:c r="E113" s="1327"/>
      <x:c r="F113" s="1327"/>
      <x:c r="G113" s="1327"/>
      <x:c r="H113" s="1327"/>
      <x:c r="I113" s="1327"/>
      <x:c r="J113" s="1327"/>
      <x:c r="K113" s="1327"/>
      <x:c r="L113" s="1327"/>
      <x:c r="M113" s="1327"/>
      <x:c r="N113" s="1327"/>
      <x:c r="O113" s="1327"/>
      <x:c r="P113" s="1327"/>
      <x:c r="Q113" s="1327"/>
      <x:c r="R113" s="1327"/>
      <x:c r="S113" s="1327"/>
      <x:c r="T113" s="1327"/>
      <x:c r="U113" s="1327"/>
      <x:c r="V113" s="1327"/>
      <x:c r="W113" s="1327"/>
      <x:c r="X113" s="1327"/>
    </x:row>
    <x:row r="114" ht="38" customHeight="1">
      <x:c r="A114" s="1396" t="str">
        <x:v>ABIERTO</x:v>
      </x:c>
      <x:c r="B114" s="1327" t="str">
        <x:v>TP-04 Habilita · contratos reales · certificación parcial · reglas finales de facturación.</x:v>
      </x:c>
      <x:c r="C114" s="1327"/>
      <x:c r="D114" s="1327"/>
      <x:c r="E114" s="1327"/>
      <x:c r="F114" s="1327"/>
      <x:c r="G114" s="1327"/>
      <x:c r="H114" s="1327"/>
      <x:c r="I114" s="1327"/>
      <x:c r="J114" s="1327"/>
      <x:c r="K114" s="1327"/>
      <x:c r="L114" s="1327"/>
      <x:c r="M114" s="1327"/>
      <x:c r="N114" s="1327"/>
      <x:c r="O114" s="1327"/>
      <x:c r="P114" s="1327"/>
      <x:c r="Q114" s="1327"/>
      <x:c r="R114" s="1327"/>
      <x:c r="S114" s="1327"/>
      <x:c r="T114" s="1327"/>
      <x:c r="U114" s="1327"/>
      <x:c r="V114" s="1327"/>
      <x:c r="W114" s="1327"/>
      <x:c r="X114" s="1327"/>
    </x:row>
    <x:row r="115" ht="38" customHeight="1">
      <x:c r="A115" s="1396" t="str">
        <x:v>PRÓXIMO</x:v>
      </x:c>
      <x:c r="B115" s="1327" t="str">
        <x:v>Stress-test D.4 con escenarios reales + validaciones de campo; luego REV E y diagrama visual final.</x:v>
      </x:c>
      <x:c r="C115" s="1327"/>
      <x:c r="D115" s="1327"/>
      <x:c r="E115" s="1327"/>
      <x:c r="F115" s="1327"/>
      <x:c r="G115" s="1327"/>
      <x:c r="H115" s="1327"/>
      <x:c r="I115" s="1327"/>
      <x:c r="J115" s="1327"/>
      <x:c r="K115" s="1327"/>
      <x:c r="L115" s="1327"/>
      <x:c r="M115" s="1327"/>
      <x:c r="N115" s="1327"/>
      <x:c r="O115" s="1327"/>
      <x:c r="P115" s="1327"/>
      <x:c r="Q115" s="1327"/>
      <x:c r="R115" s="1327"/>
      <x:c r="S115" s="1327"/>
      <x:c r="T115" s="1327"/>
      <x:c r="U115" s="1327"/>
      <x:c r="V115" s="1327"/>
      <x:c r="W115" s="1327"/>
      <x:c r="X115" s="1327"/>
    </x:row>
  </x:sheetData>
  <x:mergeCells>
    <x:mergeCell ref="A1:X1"/>
    <x:mergeCell ref="A2:X2"/>
    <x:mergeCell ref="A4:X4"/>
    <x:mergeCell ref="A6:D9"/>
    <x:mergeCell ref="F6:I9"/>
    <x:mergeCell ref="K6:N9"/>
    <x:mergeCell ref="P6:T9"/>
    <x:mergeCell ref="V6:X9"/>
    <x:mergeCell ref="A12:X12"/>
    <x:mergeCell ref="A14:H14"/>
    <x:mergeCell ref="I14:P14"/>
    <x:mergeCell ref="Q14:X14"/>
    <x:mergeCell ref="A16:H19"/>
    <x:mergeCell ref="A21:H24"/>
    <x:mergeCell ref="A26:H29"/>
    <x:mergeCell ref="A31:H34"/>
    <x:mergeCell ref="A36:H40"/>
    <x:mergeCell ref="A42:H45"/>
    <x:mergeCell ref="A48:P48"/>
    <x:mergeCell ref="A49:P52"/>
    <x:mergeCell ref="I16:P19"/>
    <x:mergeCell ref="I21:P21"/>
    <x:mergeCell ref="I23:K27"/>
    <x:mergeCell ref="L23:N27"/>
    <x:mergeCell ref="O23:P27"/>
    <x:mergeCell ref="I29:P31"/>
    <x:mergeCell ref="I33:L37"/>
    <x:mergeCell ref="N33:P37"/>
    <x:mergeCell ref="I39:P43"/>
    <x:mergeCell ref="I45:P47"/>
    <x:mergeCell ref="Q16:X19"/>
    <x:mergeCell ref="Q21:X24"/>
    <x:mergeCell ref="Q26:X29"/>
    <x:mergeCell ref="Q31:X34"/>
    <x:mergeCell ref="Q36:X39"/>
    <x:mergeCell ref="Q41:X45"/>
    <x:mergeCell ref="I55:X55"/>
    <x:mergeCell ref="I56:X59"/>
    <x:mergeCell ref="A62:X62"/>
    <x:mergeCell ref="A64:F68"/>
    <x:mergeCell ref="H64:M68"/>
    <x:mergeCell ref="O64:T68"/>
    <x:mergeCell ref="V64:X68"/>
    <x:mergeCell ref="A70:X73"/>
    <x:mergeCell ref="A75:X75"/>
    <x:mergeCell ref="A77:H81"/>
    <x:mergeCell ref="J77:P81"/>
    <x:mergeCell ref="R77:X81"/>
    <x:mergeCell ref="A84:X84"/>
    <x:mergeCell ref="A86:F90"/>
    <x:mergeCell ref="H86:M90"/>
    <x:mergeCell ref="O86:T90"/>
    <x:mergeCell ref="V86:X90"/>
    <x:mergeCell ref="A93:X93"/>
    <x:mergeCell ref="A95:F99"/>
    <x:mergeCell ref="G95:L99"/>
    <x:mergeCell ref="M95:R99"/>
    <x:mergeCell ref="S95:X99"/>
    <x:mergeCell ref="A102:X102"/>
    <x:mergeCell ref="A104:D108"/>
    <x:mergeCell ref="F104:I108"/>
    <x:mergeCell ref="K104:N108"/>
    <x:mergeCell ref="P104:S108"/>
    <x:mergeCell ref="U104:V108"/>
    <x:mergeCell ref="X104:X108"/>
    <x:mergeCell ref="A111:X111"/>
    <x:mergeCell ref="B112:X112"/>
    <x:mergeCell ref="B113:X113"/>
    <x:mergeCell ref="B114:X114"/>
    <x:mergeCell ref="B115:X115"/>
  </x:mergeCells>
  <x:pageMargins left="0.7" right="0.7" top="0.75" bottom="0.75" header="0.3" footer="0.3"/>
</x:worksheet>
</file>

<file path=xl/worksheets/sheet29.xml><?xml version="1.0" encoding="utf-8"?>
<x:worksheet xmlns:x="http://schemas.openxmlformats.org/spreadsheetml/2006/main">
  <x:sheetFormatPr defaultRowHeight="15"/>
  <x:cols>
    <x:col min="1" max="1" width="9" hidden="0" customWidth="1"/>
    <x:col min="2" max="2" width="30" hidden="0" customWidth="1"/>
    <x:col min="3" max="3" width="18" hidden="0" customWidth="1"/>
    <x:col min="4" max="4" width="24" hidden="0" customWidth="1"/>
    <x:col min="5" max="5" width="44" hidden="0" customWidth="1"/>
    <x:col min="6" max="6" width="28" hidden="0" customWidth="1"/>
    <x:col min="7" max="7" width="24" hidden="0" customWidth="1"/>
    <x:col min="8" max="8" width="19" hidden="0" customWidth="1"/>
    <x:col min="9" max="9" width="19" hidden="0" customWidth="1"/>
    <x:col min="10" max="10" width="22" hidden="0" customWidth="1"/>
    <x:col min="11" max="11" width="24" hidden="0" customWidth="1"/>
    <x:col min="12" max="12" width="28" hidden="0" customWidth="1"/>
    <x:col min="13" max="13" width="18" hidden="0" customWidth="1"/>
    <x:col min="14" max="14" width="36" hidden="0" customWidth="1"/>
  </x:cols>
  <x:sheetData>
    <x:row r="1">
      <x:c r="A1" s="2578" t="str">
        <x:v>STRESS TEST REV D.4 · ESCENARIOS END-TO-END · SISTEMA DE PARTES VDS</x:v>
      </x:c>
      <x:c r="B1" s="2578"/>
      <x:c r="C1" s="2578"/>
      <x:c r="D1" s="2578"/>
      <x:c r="E1" s="2578"/>
      <x:c r="F1" s="2578"/>
      <x:c r="G1" s="2578"/>
      <x:c r="H1" s="2578"/>
      <x:c r="I1" s="2578"/>
      <x:c r="J1" s="2578"/>
      <x:c r="K1" s="2578"/>
      <x:c r="L1" s="2578"/>
      <x:c r="M1" s="2578"/>
      <x:c r="N1" s="2578"/>
    </x:row>
    <x:row r="2">
      <x:c r="A2" s="2581" t="str">
        <x:v>Objetivo: intentar romper la arquitectura con escenarios reales. Resultado no significa 'caso resuelto para siempre': PASS = el modelo tiene un camino coherente; PATCH = el stress test reveló un hueco y v1.0 incorpora estructura; VALIDACIÓN = la arquitectura soporta alternativas pero negocio debe elegir política.</x:v>
      </x:c>
      <x:c r="B2" s="2581"/>
      <x:c r="C2" s="2581"/>
      <x:c r="D2" s="2581"/>
      <x:c r="E2" s="2581"/>
      <x:c r="F2" s="2581"/>
      <x:c r="G2" s="2581"/>
      <x:c r="H2" s="2581"/>
      <x:c r="I2" s="2581"/>
      <x:c r="J2" s="2581"/>
      <x:c r="K2" s="2581"/>
      <x:c r="L2" s="2581"/>
      <x:c r="M2" s="2581"/>
      <x:c r="N2" s="2581"/>
    </x:row>
    <x:row r="4">
      <x:c r="A4" s="2584" t="str">
        <x:v>Escenarios</x:v>
      </x:c>
      <x:c r="B4" s="2584" t="str">
        <x:v>19</x:v>
      </x:c>
      <x:c r="C4" s="2584" t="str">
        <x:v>PASS</x:v>
      </x:c>
      <x:c r="D4" s="2584" t="str">
        <x:v>7</x:v>
      </x:c>
      <x:c r="E4" s="2584" t="str">
        <x:v>PATCH APLICADO</x:v>
      </x:c>
      <x:c r="F4" s="2584" t="str">
        <x:v>8</x:v>
      </x:c>
      <x:c r="G4" s="2584" t="str">
        <x:v>VALIDACIÓN</x:v>
      </x:c>
      <x:c r="H4" s="2584" t="str">
        <x:v>4</x:v>
      </x:c>
      <x:c r="I4" s="2584" t="str">
        <x:v>FALLAS ESTRUCTURALES</x:v>
      </x:c>
      <x:c r="J4" s="2584" t="str">
        <x:v>0</x:v>
      </x:c>
      <x:c r="K4" s="2584" t="str">
        <x:v>Hallazgos estructurales</x:v>
      </x:c>
      <x:c r="L4" s="2584" t="str">
        <x:v>9</x:v>
      </x:c>
      <x:c r="M4" s="2584" t="str">
        <x:v>Versión destino</x:v>
      </x:c>
      <x:c r="N4" s="2584" t="str">
        <x:v>v1.0 / REV D.5</x:v>
      </x:c>
    </x:row>
    <x:row r="5">
      <x:c r="A5" s="2587" t="str">
        <x:v>ID</x:v>
      </x:c>
      <x:c r="B5" s="2587" t="str">
        <x:v>Escenario</x:v>
      </x:c>
      <x:c r="C5" s="2587" t="str">
        <x:v>Ruta / TipoParte</x:v>
      </x:c>
      <x:c r="D5" s="2587" t="str">
        <x:v>Decisión de identidad</x:v>
      </x:c>
      <x:c r="E5" s="2587" t="str">
        <x:v>Recorrido / gates</x:v>
      </x:c>
      <x:c r="F5" s="2587" t="str">
        <x:v>Objetos / eventos</x:v>
      </x:c>
      <x:c r="G5" s="2587" t="str">
        <x:v>¿Nuevo Parte?</x:v>
      </x:c>
      <x:c r="H5" s="2587" t="str">
        <x:v>¿Nueva UE?</x:v>
      </x:c>
      <x:c r="I5" s="2587" t="str">
        <x:v>Replanificación / Control</x:v>
      </x:c>
      <x:c r="J5" s="2587" t="str">
        <x:v>Habilita / documental</x:v>
      </x:c>
      <x:c r="K5" s="2587" t="str">
        <x:v>Salida comercial</x:v>
      </x:c>
      <x:c r="L5" s="2587" t="str">
        <x:v>Resultado</x:v>
      </x:c>
      <x:c r="M5" s="2587" t="str">
        <x:v>Severidad gap</x:v>
      </x:c>
      <x:c r="N5" s="2587" t="str">
        <x:v>Hallazgo / decisión</x:v>
      </x:c>
    </x:row>
    <x:row r="6" ht="86" customHeight="1">
      <x:c r="A6" s="20" t="str">
        <x:v>S01</x:v>
      </x:c>
      <x:c r="B6" s="20" t="str">
        <x:v>Retro termina Obra A y pasa a Obra B con otra imputación</x:v>
      </x:c>
      <x:c r="C6" s="20" t="str">
        <x:v>TP-01 / TP-03 según identidad</x:v>
      </x:c>
      <x:c r="D6" s="20" t="str">
        <x:v>Imputación distinta NO decide split. Si sigue mismo work package → mismo TP-01 con otra UE. Si Obra B es work package independiente → nuevo TP-01. Si es jornada multi-trabajo → TP-03.</x:v>
      </x:c>
      <x:c r="E6" s="20" t="str">
        <x:v>A cierra UE/Parte según regla → transición/traslado → ruteo de B → gates contexto/documental/PTW</x:v>
      </x:c>
      <x:c r="F6" s="20" t="str">
        <x:v>UnidadEjecución A/B · ImputacionEjecucion · TransicionOperativa · EventoTiempo</x:v>
      </x:c>
      <x:c r="G6" s="20" t="str">
        <x:v>Condicional</x:v>
      </x:c>
      <x:c r="H6" s="20" t="str">
        <x:v>Sí</x:v>
      </x:c>
      <x:c r="I6" s="20" t="str">
        <x:v>Si B no estaba planificada: nueva UnidadPlanificada/directiva o fuera de plan</x:v>
      </x:c>
      <x:c r="J6" s="20" t="str">
        <x:v>Revalidar si cambia recurso/contexto; PTW por B si aplica</x:v>
      </x:c>
      <x:c r="K6" s="20" t="str">
        <x:v>Cada UE genera UC según ReglaGrano; tiempos de transición según ReglaTratamientoTiempo</x:v>
      </x:c>
      <x:c r="L6" s="2588" t="str">
        <x:v>PATCH APLICADO</x:v>
      </x:c>
      <x:c r="M6" s="20" t="str">
        <x:v>ALTA</x:v>
      </x:c>
      <x:c r="N6" s="20" t="str">
        <x:v>El tiempo entre dos work packages podía quedar huérfano. Se agrega TransicionOperativa y V67.</x:v>
      </x:c>
    </x:row>
    <x:row r="7" ht="86" customHeight="1">
      <x:c r="A7" s="20" t="str">
        <x:v>S02</x:v>
      </x:c>
      <x:c r="B7" s="20" t="str">
        <x:v>Cuadrilla realiza varias tareas y cambia de ubicación durante el turno</x:v>
      </x:c>
      <x:c r="C7" s="20" t="str">
        <x:v>TP-03</x:v>
      </x:c>
      <x:c r="D7" s="20" t="str">
        <x:v>Identidad = cuadrilla + fecha/turno + cliente. Cambio de ubicación no corta.</x:v>
      </x:c>
      <x:c r="E7" s="20" t="str">
        <x:v>TP-03 activo → cerrar UE1 → nueva ubicación → UE2 → ... → cierre turno</x:v>
      </x:c>
      <x:c r="F7" s="20" t="str">
        <x:v>UnidadEjecución [N] · EjecucionUbicacion · EventoTiempo · ImputacionEjecucion</x:v>
      </x:c>
      <x:c r="G7" s="20" t="str">
        <x:v>No</x:v>
      </x:c>
      <x:c r="H7" s="20" t="str">
        <x:v>Sí</x:v>
      </x:c>
      <x:c r="I7" s="20" t="str">
        <x:v>No salvo cambio de plan relevante</x:v>
      </x:c>
      <x:c r="J7" s="20" t="str">
        <x:v>PTW por UE/tarea; reemplazos revalidan</x:v>
      </x:c>
      <x:c r="K7" s="20" t="str">
        <x:v>UC por UE/ítem o agrupación contractual</x:v>
      </x:c>
      <x:c r="L7" s="2589" t="str">
        <x:v>PASS</x:v>
      </x:c>
      <x:c r="M7" s="20" t="str">
        <x:v>—</x:v>
      </x:c>
      <x:c r="N7" s="20" t="str">
        <x:v>La arquitectura representa el caso sin Parte por coordenada.</x:v>
      </x:c>
    </x:row>
    <x:row r="8" ht="86" customHeight="1">
      <x:c r="A8" s="20" t="str">
        <x:v>S03</x:v>
      </x:c>
      <x:c r="B8" s="20" t="str">
        <x:v>Recurso planificado queda fuera de servicio y se reemplaza</x:v>
      </x:c>
      <x:c r="C8" s="20" t="str">
        <x:v>TP-01/02/03 según trabajo</x:v>
      </x:c>
      <x:c r="D8" s="20" t="str">
        <x:v>El recurso no es identidad salvo regla específica del TipoParte.</x:v>
      </x:c>
      <x:c r="E8" s="20" t="str">
        <x:v>Disponibilidad/Directiva o EventoOperativo → seleccionar candidato → E2 documental real → ReglaCorte del TipoParte</x:v>
      </x:c>
      <x:c r="F8" s="20" t="str">
        <x:v>DisponibilidadRecurso · AsignacionRecursoEjecucion · EventoOperativo</x:v>
      </x:c>
      <x:c r="G8" s="20" t="str">
        <x:v>No por defecto</x:v>
      </x:c>
      <x:c r="H8" s="20" t="str">
        <x:v>No por reemplazo</x:v>
      </x:c>
      <x:c r="I8" s="20" t="str">
        <x:v>Replan si antes de inicio; EventoOperativo si durante ejecución</x:v>
      </x:c>
      <x:c r="J8" s="20" t="str">
        <x:v>Revalidación documental/requisitos recurso</x:v>
      </x:c>
      <x:c r="K8" s="20" t="str">
        <x:v>Plan conserva recurso previsto; ejecución conserva recurso real</x:v>
      </x:c>
      <x:c r="L8" s="2589" t="str">
        <x:v>PASS</x:v>
      </x:c>
      <x:c r="M8" s="20" t="str">
        <x:v>—</x:v>
      </x:c>
      <x:c r="N8" s="20" t="str">
        <x:v>Patch v0.9 de DisponibilidadRecurso resuelve readiness y reemplazo.</x:v>
      </x:c>
    </x:row>
    <x:row r="9" ht="86" customHeight="1">
      <x:c r="A9" s="20" t="str">
        <x:v>S04</x:v>
      </x:c>
      <x:c r="B9" s="20" t="str">
        <x:v>Trabajo contingente no planificado en campo</x:v>
      </x:c>
      <x:c r="C9" s="20" t="str">
        <x:v>Motor emergente / TP derivado</x:v>
      </x:c>
      <x:c r="D9" s="20" t="str">
        <x:v>No se crea planificación falsa. origen_parte = fuera_planificacion.</x:v>
      </x:c>
      <x:c r="E9" s="20" t="str">
        <x:v>motivo estructurado → contexto mínimo → ruteo local/bundle → control documental → PTW si aplica → ejecución</x:v>
      </x:c>
      <x:c r="F9" s="20" t="str">
        <x:v>ContextoEmergente · motivo_fuera_planificacion · Parte/UE · ExecutionContextBundle</x:v>
      </x:c>
      <x:c r="G9" s="20" t="str">
        <x:v>Sí</x:v>
      </x:c>
      <x:c r="H9" s="20" t="str">
        <x:v>Según TipoParte</x:v>
      </x:c>
      <x:c r="I9" s="20" t="str">
        <x:v>No; puede generar demanda retrospectiva/enlace posterior</x:v>
      </x:c>
      <x:c r="J9" s="20" t="str">
        <x:v>Gates reales obligatorios; política si contractual ambiguo</x:v>
      </x:c>
      <x:c r="K9" s="20" t="str">
        <x:v>UC solo si contexto contractual/ítem queda resuelto de forma controlada</x:v>
      </x:c>
      <x:c r="L9" s="2590" t="str">
        <x:v>VALIDACIÓN</x:v>
      </x:c>
      <x:c r="M9" s="20" t="str">
        <x:v>ALTA</x:v>
      </x:c>
      <x:c r="N9" s="20" t="str">
        <x:v>Falta definir política offline cuando contexto contractual no puede resolverse. V71.</x:v>
      </x:c>
    </x:row>
    <x:row r="10" ht="86" customHeight="1">
      <x:c r="A10" s="20" t="str">
        <x:v>S05</x:v>
      </x:c>
      <x:c r="B10" s="20" t="str">
        <x:v>TP-01 atraviesa un cambio de turno</x:v>
      </x:c>
      <x:c r="C10" s="20" t="str">
        <x:v>TP-01</x:v>
      </x:c>
      <x:c r="D10" s="20" t="str">
        <x:v>Work package puede mantener identidad; turno no es corte universal.</x:v>
      </x:c>
      <x:c r="E10" s="20" t="str">
        <x:v>EventoHandover → cerrar intervalos personas salientes → abrir entrantes → revalidar doc/PTW → continuar o aplicar ReglaCorte</x:v>
      </x:c>
      <x:c r="F10" s="20" t="str">
        <x:v>AsignacionPersonaEjecucion temporal · EventoHandover · PermisoHandover</x:v>
      </x:c>
      <x:c r="G10" s="20" t="str">
        <x:v>Configurable</x:v>
      </x:c>
      <x:c r="H10" s="20" t="str">
        <x:v>No necesariamente</x:v>
      </x:c>
      <x:c r="I10" s="20" t="str">
        <x:v>No salvo cambio de alcance/ventana</x:v>
      </x:c>
      <x:c r="J10" s="20" t="str">
        <x:v>Revalidación PTW/documental</x:v>
      </x:c>
      <x:c r="K10" s="20" t="str">
        <x:v>Horas/personas salen de intervalos temporales; comercial conserva work package</x:v>
      </x:c>
      <x:c r="L10" s="2590" t="str">
        <x:v>VALIDACIÓN</x:v>
      </x:c>
      <x:c r="M10" s="20" t="str">
        <x:v>CRÍTICA</x:v>
      </x:c>
      <x:c r="N10" s="20" t="str">
        <x:v>Arquitectura soporta continuidad y split. Operaciones/Habilita debe decidir regla por contexto V54/V60.</x:v>
      </x:c>
    </x:row>
    <x:row r="11" ht="86" customHeight="1">
      <x:c r="A11" s="20" t="str">
        <x:v>S06</x:v>
      </x:c>
      <x:c r="B11" s="20" t="str">
        <x:v>PTW vence o se suspende durante intervención</x:v>
      </x:c>
      <x:c r="C11" s="20" t="str">
        <x:v>TP-01/03 según tarea</x:v>
      </x:c>
      <x:c r="D11" s="20" t="str">
        <x:v>Permiso controla seguridad, no identidad del Parte.</x:v>
      </x:c>
      <x:c r="E11" s="20" t="str">
        <x:v>PTW → suspendido/vencido → ejecución SUSPENDIDA → detener tiempo activo → extensión/nuevo PTW → restart</x:v>
      </x:c>
      <x:c r="F11" s="20" t="str">
        <x:v>PermisoTrabajo · EventoTiempo suspensión · EventoHandover/PTW · EventoCierreAdministrativo si abandono</x:v>
      </x:c>
      <x:c r="G11" s="20" t="str">
        <x:v>No por sí solo</x:v>
      </x:c>
      <x:c r="H11" s="20" t="str">
        <x:v>No</x:v>
      </x:c>
      <x:c r="I11" s="20" t="str">
        <x:v>No necesariamente</x:v>
      </x:c>
      <x:c r="J11" s="20" t="str">
        <x:v>Habilita manda; sin autorización no continúa</x:v>
      </x:c>
      <x:c r="K11" s="20" t="str">
        <x:v>Tiempo real se conserva; tratamiento certificable de suspensión/stand-by depende ReglaTratamientoTiempo</x:v>
      </x:c>
      <x:c r="L11" s="2588" t="str">
        <x:v>PATCH APLICADO</x:v>
      </x:c>
      <x:c r="M11" s="20" t="str">
        <x:v>CRÍTICA</x:v>
      </x:c>
      <x:c r="N11" s="20" t="str">
        <x:v>Faltaba separar tiempo operacional de tratamiento comercial. Se agrega ReglaTratamientoTiempo V68.</x:v>
      </x:c>
    </x:row>
    <x:row r="12" ht="86" customHeight="1">
      <x:c r="A12" s="20" t="str">
        <x:v>S07</x:v>
      </x:c>
      <x:c r="B12" s="20" t="str">
        <x:v>TP-02 realiza varios movimientos con destinos e imputaciones diferentes</x:v>
      </x:c>
      <x:c r="C12" s="20" t="str">
        <x:v>TP-02</x:v>
      </x:c>
      <x:c r="D12" s="20" t="str">
        <x:v>Parte = asignación/configuración transporte; movimiento = UE.</x:v>
      </x:c>
      <x:c r="E12" s="20" t="str">
        <x:v>iniciar TP-02 → Movimiento 1..N con origen/destino/carga/descarga/imputación → cierre ventana</x:v>
      </x:c>
      <x:c r="F12" s="20" t="str">
        <x:v>UnidadEjecución/Movimiento · EjecucionUbicacion · ImputacionEjecucion · Medicion</x:v>
      </x:c>
      <x:c r="G12" s="20" t="str">
        <x:v>No</x:v>
      </x:c>
      <x:c r="H12" s="20" t="str">
        <x:v>Sí, una por movimiento</x:v>
      </x:c>
      <x:c r="I12" s="20" t="str">
        <x:v>No</x:v>
      </x:c>
      <x:c r="J12" s="20" t="str">
        <x:v>PTW condicional por sitio/tarea; sustitución revalida</x:v>
      </x:c>
      <x:c r="K12" s="20" t="str">
        <x:v>UC por movimiento/ítem o regla contractual</x:v>
      </x:c>
      <x:c r="L12" s="2589" t="str">
        <x:v>PASS</x:v>
      </x:c>
      <x:c r="M12" s="20" t="str">
        <x:v>—</x:v>
      </x:c>
      <x:c r="N12" s="20" t="str">
        <x:v>Modelo absorbe variaciones sin convertir cada viaje en Parte.</x:v>
      </x:c>
    </x:row>
    <x:row r="13" ht="86" customHeight="1">
      <x:c r="A13" s="20" t="str">
        <x:v>S08</x:v>
      </x:c>
      <x:c r="B13" s="20" t="str">
        <x:v>Ejecución termina hoy y firma del cliente llega tres días después</x:v>
      </x:c>
      <x:c r="C13" s="20" t="str">
        <x:v>Cualquier TP</x:v>
      </x:c>
      <x:c r="D13" s="20" t="str">
        <x:v>Cierre operativo y conformidad son estados distintos.</x:v>
      </x:c>
      <x:c r="E13" s="20" t="str">
        <x:v>cerrado_operativamente → evidencia/conformidad pendiente → firma llega → documentalmente_completo → elegible</x:v>
      </x:c>
      <x:c r="F13" s="20" t="str">
        <x:v>Evidencia · ConformidadCliente · estados separados</x:v>
      </x:c>
      <x:c r="G13" s="20" t="str">
        <x:v>No</x:v>
      </x:c>
      <x:c r="H13" s="20" t="str">
        <x:v>No</x:v>
      </x:c>
      <x:c r="I13" s="20" t="str">
        <x:v>No</x:v>
      </x:c>
      <x:c r="J13" s="20" t="str">
        <x:v>PTW ya cerrado si aplicaba; firma comercial downstream</x:v>
      </x:c>
      <x:c r="K13" s="20" t="str">
        <x:v>UC/Paquete avanza cuando regla de completitud/conformidad lo permite</x:v>
      </x:c>
      <x:c r="L13" s="2589" t="str">
        <x:v>PASS</x:v>
      </x:c>
      <x:c r="M13" s="20" t="str">
        <x:v>—</x:v>
      </x:c>
      <x:c r="N13" s="20" t="str">
        <x:v>Evita mantener Parte operativo abierto por burocracia posterior.</x:v>
      </x:c>
    </x:row>
    <x:row r="14" ht="86" customHeight="1">
      <x:c r="A14" s="20" t="str">
        <x:v>S09</x:v>
      </x:c>
      <x:c r="B14" s="20" t="str">
        <x:v>Parte registra 8 h reales pero cliente reconoce 7 h</x:v>
      </x:c>
      <x:c r="C14" s="20" t="str">
        <x:v>Cualquier TP horario</x:v>
      </x:c>
      <x:c r="D14" s="20" t="str">
        <x:v>Verdad operativa = 8; verdad comercial aceptada = 7.</x:v>
      </x:c>
      <x:c r="E14" s="20" t="str">
        <x:v>UE 8h → UC 8h → AjusteCertificacion -1h → aceptación 7h</x:v>
      </x:c>
      <x:c r="F14" s="20" t="str">
        <x:v>UnidadComercial · AjusteCertificacion</x:v>
      </x:c>
      <x:c r="G14" s="20" t="str">
        <x:v>No</x:v>
      </x:c>
      <x:c r="H14" s="20" t="str">
        <x:v>No</x:v>
      </x:c>
      <x:c r="I14" s="20" t="str">
        <x:v>No</x:v>
      </x:c>
      <x:c r="J14" s="20" t="str">
        <x:v>N/A</x:v>
      </x:c>
      <x:c r="K14" s="20" t="str">
        <x:v>Factura consume 7; KPIs/costos operativos conservan 8</x:v>
      </x:c>
      <x:c r="L14" s="2589" t="str">
        <x:v>PASS</x:v>
      </x:c>
      <x:c r="M14" s="20" t="str">
        <x:v>—</x:v>
      </x:c>
      <x:c r="N14" s="20" t="str">
        <x:v>Separación operacional/comercial funciona correctamente.</x:v>
      </x:c>
    </x:row>
    <x:row r="15" ht="86" customHeight="1">
      <x:c r="A15" s="20" t="str">
        <x:v>S10</x:v>
      </x:c>
      <x:c r="B15" s="20" t="str">
        <x:v>Una UE está completa y otra del mismo Parte queda observada</x:v>
      </x:c>
      <x:c r="C15" s="20" t="str">
        <x:v>Cualquier TP con 2+ UE</x:v>
      </x:c>
      <x:c r="D15" s="20" t="str">
        <x:v>Parte cerrado no obliga a que todas las UC tengan mismo estado.</x:v>
      </x:c>
      <x:c r="E15" s="20" t="str">
        <x:v>UE1/UE2 → UC1/UC2 → C1-C4 → UC1 aceptada, UC2 observada → paquete según regla parcialidad</x:v>
      </x:c>
      <x:c r="F15" s="20" t="str">
        <x:v>UnidadComercial [N] · ObservacionCertificacion · PaqueteCertificacion</x:v>
      </x:c>
      <x:c r="G15" s="20" t="str">
        <x:v>No</x:v>
      </x:c>
      <x:c r="H15" s="20" t="str">
        <x:v>Ya existen</x:v>
      </x:c>
      <x:c r="I15" s="20" t="str">
        <x:v>No</x:v>
      </x:c>
      <x:c r="J15" s="20" t="str">
        <x:v>N/A</x:v>
      </x:c>
      <x:c r="K15" s="20" t="str">
        <x:v>Puede avanzar parcial o bloquear paquete según ReglaParcialidadCertificacion</x:v>
      </x:c>
      <x:c r="L15" s="2588" t="str">
        <x:v>PATCH APLICADO</x:v>
      </x:c>
      <x:c r="M15" s="20" t="str">
        <x:v>ALTA</x:v>
      </x:c>
      <x:c r="N15" s="20" t="str">
        <x:v>Faltaba hacer configurable la parcialidad del paquete. Se agrega V0-145 / V70.</x:v>
      </x:c>
    </x:row>
    <x:row r="16" ht="86" customHeight="1">
      <x:c r="A16" s="20" t="str">
        <x:v>S11</x:v>
      </x:c>
      <x:c r="B16" s="20" t="str">
        <x:v>Varios Partes deben agruparse por pozo antes de Certificación</x:v>
      </x:c>
      <x:c r="C16" s="20" t="str">
        <x:v>TP-02/03/01 según fuente</x:v>
      </x:c>
      <x:c r="D16" s="20" t="str">
        <x:v>Parte no es unidad certificable ni paquete.</x:v>
      </x:c>
      <x:c r="E16" s="20" t="str">
        <x:v>Partes/UE → UC → ReglaAgrupacion(pozo+período+contrato) → Paquete</x:v>
      </x:c>
      <x:c r="F16" s="20" t="str">
        <x:v>UnidadComercial · ReglaAgrupacionCertificacion · PaqueteCertificacion</x:v>
      </x:c>
      <x:c r="G16" s="20" t="str">
        <x:v>No</x:v>
      </x:c>
      <x:c r="H16" s="20" t="str">
        <x:v>No</x:v>
      </x:c>
      <x:c r="I16" s="20" t="str">
        <x:v>No</x:v>
      </x:c>
      <x:c r="J16" s="20" t="str">
        <x:v>N/A</x:v>
      </x:c>
      <x:c r="K16" s="20" t="str">
        <x:v>Paquete puede contener UC provenientes de varios Partes</x:v>
      </x:c>
      <x:c r="L16" s="2589" t="str">
        <x:v>PASS</x:v>
      </x:c>
      <x:c r="M16" s="20" t="str">
        <x:v>—</x:v>
      </x:c>
      <x:c r="N16" s="20" t="str">
        <x:v>Caso CC27 atraviesa arquitectura sin relación 1:1.</x:v>
      </x:c>
    </x:row>
    <x:row r="17" ht="86" customHeight="1">
      <x:c r="A17" s="20" t="str">
        <x:v>S12</x:v>
      </x:c>
      <x:c r="B17" s="20" t="str">
        <x:v>Documento está vigente al planificar pero vence antes de la ejecución</x:v>
      </x:c>
      <x:c r="C17" s="20" t="str">
        <x:v>Cualquier asignación</x:v>
      </x:c>
      <x:c r="D17" s="20" t="str">
        <x:v>READY no es una verdad eterna.</x:v>
      </x:c>
      <x:c r="E17" s="20" t="str">
        <x:v>precheck evaluado → documento/fecha cambia o se acerca vencimiento → EventoInvalidacionReadiness → alerta/re-evaluación → despacho/inicio bloquea o override según regla</x:v>
      </x:c>
      <x:c r="F17" s="20" t="str">
        <x:v>EvaluacionPlanificacion · readiness_evaluado_at · readiness_valido_hasta_at · EventoInvalidacionReadiness</x:v>
      </x:c>
      <x:c r="G17" s="20" t="str">
        <x:v>No</x:v>
      </x:c>
      <x:c r="H17" s="20" t="str">
        <x:v>No</x:v>
      </x:c>
      <x:c r="I17" s="20" t="str">
        <x:v>Puede reprogramar o reemplazar</x:v>
      </x:c>
      <x:c r="J17" s="20" t="str">
        <x:v>E2 vuelve a evaluar realidad al iniciar</x:v>
      </x:c>
      <x:c r="K17" s="20" t="str">
        <x:v>Sin impacto comercial directo; previene ejecución inválida</x:v>
      </x:c>
      <x:c r="L17" s="2588" t="str">
        <x:v>PATCH APLICADO</x:v>
      </x:c>
      <x:c r="M17" s="20" t="str">
        <x:v>CRÍTICA</x:v>
      </x:c>
      <x:c r="N17" s="20" t="str">
        <x:v>Se formaliza vigencia/invalidation de readiness. V69.</x:v>
      </x:c>
    </x:row>
    <x:row r="18" ht="86" customHeight="1">
      <x:c r="A18" s="20" t="str">
        <x:v>S13</x:v>
      </x:c>
      <x:c r="B18" s="20" t="str">
        <x:v>Operario es reemplazado durante ejecución</x:v>
      </x:c>
      <x:c r="C18" s="20" t="str">
        <x:v>TP-01/02/03</x:v>
      </x:c>
      <x:c r="D18" s="20" t="str">
        <x:v>Persona no es identidad del Parte.</x:v>
      </x:c>
      <x:c r="E18" s="20" t="str">
        <x:v>EventoOperativo → cerrar intervalo persona A → E2 sobre persona B → abrir intervalo B → continuar/cortar según TipoParte</x:v>
      </x:c>
      <x:c r="F18" s="20" t="str">
        <x:v>AsignacionPersonaEjecucion · EventoOperativo · EvaluacionHabilitacion</x:v>
      </x:c>
      <x:c r="G18" s="20" t="str">
        <x:v>No por defecto</x:v>
      </x:c>
      <x:c r="H18" s="20" t="str">
        <x:v>No</x:v>
      </x:c>
      <x:c r="I18" s="20" t="str">
        <x:v>No salvo regla/turno</x:v>
      </x:c>
      <x:c r="J18" s="20" t="str">
        <x:v>Revalidación documental y competencia</x:v>
      </x:c>
      <x:c r="K18" s="20" t="str">
        <x:v>Horas por persona quedan reconstruibles sin editar Parte</x:v>
      </x:c>
      <x:c r="L18" s="2589" t="str">
        <x:v>PASS</x:v>
      </x:c>
      <x:c r="M18" s="20" t="str">
        <x:v>—</x:v>
      </x:c>
      <x:c r="N18" s="20" t="str">
        <x:v>Patch temporal v0.9 resuelve trazabilidad del reemplazo.</x:v>
      </x:c>
    </x:row>
    <x:row r="19" ht="86" customHeight="1">
      <x:c r="A19" s="20" t="str">
        <x:v>S14</x:v>
      </x:c>
      <x:c r="B19" s="20" t="str">
        <x:v>Entra recurso adicional y realiza trabajo independiente</x:v>
      </x:c>
      <x:c r="C19" s="20" t="str">
        <x:v>TP actual + posible TP-01</x:v>
      </x:c>
      <x:c r="D19" s="20" t="str">
        <x:v>La clave es independencia operacional, no mera presencia del recurso.</x:v>
      </x:c>
      <x:c r="E19" s="20" t="str">
        <x:v>clasificar rol → si apoyo: AsignacionRecurso en UE actual; si objetivo autónomo: motor crea nueva UE/TP-01 y vínculo/contexto</x:v>
      </x:c>
      <x:c r="F19" s="20" t="str">
        <x:v>AsignacionRecursoEjecucion · EventoOperativo · posible Parte/UE adicional</x:v>
      </x:c>
      <x:c r="G19" s="20" t="str">
        <x:v>Condicional</x:v>
      </x:c>
      <x:c r="H19" s="20" t="str">
        <x:v>Condicional</x:v>
      </x:c>
      <x:c r="I19" s="20" t="str">
        <x:v>Puede requerir plan emergente/directiva</x:v>
      </x:c>
      <x:c r="J19" s="20" t="str">
        <x:v>Revalidar recurso/persona que lo opera</x:v>
      </x:c>
      <x:c r="K19" s="20" t="str">
        <x:v>Cada ejecución independiente genera su UC según contrato</x:v>
      </x:c>
      <x:c r="L19" s="2590" t="str">
        <x:v>VALIDACIÓN</x:v>
      </x:c>
      <x:c r="M19" s="20" t="str">
        <x:v>ALTA</x:v>
      </x:c>
      <x:c r="N19" s="20" t="str">
        <x:v>Modelo soporta ambos caminos; falta cerrar criterio objetivo de 'trabajo independiente' V53/V73.</x:v>
      </x:c>
    </x:row>
    <x:row r="20" ht="86" customHeight="1">
      <x:c r="A20" s="20" t="str">
        <x:v>S15</x:v>
      </x:c>
      <x:c r="B20" s="20" t="str">
        <x:v>OT externa se cancela/cambia después de confirmar el plan</x:v>
      </x:c>
      <x:c r="C20" s="20" t="str">
        <x:v>TP-01 probable / cualquier asignación</x:v>
      </x:c>
      <x:c r="D20" s="20" t="str">
        <x:v>Plan confirmado permanece histórico; el cambio viaja por Control Plane.</x:v>
      </x:c>
      <x:c r="E20" s="20" t="str">
        <x:v>Directiva CANCELAR/CAMBIO_ALCANCE → received/ACK → antes de start invalida; en curso suspende/cierra seguro. Offline: bundle freshness gate</x:v>
      </x:c>
      <x:c r="F20" s="20" t="str">
        <x:v>DirectivaOperativa · ExecutionContextBundle · execution_context_valid_until_at</x:v>
      </x:c>
      <x:c r="G20" s="20" t="str">
        <x:v>No automáticamente</x:v>
      </x:c>
      <x:c r="H20" s="20" t="str">
        <x:v>No</x:v>
      </x:c>
      <x:c r="I20" s="20" t="str">
        <x:v>Sí, nueva versión/directiva</x:v>
      </x:c>
      <x:c r="J20" s="20" t="str">
        <x:v>Habilita local prevalece si ya trabaja</x:v>
      </x:c>
      <x:c r="K20" s="20" t="str">
        <x:v>No debe llegar a Certificación trabajo cancelado salvo ejecución real justificable</x:v>
      </x:c>
      <x:c r="L20" s="2588" t="str">
        <x:v>PATCH APLICADO</x:v>
      </x:c>
      <x:c r="M20" s="20" t="str">
        <x:v>CRÍTICA</x:v>
      </x:c>
      <x:c r="N20" s="20" t="str">
        <x:v>Se agrega frescura de contexto offline y regla de inicio V71.</x:v>
      </x:c>
    </x:row>
    <x:row r="21" ht="86" customHeight="1">
      <x:c r="A21" s="20" t="str">
        <x:v>S16</x:v>
      </x:c>
      <x:c r="B21" s="20" t="str">
        <x:v>EnmiendaOperativa ocurre después de generar UC/Paquete</x:v>
      </x:c>
      <x:c r="C21" s="20" t="str">
        <x:v>Cualquier TP → Certificación</x:v>
      </x:c>
      <x:c r="D21" s="20" t="str">
        <x:v>La corrección cambia la fuente operativa versionada; derivados deben saber de qué versión nacieron.</x:v>
      </x:c>
      <x:c r="E21" s="20" t="str">
        <x:v>Enmienda → nueva versión operativa → detectar UC fuente anterior → estado requiere_recalculo → reconstruir/revisar; si ya aceptada, flujo especial</x:v>
      </x:c>
      <x:c r="F21" s="20" t="str">
        <x:v>EnmiendaOperativa · fuente_ejecucion_version_id · estado_derivacion_comercial</x:v>
      </x:c>
      <x:c r="G21" s="20" t="str">
        <x:v>No</x:v>
      </x:c>
      <x:c r="H21" s="20" t="str">
        <x:v>No</x:v>
      </x:c>
      <x:c r="I21" s="20" t="str">
        <x:v>No</x:v>
      </x:c>
      <x:c r="J21" s="20" t="str">
        <x:v>N/A</x:v>
      </x:c>
      <x:c r="K21" s="20" t="str">
        <x:v>Antes de aceptación: recalcular. Después de aceptación: política de revisión/reversión pendiente</x:v>
      </x:c>
      <x:c r="L21" s="2588" t="str">
        <x:v>PATCH APLICADO</x:v>
      </x:c>
      <x:c r="M21" s="20" t="str">
        <x:v>CRÍTICA</x:v>
      </x:c>
      <x:c r="N21" s="20" t="str">
        <x:v>Se formaliza lineage; caso ya certificado queda abierto V72.</x:v>
      </x:c>
    </x:row>
    <x:row r="22" ht="86" customHeight="1">
      <x:c r="A22" s="20" t="str">
        <x:v>S17</x:v>
      </x:c>
      <x:c r="B22" s="20" t="str">
        <x:v>Misma persona/recurso aparece en dos ejecuciones simultáneas</x:v>
      </x:c>
      <x:c r="C22" s="20" t="str">
        <x:v>Cualquier TP</x:v>
      </x:c>
      <x:c r="D22" s="20" t="str">
        <x:v>No todo solapamiento es válido ni todo es inválido: depende del rol/recurso.</x:v>
      </x:c>
      <x:c r="E22" s="20" t="str">
        <x:v>Readiness/ejecución detecta solapamiento → ReglaSolapamiento → bloquear/advertir/override</x:v>
      </x:c>
      <x:c r="F22" s="20" t="str">
        <x:v>ConflictoTemporal · ReglaSolapamientoTemporal · OverrideGate posible</x:v>
      </x:c>
      <x:c r="G22" s="20" t="str">
        <x:v>No</x:v>
      </x:c>
      <x:c r="H22" s="20" t="str">
        <x:v>No</x:v>
      </x:c>
      <x:c r="I22" s="20" t="str">
        <x:v>Puede obligar reasignación</x:v>
      </x:c>
      <x:c r="J22" s="20" t="str">
        <x:v>Revalidar si el conflicto afecta habilitación/seguridad</x:v>
      </x:c>
      <x:c r="K22" s="20" t="str">
        <x:v>Evita doble costo/doble utilización incoherente</x:v>
      </x:c>
      <x:c r="L22" s="2588" t="str">
        <x:v>PATCH APLICADO</x:v>
      </x:c>
      <x:c r="M22" s="20" t="str">
        <x:v>ALTA</x:v>
      </x:c>
      <x:c r="N22" s="20" t="str">
        <x:v>Faltaba un control temporal transversal. V73.</x:v>
      </x:c>
    </x:row>
    <x:row r="23" ht="86" customHeight="1">
      <x:c r="A23" s="20" t="str">
        <x:v>S18</x:v>
      </x:c>
      <x:c r="B23" s="20" t="str">
        <x:v>Contrato mensualizado recibe evidencia de muchos Partes durante el período</x:v>
      </x:c>
      <x:c r="C23" s="20" t="str">
        <x:v>TP múltiples → Certificación</x:v>
      </x:c>
      <x:c r="D23" s="20" t="str">
        <x:v>La UnidadComercial no tiene por qué nacer por cada UE.</x:v>
      </x:c>
      <x:c r="E23" s="20" t="str">
        <x:v>Partes/UE del período → ReglaGranoUnidadComercial=período/prestación → consolidar evidencia → UC mensual → certificar</x:v>
      </x:c>
      <x:c r="F23" s="20" t="str">
        <x:v>ReglaGranoUnidadComercial · UnidadComercial período · evidencias vinculadas</x:v>
      </x:c>
      <x:c r="G23" s="20" t="str">
        <x:v>No</x:v>
      </x:c>
      <x:c r="H23" s="20" t="str">
        <x:v>No</x:v>
      </x:c>
      <x:c r="I23" s="20" t="str">
        <x:v>No</x:v>
      </x:c>
      <x:c r="J23" s="20" t="str">
        <x:v>N/A</x:v>
      </x:c>
      <x:c r="K23" s="20" t="str">
        <x:v>Una UC puede derivar de N ejecuciones sin sumar ciegamente Partes</x:v>
      </x:c>
      <x:c r="L23" s="2588" t="str">
        <x:v>PATCH APLICADO</x:v>
      </x:c>
      <x:c r="M23" s="20" t="str">
        <x:v>CRÍTICA</x:v>
      </x:c>
      <x:c r="N23" s="20" t="str">
        <x:v>Se hace explícito el grano comercial configurable V74.</x:v>
      </x:c>
    </x:row>
    <x:row r="24" ht="86" customHeight="1">
      <x:c r="A24" s="20" t="str">
        <x:v>S19</x:v>
      </x:c>
      <x:c r="B24" s="20" t="str">
        <x:v>Control documental devuelve advertencia y se decide continuar</x:v>
      </x:c>
      <x:c r="C24" s="20" t="str">
        <x:v>Cualquier TP</x:v>
      </x:c>
      <x:c r="D24" s="20" t="str">
        <x:v>Advertencia ≠ autorización implícita.</x:v>
      </x:c>
      <x:c r="E24" s="20" t="str">
        <x:v>Gate advierte → verificar si overrideable → rol autorizado registra OverrideGate → continuar; si hard block, no hay override</x:v>
      </x:c>
      <x:c r="F24" s="20" t="str">
        <x:v>EvaluacionHabilitacion · OverrideGate · motivo/actor/evidencia</x:v>
      </x:c>
      <x:c r="G24" s="20" t="str">
        <x:v>No</x:v>
      </x:c>
      <x:c r="H24" s="20" t="str">
        <x:v>No</x:v>
      </x:c>
      <x:c r="I24" s="20" t="str">
        <x:v>Puede requerir cambio de recurso/persona</x:v>
      </x:c>
      <x:c r="J24" s="20" t="str">
        <x:v>Trazabilidad Habilita/operativa obligatoria</x:v>
      </x:c>
      <x:c r="K24" s="20" t="str">
        <x:v>No efecto comercial directo salvo evidencia requerida</x:v>
      </x:c>
      <x:c r="L24" s="2590" t="str">
        <x:v>VALIDACIÓN</x:v>
      </x:c>
      <x:c r="M24" s="20" t="str">
        <x:v>CRÍTICA</x:v>
      </x:c>
      <x:c r="N24" s="20" t="str">
        <x:v>Se formaliza OverrideGate; negocio/Habilita debe definir matriz de autoridad V75.</x:v>
      </x:c>
    </x:row>
  </x:sheetData>
  <x:mergeCells>
    <x:mergeCell ref="A1:N1"/>
    <x:mergeCell ref="A2:N2"/>
  </x:mergeCell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13" hidden="0" customWidth="1"/>
    <x:col min="3" max="3" width="28" hidden="0" customWidth="1"/>
    <x:col min="4" max="4" width="18" hidden="0" customWidth="1"/>
    <x:col min="5" max="5" width="38" hidden="0" customWidth="1"/>
    <x:col min="6" max="6" width="38" hidden="0" customWidth="1"/>
    <x:col min="7" max="7" width="34" hidden="0" customWidth="1"/>
    <x:col min="8" max="8" width="23" hidden="0" customWidth="1"/>
    <x:col min="9" max="9" width="30" hidden="0" customWidth="1"/>
  </x:cols>
  <x:sheetData>
    <x:row r="1">
      <x:c r="A1" s="2592" t="str">
        <x:v>HALLAZGOS DEL STRESS TEST D.4 · QUÉ CAMBIÓ EN LA ARQUITECTURA</x:v>
      </x:c>
      <x:c r="B1" s="2592"/>
      <x:c r="C1" s="2592"/>
      <x:c r="D1" s="2592"/>
      <x:c r="E1" s="2592"/>
      <x:c r="F1" s="2592"/>
      <x:c r="G1" s="2592"/>
      <x:c r="H1" s="2592"/>
      <x:c r="I1" s="2592"/>
    </x:row>
    <x:row r="2">
      <x:c r="A2" s="2581" t="str">
        <x:v>Solo se incorporan objetos/reglas cuando solucionan un problema demostrado por escenarios. Los hallazgos marcados VALIDACIÓN no bloquean el modelo: la arquitectura soporta más de una política y negocio debe seleccionar.</x:v>
      </x:c>
      <x:c r="B2" s="2581"/>
      <x:c r="C2" s="2581"/>
      <x:c r="D2" s="2581"/>
      <x:c r="E2" s="2581"/>
      <x:c r="F2" s="2581"/>
      <x:c r="G2" s="2581"/>
      <x:c r="H2" s="2581"/>
      <x:c r="I2" s="2581"/>
    </x:row>
    <x:row r="4">
      <x:c r="A4" s="2587" t="str">
        <x:v>ID</x:v>
      </x:c>
      <x:c r="B4" s="2587" t="str">
        <x:v>Severidad</x:v>
      </x:c>
      <x:c r="C4" s="2587" t="str">
        <x:v>Hallazgo</x:v>
      </x:c>
      <x:c r="D4" s="2587" t="str">
        <x:v>Escenarios</x:v>
      </x:c>
      <x:c r="E4" s="2587" t="str">
        <x:v>Por qué importa</x:v>
      </x:c>
      <x:c r="F4" s="2587" t="str">
        <x:v>Patch v1.0</x:v>
      </x:c>
      <x:c r="G4" s="2587" t="str">
        <x:v>Decisión arquitectónica</x:v>
      </x:c>
      <x:c r="H4" s="2587" t="str">
        <x:v>Validación</x:v>
      </x:c>
      <x:c r="I4" s="2587" t="str">
        <x:v>Estado</x:v>
      </x:c>
    </x:row>
    <x:row r="5" ht="68" customHeight="1">
      <x:c r="A5" s="20" t="str">
        <x:v>ST-01</x:v>
      </x:c>
      <x:c r="B5" s="20" t="str">
        <x:v>ALTA</x:v>
      </x:c>
      <x:c r="C5" s="20" t="str">
        <x:v>Tiempo de transición entre dos work packages/Partes podía quedar huérfano o imputarse arbitrariamente.</x:v>
      </x:c>
      <x:c r="D5" s="20" t="str">
        <x:v>S01</x:v>
      </x:c>
      <x:c r="E5" s="20" t="str">
        <x:v>Si cerramos Obra A antes del traslado y abrimos Obra B al llegar, el tiempo entre ambas desaparece; si lo metemos a la fuerza en una de ellas, contaminamos la verdad.</x:v>
      </x:c>
      <x:c r="F5" s="20" t="str">
        <x:v>TransicionOperativa con origen/destino; ReglaTratamientoTiempo decide imputación comercial.</x:v>
      </x:c>
      <x:c r="G5" s="20" t="str">
        <x:v>La continuidad temporal puede vivir fuera de un Parte concreto sin perder relación con origen/destino.</x:v>
      </x:c>
      <x:c r="H5" s="20" t="str">
        <x:v>V67/V68</x:v>
      </x:c>
      <x:c r="I5" s="2588" t="str">
        <x:v>PATCH APLICADO</x:v>
      </x:c>
    </x:row>
    <x:row r="6" ht="68" customHeight="1">
      <x:c r="A6" s="20" t="str">
        <x:v>ST-02</x:v>
      </x:c>
      <x:c r="B6" s="20" t="str">
        <x:v>CRÍTICA</x:v>
      </x:c>
      <x:c r="C6" s="20" t="str">
        <x:v>Readiness confirmado podía quedar obsoleto antes del día de ejecución.</x:v>
      </x:c>
      <x:c r="D6" s="20" t="str">
        <x:v>S12/S03</x:v>
      </x:c>
      <x:c r="E6" s="20" t="str">
        <x:v>Documentos, disponibilidad, fecha o alcance pueden cambiar luego de confirmar. Un READY persistido sin vigencia puede generar despacho inválido.</x:v>
      </x:c>
      <x:c r="F6" s="20" t="str">
        <x:v>readiness_evaluado_at + readiness_valido_hasta_at + EventoInvalidacionReadiness.</x:v>
      </x:c>
      <x:c r="G6" s="20" t="str">
        <x:v>READY es una evaluación versionada/temporal, no un atributo eterno de la Asignación.</x:v>
      </x:c>
      <x:c r="H6" s="20" t="str">
        <x:v>V69</x:v>
      </x:c>
      <x:c r="I6" s="2588" t="str">
        <x:v>PATCH APLICADO</x:v>
      </x:c>
    </x:row>
    <x:row r="7" ht="68" customHeight="1">
      <x:c r="A7" s="20" t="str">
        <x:v>ST-03</x:v>
      </x:c>
      <x:c r="B7" s="20" t="str">
        <x:v>CRÍTICA</x:v>
      </x:c>
      <x:c r="C7" s="20" t="str">
        <x:v>La arquitectura registraba categorías de tiempo pero no su tratamiento comercial por contrato.</x:v>
      </x:c>
      <x:c r="D7" s="20" t="str">
        <x:v>S06/S01/S07</x:v>
      </x:c>
      <x:c r="E7" s="20" t="str">
        <x:v>Stand-by, traslado, suspensión o espera pueden existir operacionalmente aunque sean facturables, no facturables o medidos por otro ítem.</x:v>
      </x:c>
      <x:c r="F7" s="20" t="str">
        <x:v>ReglaTratamientoTiempo en Capa Contractual.</x:v>
      </x:c>
      <x:c r="G7" s="20" t="str">
        <x:v>Se preserva todo tiempo real; Certificación aplica la interpretación contractual sin editar la operación.</x:v>
      </x:c>
      <x:c r="H7" s="20" t="str">
        <x:v>V68</x:v>
      </x:c>
      <x:c r="I7" s="2588" t="str">
        <x:v>PATCH APLICADO</x:v>
      </x:c>
    </x:row>
    <x:row r="8" ht="68" customHeight="1">
      <x:c r="A8" s="20" t="str">
        <x:v>ST-04</x:v>
      </x:c>
      <x:c r="B8" s="20" t="str">
        <x:v>ALTA</x:v>
      </x:c>
      <x:c r="C8" s="20" t="str">
        <x:v>El modelo permitía UC con estados distintos pero no definía qué hacer con un paquete parcialmente aceptado.</x:v>
      </x:c>
      <x:c r="D8" s="20" t="str">
        <x:v>S10</x:v>
      </x:c>
      <x:c r="E8" s="20" t="str">
        <x:v>Sin regla configurable, una línea observada podría bloquear todo o avanzar indebidamente.</x:v>
      </x:c>
      <x:c r="F8" s="20" t="str">
        <x:v>ReglaParcialidadCertificacion.</x:v>
      </x:c>
      <x:c r="G8" s="20" t="str">
        <x:v>Parcialidad es una regla contractual/cliente, no una política global.</x:v>
      </x:c>
      <x:c r="H8" s="20" t="str">
        <x:v>V70</x:v>
      </x:c>
      <x:c r="I8" s="2588" t="str">
        <x:v>PATCH APLICADO</x:v>
      </x:c>
    </x:row>
    <x:row r="9" ht="68" customHeight="1">
      <x:c r="A9" s="20" t="str">
        <x:v>ST-05</x:v>
      </x:c>
      <x:c r="B9" s="20" t="str">
        <x:v>CRÍTICA</x:v>
      </x:c>
      <x:c r="C9" s="20" t="str">
        <x:v>Un bundle offline puede estar técnicamente presente pero comercial/operativamente obsoleto.</x:v>
      </x:c>
      <x:c r="D9" s="20" t="str">
        <x:v>S15/S04</x:v>
      </x:c>
      <x:c r="E9" s="20" t="str">
        <x:v>Una OT cancelada o cambio de alcance puede no llegar a una tablet desconectada antes de Start Work.</x:v>
      </x:c>
      <x:c r="F9" s="20" t="str">
        <x:v>execution_context_valid_until_at + ReglaFrescuraContexto + DirectivaOperativa.</x:v>
      </x:c>
      <x:c r="G9" s="20" t="str">
        <x:v>Offline tiene validez explícita; iniciar con bundle vencido depende de riesgo/política, no de conectividad accidental.</x:v>
      </x:c>
      <x:c r="H9" s="20" t="str">
        <x:v>V71</x:v>
      </x:c>
      <x:c r="I9" s="2588" t="str">
        <x:v>PATCH APLICADO</x:v>
      </x:c>
    </x:row>
    <x:row r="10" ht="68" customHeight="1">
      <x:c r="A10" s="20" t="str">
        <x:v>ST-06</x:v>
      </x:c>
      <x:c r="B10" s="20" t="str">
        <x:v>CRÍTICA</x:v>
      </x:c>
      <x:c r="C10" s="20" t="str">
        <x:v>Una EnmiendaOperativa posterior podía dejar UnidadesComerciales calculadas con una versión vieja.</x:v>
      </x:c>
      <x:c r="D10" s="20" t="str">
        <x:v>S16</x:v>
      </x:c>
      <x:c r="E10" s="20" t="str">
        <x:v>Sin lineage, el sistema no sabría qué UC/Paquete debe recalcular o revisar.</x:v>
      </x:c>
      <x:c r="F10" s="20" t="str">
        <x:v>fuente_ejecucion_version_id + estado_derivacion_comercial.</x:v>
      </x:c>
      <x:c r="G10" s="20" t="str">
        <x:v>Todo derivado comercial sabe de qué verdad operativa/version nació.</x:v>
      </x:c>
      <x:c r="H10" s="20" t="str">
        <x:v>V72</x:v>
      </x:c>
      <x:c r="I10" s="2588" t="str">
        <x:v>PATCH APLICADO</x:v>
      </x:c>
    </x:row>
    <x:row r="11" ht="68" customHeight="1">
      <x:c r="A11" s="20" t="str">
        <x:v>ST-07</x:v>
      </x:c>
      <x:c r="B11" s="20" t="str">
        <x:v>ALTA</x:v>
      </x:c>
      <x:c r="C11" s="20" t="str">
        <x:v>Faltaba detectar doble utilización temporal de personas/recursos.</x:v>
      </x:c>
      <x:c r="D11" s="20" t="str">
        <x:v>S17/S14</x:v>
      </x:c>
      <x:c r="E11" s="20" t="str">
        <x:v>Una persona o retro puede quedar asociada a dos trabajos simultáneos; eso rompe capacidad, costos y trazabilidad.</x:v>
      </x:c>
      <x:c r="F11" s="20" t="str">
        <x:v>ConflictoTemporal + ReglaSolapamientoTemporal.</x:v>
      </x:c>
      <x:c r="G11" s="20" t="str">
        <x:v>Solapamiento se valida por rol/tipo; no se asume que todos los recursos son exclusivos.</x:v>
      </x:c>
      <x:c r="H11" s="20" t="str">
        <x:v>V73</x:v>
      </x:c>
      <x:c r="I11" s="2588" t="str">
        <x:v>PATCH APLICADO</x:v>
      </x:c>
    </x:row>
    <x:row r="12" ht="68" customHeight="1">
      <x:c r="A12" s="20" t="str">
        <x:v>ST-08</x:v>
      </x:c>
      <x:c r="B12" s="20" t="str">
        <x:v>CRÍTICA</x:v>
      </x:c>
      <x:c r="C12" s="20" t="str">
        <x:v>UnidadComercial no tenía una regla explícita que definiera su grano de generación.</x:v>
      </x:c>
      <x:c r="D12" s="20" t="str">
        <x:v>S18/S07/S11</x:v>
      </x:c>
      <x:c r="E12" s="20" t="str">
        <x:v>Mensualizado, On Call e indemnizado pueden transformar la ejecución en objetos comerciales completamente distintos.</x:v>
      </x:c>
      <x:c r="F12" s="20" t="str">
        <x:v>ReglaGranoUnidadComercial.</x:v>
      </x:c>
      <x:c r="G12" s="20" t="str">
        <x:v>TipoContrato no hardcodea pantallas; configura cómo N ejecuciones se transforman en unidades comerciales.</x:v>
      </x:c>
      <x:c r="H12" s="20" t="str">
        <x:v>V74</x:v>
      </x:c>
      <x:c r="I12" s="2588" t="str">
        <x:v>PATCH APLICADO</x:v>
      </x:c>
    </x:row>
    <x:row r="13" ht="68" customHeight="1">
      <x:c r="A13" s="20" t="str">
        <x:v>ST-09</x:v>
      </x:c>
      <x:c r="B13" s="20" t="str">
        <x:v>CRÍTICA</x:v>
      </x:c>
      <x:c r="C13" s="20" t="str">
        <x:v>Una advertencia documental/operativa no identificaba formalmente quién asumió la decisión de continuar.</x:v>
      </x:c>
      <x:c r="D13" s="20" t="str">
        <x:v>S19/S12</x:v>
      </x:c>
      <x:c r="E13" s="20" t="str">
        <x:v>Un 'advierte' sin actor/autorización convierte la responsabilidad en una decisión implícita y poco auditable.</x:v>
      </x:c>
      <x:c r="F13" s="20" t="str">
        <x:v>OverrideGate append-only con gate, motivo, actor, autoridad, alcance y evidencia.</x:v>
      </x:c>
      <x:c r="G13" s="20" t="str">
        <x:v>Override es un evento explícito; hard block no se vuelve overrideable por defecto.</x:v>
      </x:c>
      <x:c r="H13" s="20" t="str">
        <x:v>V75</x:v>
      </x:c>
      <x:c r="I13" s="2588" t="str">
        <x:v>PATCH APLICADO</x:v>
      </x:c>
    </x:row>
    <x:row r="16">
      <x:c r="A16" s="2593" t="str">
        <x:v>DECISIONES ABIERTAS DESPUÉS DEL STRESS TEST · NO SON FALLAS ESTRUCTURALES</x:v>
      </x:c>
      <x:c r="B16" s="2593"/>
      <x:c r="C16" s="2593"/>
      <x:c r="D16" s="2593"/>
      <x:c r="E16" s="2593"/>
      <x:c r="F16" s="2593"/>
      <x:c r="G16" s="2593"/>
      <x:c r="H16" s="2593"/>
      <x:c r="I16" s="2593"/>
    </x:row>
    <x:row r="17">
      <x:c r="A17" s="2595" t="str">
        <x:v>ID</x:v>
      </x:c>
      <x:c r="B17" s="2595" t="str">
        <x:v>Tema</x:v>
      </x:c>
      <x:c r="C17" s="2595" t="str">
        <x:v>Alternativas soportadas</x:v>
      </x:c>
      <x:c r="D17" s="2595" t="str">
        <x:v>Quién decide</x:v>
      </x:c>
      <x:c r="E17" s="2595" t="str">
        <x:v>Prioridad</x:v>
      </x:c>
      <x:c r="F17" s="2595" t="str">
        <x:v>Impacto</x:v>
      </x:c>
    </x:row>
    <x:row r="18" ht="52" customHeight="1">
      <x:c r="A18" s="20" t="str">
        <x:v>O-01</x:v>
      </x:c>
      <x:c r="B18" s="20" t="str">
        <x:v>Cambio turno TP-01</x:v>
      </x:c>
      <x:c r="C18" s="20" t="str">
        <x:v>continuidad con handover / split de Parte por regla</x:v>
      </x:c>
      <x:c r="D18" s="20" t="str">
        <x:v>Operaciones + Habilita</x:v>
      </x:c>
      <x:c r="E18" s="20" t="str">
        <x:v>Crítica</x:v>
      </x:c>
      <x:c r="F18" s="20" t="str">
        <x:v>ReglaCorte / PTW / horas persona</x:v>
      </x:c>
    </x:row>
    <x:row r="19" ht="52" customHeight="1">
      <x:c r="A19" s="20" t="str">
        <x:v>O-02</x:v>
      </x:c>
      <x:c r="B19" s="20" t="str">
        <x:v>Trabajo emergente offline</x:v>
      </x:c>
      <x:c r="C19" s="20" t="str">
        <x:v>bloquear si contractual ambiguo / permitir con autorización y pendiente</x:v>
      </x:c>
      <x:c r="D19" s="20" t="str">
        <x:v>Operaciones + Contratos + Habilita</x:v>
      </x:c>
      <x:c r="E19" s="20" t="str">
        <x:v>Crítica</x:v>
      </x:c>
      <x:c r="F19" s="20" t="str">
        <x:v>Fallback de campo</x:v>
      </x:c>
    </x:row>
    <x:row r="20" ht="52" customHeight="1">
      <x:c r="A20" s="20" t="str">
        <x:v>O-03</x:v>
      </x:c>
      <x:c r="B20" s="20" t="str">
        <x:v>Recurso adicional independiente</x:v>
      </x:c>
      <x:c r="C20" s="20" t="str">
        <x:v>misma UE como apoyo / nueva UE / nuevo TP-01</x:v>
      </x:c>
      <x:c r="D20" s="20" t="str">
        <x:v>Operaciones</x:v>
      </x:c>
      <x:c r="E20" s="20" t="str">
        <x:v>Alta</x:v>
      </x:c>
      <x:c r="F20" s="20" t="str">
        <x:v>Criterio independencia operacional</x:v>
      </x:c>
    </x:row>
    <x:row r="21" ht="52" customHeight="1">
      <x:c r="A21" s="20" t="str">
        <x:v>O-04</x:v>
      </x:c>
      <x:c r="B21" s="20" t="str">
        <x:v>Enmienda post-certificación</x:v>
      </x:c>
      <x:c r="C21" s="20" t="str">
        <x:v>recalcular/reabrir / ajuste-reversión comercial formal</x:v>
      </x:c>
      <x:c r="D21" s="20" t="str">
        <x:v>Certificaciones + Administración</x:v>
      </x:c>
      <x:c r="E21" s="20" t="str">
        <x:v>Crítica</x:v>
      </x:c>
      <x:c r="F21" s="20" t="str">
        <x:v>Lineage downstream</x:v>
      </x:c>
    </x:row>
  </x:sheetData>
  <x:mergeCells>
    <x:mergeCell ref="A1:I1"/>
    <x:mergeCell ref="A2:I2"/>
    <x:mergeCell ref="A16:I16"/>
  </x:mergeCells>
  <x:pageMargins left="0.7" right="0.7" top="0.75" bottom="0.75" header="0.3" footer="0.3"/>
</x:worksheet>
</file>

<file path=xl/worksheets/sheet31.xml><?xml version="1.0" encoding="utf-8"?>
<x:worksheet xmlns:x="http://schemas.openxmlformats.org/spreadsheetml/2006/main">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s>
  <x:sheetData>
    <x:row r="1">
      <x:c r="A1" s="2976" t="str">
        <x:v>ARQUITECTURA INTEGRAL VDS · REV D.5 · STRESS-TESTED CANDIDATE</x:v>
      </x:c>
      <x:c r="B1" s="2976"/>
      <x:c r="C1" s="2976"/>
      <x:c r="D1" s="2976"/>
      <x:c r="E1" s="2976"/>
      <x:c r="F1" s="2976"/>
      <x:c r="G1" s="2976"/>
      <x:c r="H1" s="2976"/>
      <x:c r="I1" s="2976"/>
      <x:c r="J1" s="2976"/>
      <x:c r="K1" s="2976"/>
      <x:c r="L1" s="2976"/>
      <x:c r="M1" s="2976"/>
      <x:c r="N1" s="2976"/>
      <x:c r="O1" s="2976"/>
      <x:c r="P1" s="2976"/>
      <x:c r="Q1" s="2976"/>
      <x:c r="R1" s="2976"/>
      <x:c r="S1" s="2976"/>
      <x:c r="T1" s="2976"/>
      <x:c r="U1" s="2976"/>
      <x:c r="V1" s="2976"/>
      <x:c r="W1" s="2976"/>
      <x:c r="X1" s="2976"/>
      <x:c r="Y1" s="2976"/>
      <x:c r="Z1" s="2976"/>
    </x:row>
    <x:row r="2">
      <x:c r="A2" s="2938" t="str">
        <x:v>v1.0 · El stress test agrega continuidad temporal, readiness invalidable, tratamiento contractual del tiempo, grano comercial explícito, parcialidad de certificación, lineage de derivados, conflictos temporales y gobernanza de overrides.</x:v>
      </x:c>
      <x:c r="B2" s="2938"/>
      <x:c r="C2" s="2938"/>
      <x:c r="D2" s="2938"/>
      <x:c r="E2" s="2938"/>
      <x:c r="F2" s="2938"/>
      <x:c r="G2" s="2938"/>
      <x:c r="H2" s="2938"/>
      <x:c r="I2" s="2938"/>
      <x:c r="J2" s="2938"/>
      <x:c r="K2" s="2938"/>
      <x:c r="L2" s="2938"/>
      <x:c r="M2" s="2938"/>
      <x:c r="N2" s="2938"/>
      <x:c r="O2" s="2938"/>
      <x:c r="P2" s="2938"/>
      <x:c r="Q2" s="2938"/>
      <x:c r="R2" s="2938"/>
      <x:c r="S2" s="2938"/>
      <x:c r="T2" s="2938"/>
      <x:c r="U2" s="2938"/>
      <x:c r="V2" s="2938"/>
      <x:c r="W2" s="2938"/>
      <x:c r="X2" s="2938"/>
      <x:c r="Y2" s="2938"/>
      <x:c r="Z2" s="2938"/>
    </x:row>
    <x:row r="3">
      <x:c r="A3" s="1277"/>
      <x:c r="B3" s="1277"/>
      <x:c r="C3" s="1277"/>
      <x:c r="D3" s="1277"/>
      <x:c r="E3" s="1277"/>
      <x:c r="F3" s="1277"/>
      <x:c r="G3" s="1277"/>
      <x:c r="H3" s="1277"/>
      <x:c r="I3" s="1277"/>
      <x:c r="J3" s="1277"/>
      <x:c r="K3" s="1277"/>
      <x:c r="L3" s="1277"/>
      <x:c r="M3" s="1277"/>
      <x:c r="N3" s="1277"/>
      <x:c r="O3" s="1277"/>
      <x:c r="P3" s="1277"/>
      <x:c r="Q3" s="1277"/>
      <x:c r="R3" s="1277"/>
      <x:c r="S3" s="1277"/>
      <x:c r="T3" s="1277"/>
      <x:c r="U3" s="1277"/>
      <x:c r="V3" s="1277"/>
      <x:c r="W3" s="1277"/>
      <x:c r="X3" s="1277"/>
      <x:c r="Y3" s="1277"/>
      <x:c r="Z3" s="1277"/>
    </x:row>
    <x:row r="4">
      <x:c r="A4" s="2977" t="str">
        <x:v>00 — CONFIGURATION PLANE · CONTRATO + REGLAS VERSIONADAS</x:v>
      </x:c>
      <x:c r="B4" s="2977"/>
      <x:c r="C4" s="2977"/>
      <x:c r="D4" s="2977"/>
      <x:c r="E4" s="2977"/>
      <x:c r="F4" s="2977"/>
      <x:c r="G4" s="2977"/>
      <x:c r="H4" s="2977"/>
      <x:c r="I4" s="2977"/>
      <x:c r="J4" s="2977"/>
      <x:c r="K4" s="2977"/>
      <x:c r="L4" s="2977"/>
      <x:c r="M4" s="2977"/>
      <x:c r="N4" s="2977"/>
      <x:c r="O4" s="2977"/>
      <x:c r="P4" s="2977"/>
      <x:c r="Q4" s="2977"/>
      <x:c r="R4" s="2977"/>
      <x:c r="S4" s="2977"/>
      <x:c r="T4" s="2977"/>
      <x:c r="U4" s="2977"/>
      <x:c r="V4" s="2977"/>
      <x:c r="W4" s="2977"/>
      <x:c r="X4" s="2977"/>
      <x:c r="Y4" s="2977"/>
      <x:c r="Z4" s="2977"/>
    </x:row>
    <x:row r="5">
      <x:c r="A5" s="1277"/>
      <x:c r="B5" s="1277"/>
      <x:c r="C5" s="1277"/>
      <x:c r="D5" s="1277"/>
      <x:c r="E5" s="1277"/>
      <x:c r="F5" s="1277"/>
      <x:c r="G5" s="1277"/>
      <x:c r="H5" s="1277"/>
      <x:c r="I5" s="1277"/>
      <x:c r="J5" s="1277"/>
      <x:c r="K5" s="1277"/>
      <x:c r="L5" s="1277"/>
      <x:c r="M5" s="1277"/>
      <x:c r="N5" s="1277"/>
      <x:c r="O5" s="1277"/>
      <x:c r="P5" s="1277"/>
      <x:c r="Q5" s="1277"/>
      <x:c r="R5" s="1277"/>
      <x:c r="S5" s="1277"/>
      <x:c r="T5" s="1277"/>
      <x:c r="U5" s="1277"/>
      <x:c r="V5" s="1277"/>
      <x:c r="W5" s="1277"/>
      <x:c r="X5" s="1277"/>
      <x:c r="Y5" s="1277"/>
      <x:c r="Z5" s="1277"/>
    </x:row>
    <x:row r="6">
      <x:c r="A6" s="2939" t="str">
        <x:v>CLIENTE
CONTRATO
VERSIÓN</x:v>
      </x:c>
      <x:c r="B6" s="2940"/>
      <x:c r="C6" s="2940"/>
      <x:c r="D6" s="2941"/>
      <x:c r="E6" s="1277"/>
      <x:c r="F6" s="2766" t="str">
        <x:v>CONTRATO
SERVICIO</x:v>
      </x:c>
      <x:c r="G6" s="2767"/>
      <x:c r="H6" s="2767"/>
      <x:c r="I6" s="2768"/>
      <x:c r="J6" s="1277"/>
      <x:c r="K6" s="2942" t="str">
        <x:v>CENTRO COSTO
ITEM · UM
MEDICIÓN</x:v>
      </x:c>
      <x:c r="L6" s="2943"/>
      <x:c r="M6" s="2943"/>
      <x:c r="N6" s="2944"/>
      <x:c r="O6" s="1277"/>
      <x:c r="P6" s="2942" t="str">
        <x:v>REGLAS OPERATIVAS
TipoParte · cortes · readiness
PTW · solapamientos · frescura</x:v>
      </x:c>
      <x:c r="Q6" s="2943"/>
      <x:c r="R6" s="2943"/>
      <x:c r="S6" s="2943"/>
      <x:c r="T6" s="2944"/>
      <x:c r="U6" s="1277"/>
      <x:c r="V6" s="2942" t="str">
        <x:v>REGLAS COMERCIALES
tratamiento tiempo · grano UC
agrupación · parcialidad · factura</x:v>
      </x:c>
      <x:c r="W6" s="2943"/>
      <x:c r="X6" s="2943"/>
      <x:c r="Y6" s="2943"/>
      <x:c r="Z6" s="2944"/>
    </x:row>
    <x:row r="7">
      <x:c r="A7" s="2945"/>
      <x:c r="B7" s="2773"/>
      <x:c r="C7" s="2773"/>
      <x:c r="D7" s="2946"/>
      <x:c r="E7" s="1297" t="str">
        <x:v>→</x:v>
      </x:c>
      <x:c r="F7" s="2775"/>
      <x:c r="G7" s="2776"/>
      <x:c r="H7" s="2776"/>
      <x:c r="I7" s="2777"/>
      <x:c r="J7" s="1297" t="str">
        <x:v>→</x:v>
      </x:c>
      <x:c r="K7" s="2947"/>
      <x:c r="L7" s="2948"/>
      <x:c r="M7" s="2948"/>
      <x:c r="N7" s="2949"/>
      <x:c r="O7" s="1297" t="str">
        <x:v>→</x:v>
      </x:c>
      <x:c r="P7" s="2947"/>
      <x:c r="Q7" s="2948"/>
      <x:c r="R7" s="2948"/>
      <x:c r="S7" s="2948"/>
      <x:c r="T7" s="2949"/>
      <x:c r="U7" s="1297" t="str">
        <x:v>→</x:v>
      </x:c>
      <x:c r="V7" s="2947"/>
      <x:c r="W7" s="2948"/>
      <x:c r="X7" s="2948"/>
      <x:c r="Y7" s="2948"/>
      <x:c r="Z7" s="2949"/>
    </x:row>
    <x:row r="8">
      <x:c r="A8" s="2945"/>
      <x:c r="B8" s="2773"/>
      <x:c r="C8" s="2773"/>
      <x:c r="D8" s="2946"/>
      <x:c r="E8" s="1277"/>
      <x:c r="F8" s="2775"/>
      <x:c r="G8" s="2776"/>
      <x:c r="H8" s="2776"/>
      <x:c r="I8" s="2777"/>
      <x:c r="J8" s="1277"/>
      <x:c r="K8" s="2947"/>
      <x:c r="L8" s="2948"/>
      <x:c r="M8" s="2948"/>
      <x:c r="N8" s="2949"/>
      <x:c r="O8" s="1277"/>
      <x:c r="P8" s="2947"/>
      <x:c r="Q8" s="2948"/>
      <x:c r="R8" s="2948"/>
      <x:c r="S8" s="2948"/>
      <x:c r="T8" s="2949"/>
      <x:c r="U8" s="1277"/>
      <x:c r="V8" s="2947"/>
      <x:c r="W8" s="2948"/>
      <x:c r="X8" s="2948"/>
      <x:c r="Y8" s="2948"/>
      <x:c r="Z8" s="2949"/>
    </x:row>
    <x:row r="9">
      <x:c r="A9" s="2950"/>
      <x:c r="B9" s="2951"/>
      <x:c r="C9" s="2951"/>
      <x:c r="D9" s="2952"/>
      <x:c r="E9" s="1277"/>
      <x:c r="F9" s="2784"/>
      <x:c r="G9" s="2785"/>
      <x:c r="H9" s="2785"/>
      <x:c r="I9" s="2786"/>
      <x:c r="J9" s="1277"/>
      <x:c r="K9" s="2953"/>
      <x:c r="L9" s="2954"/>
      <x:c r="M9" s="2954"/>
      <x:c r="N9" s="2955"/>
      <x:c r="O9" s="1277"/>
      <x:c r="P9" s="2953"/>
      <x:c r="Q9" s="2954"/>
      <x:c r="R9" s="2954"/>
      <x:c r="S9" s="2954"/>
      <x:c r="T9" s="2955"/>
      <x:c r="U9" s="1277"/>
      <x:c r="V9" s="2953"/>
      <x:c r="W9" s="2954"/>
      <x:c r="X9" s="2954"/>
      <x:c r="Y9" s="2954"/>
      <x:c r="Z9" s="2955"/>
    </x:row>
    <x:row r="10">
      <x:c r="A10" s="1277"/>
      <x:c r="B10" s="1277"/>
      <x:c r="C10" s="1277"/>
      <x:c r="D10" s="1277"/>
      <x:c r="E10" s="1277"/>
      <x:c r="F10" s="1277"/>
      <x:c r="G10" s="1277"/>
      <x:c r="H10" s="1277"/>
      <x:c r="I10" s="1277"/>
      <x:c r="J10" s="1277"/>
      <x:c r="K10" s="1277"/>
      <x:c r="L10" s="1277"/>
      <x:c r="M10" s="1277"/>
      <x:c r="N10" s="1277"/>
      <x:c r="O10" s="1277"/>
      <x:c r="P10" s="1277"/>
      <x:c r="Q10" s="1277"/>
      <x:c r="R10" s="1277"/>
      <x:c r="S10" s="1277"/>
      <x:c r="T10" s="1277"/>
      <x:c r="U10" s="1277"/>
      <x:c r="V10" s="1277"/>
      <x:c r="W10" s="1277"/>
      <x:c r="X10" s="1277"/>
      <x:c r="Y10" s="1277"/>
      <x:c r="Z10" s="1277"/>
    </x:row>
    <x:row r="11">
      <x:c r="A11" s="1277"/>
      <x:c r="B11" s="1277"/>
      <x:c r="C11" s="1277"/>
      <x:c r="D11" s="1277"/>
      <x:c r="E11" s="1277"/>
      <x:c r="F11" s="1277"/>
      <x:c r="G11" s="1277"/>
      <x:c r="H11" s="1277"/>
      <x:c r="I11" s="1277"/>
      <x:c r="J11" s="1277"/>
      <x:c r="K11" s="1277"/>
      <x:c r="L11" s="1277"/>
      <x:c r="M11" s="1277"/>
      <x:c r="N11" s="1277"/>
      <x:c r="O11" s="1277"/>
      <x:c r="P11" s="1277"/>
      <x:c r="Q11" s="1277"/>
      <x:c r="R11" s="1277"/>
      <x:c r="S11" s="1277"/>
      <x:c r="T11" s="1277"/>
      <x:c r="U11" s="1277"/>
      <x:c r="V11" s="1277"/>
      <x:c r="W11" s="1277"/>
      <x:c r="X11" s="1277"/>
      <x:c r="Y11" s="1277"/>
      <x:c r="Z11" s="1277"/>
    </x:row>
    <x:row r="12">
      <x:c r="A12" s="2977" t="str">
        <x:v>01 — DATA PLANE · INTENCIÓN → EJECUCIÓN → ACEPTACIÓN</x:v>
      </x:c>
      <x:c r="B12" s="2977"/>
      <x:c r="C12" s="2977"/>
      <x:c r="D12" s="2977"/>
      <x:c r="E12" s="2977"/>
      <x:c r="F12" s="2977"/>
      <x:c r="G12" s="2977"/>
      <x:c r="H12" s="2977"/>
      <x:c r="I12" s="2977"/>
      <x:c r="J12" s="2977"/>
      <x:c r="K12" s="2977"/>
      <x:c r="L12" s="2977"/>
      <x:c r="M12" s="2977"/>
      <x:c r="N12" s="2977"/>
      <x:c r="O12" s="2977"/>
      <x:c r="P12" s="2977"/>
      <x:c r="Q12" s="2977"/>
      <x:c r="R12" s="2977"/>
      <x:c r="S12" s="2977"/>
      <x:c r="T12" s="2977"/>
      <x:c r="U12" s="2977"/>
      <x:c r="V12" s="2977"/>
      <x:c r="W12" s="2977"/>
      <x:c r="X12" s="2977"/>
      <x:c r="Y12" s="2977"/>
      <x:c r="Z12" s="2977"/>
    </x:row>
    <x:row r="13">
      <x:c r="A13" s="1277"/>
      <x:c r="B13" s="1277"/>
      <x:c r="C13" s="1277"/>
      <x:c r="D13" s="1277"/>
      <x:c r="E13" s="1277"/>
      <x:c r="F13" s="1277"/>
      <x:c r="G13" s="1277"/>
      <x:c r="H13" s="1277"/>
      <x:c r="I13" s="1277"/>
      <x:c r="J13" s="1277"/>
      <x:c r="K13" s="1277"/>
      <x:c r="L13" s="1277"/>
      <x:c r="M13" s="1277"/>
      <x:c r="N13" s="1277"/>
      <x:c r="O13" s="1277"/>
      <x:c r="P13" s="1277"/>
      <x:c r="Q13" s="1277"/>
      <x:c r="R13" s="1277"/>
      <x:c r="S13" s="1277"/>
      <x:c r="T13" s="1277"/>
      <x:c r="U13" s="1277"/>
      <x:c r="V13" s="1277"/>
      <x:c r="W13" s="1277"/>
      <x:c r="X13" s="1277"/>
      <x:c r="Y13" s="1277"/>
      <x:c r="Z13" s="1277"/>
    </x:row>
    <x:row r="14">
      <x:c r="A14" s="2978" t="str">
        <x:v>PLANIFICACIÓN · LO PREVISTO</x:v>
      </x:c>
      <x:c r="B14" s="2978"/>
      <x:c r="C14" s="2978"/>
      <x:c r="D14" s="2978"/>
      <x:c r="E14" s="2978"/>
      <x:c r="F14" s="2978"/>
      <x:c r="G14" s="2978"/>
      <x:c r="H14" s="2978"/>
      <x:c r="I14" s="2977" t="str">
        <x:v>EJECUCIÓN / PARTES · LO REAL</x:v>
      </x:c>
      <x:c r="J14" s="2977"/>
      <x:c r="K14" s="2977"/>
      <x:c r="L14" s="2977"/>
      <x:c r="M14" s="2977"/>
      <x:c r="N14" s="2977"/>
      <x:c r="O14" s="2977"/>
      <x:c r="P14" s="2977"/>
      <x:c r="Q14" s="2977"/>
      <x:c r="R14" s="2978" t="str">
        <x:v>CERTIFICACIÓN / FACTURACIÓN · LO ACEPTADO</x:v>
      </x:c>
      <x:c r="S14" s="2978"/>
      <x:c r="T14" s="2978"/>
      <x:c r="U14" s="2978"/>
      <x:c r="V14" s="2978"/>
      <x:c r="W14" s="2978"/>
      <x:c r="X14" s="2978"/>
      <x:c r="Y14" s="2978"/>
      <x:c r="Z14" s="2978"/>
    </x:row>
    <x:row r="15">
      <x:c r="A15" s="1277"/>
      <x:c r="B15" s="1277"/>
      <x:c r="C15" s="1277"/>
      <x:c r="D15" s="1277"/>
      <x:c r="E15" s="1277"/>
      <x:c r="F15" s="1277"/>
      <x:c r="G15" s="1277"/>
      <x:c r="H15" s="1277"/>
      <x:c r="I15" s="1277"/>
      <x:c r="J15" s="1277"/>
      <x:c r="K15" s="1277"/>
      <x:c r="L15" s="1277"/>
      <x:c r="M15" s="1277"/>
      <x:c r="N15" s="1277"/>
      <x:c r="O15" s="1277"/>
      <x:c r="P15" s="1277"/>
      <x:c r="Q15" s="1277"/>
      <x:c r="R15" s="1277"/>
      <x:c r="S15" s="1277"/>
      <x:c r="T15" s="1277"/>
      <x:c r="U15" s="1277"/>
      <x:c r="V15" s="1277"/>
      <x:c r="W15" s="1277"/>
      <x:c r="X15" s="1277"/>
      <x:c r="Y15" s="1277"/>
      <x:c r="Z15" s="1277"/>
    </x:row>
    <x:row r="16">
      <x:c r="A16" s="2942" t="str">
        <x:v>DEMANDA → CALIFICAR → ALCANCE</x:v>
      </x:c>
      <x:c r="B16" s="2943"/>
      <x:c r="C16" s="2943"/>
      <x:c r="D16" s="2943"/>
      <x:c r="E16" s="2943"/>
      <x:c r="F16" s="2943"/>
      <x:c r="G16" s="2943"/>
      <x:c r="H16" s="2944"/>
      <x:c r="I16" s="2766" t="str">
        <x:v>ƒ MOTOR DE RUTEO REAL
perfil + plan/bundle + contexto real</x:v>
      </x:c>
      <x:c r="J16" s="2767"/>
      <x:c r="K16" s="2767"/>
      <x:c r="L16" s="2767"/>
      <x:c r="M16" s="2767"/>
      <x:c r="N16" s="2767"/>
      <x:c r="O16" s="2767"/>
      <x:c r="P16" s="2767"/>
      <x:c r="Q16" s="2768"/>
      <x:c r="R16" s="2766" t="str">
        <x:v>C0 · INGESTA
Ejecución cerrada + versión fuente</x:v>
      </x:c>
      <x:c r="S16" s="2767"/>
      <x:c r="T16" s="2767"/>
      <x:c r="U16" s="2767"/>
      <x:c r="V16" s="2767"/>
      <x:c r="W16" s="2767"/>
      <x:c r="X16" s="2767"/>
      <x:c r="Y16" s="2767"/>
      <x:c r="Z16" s="2768"/>
    </x:row>
    <x:row r="17">
      <x:c r="A17" s="2947"/>
      <x:c r="B17" s="2948"/>
      <x:c r="C17" s="2948"/>
      <x:c r="D17" s="2948"/>
      <x:c r="E17" s="2948"/>
      <x:c r="F17" s="2948"/>
      <x:c r="G17" s="2948"/>
      <x:c r="H17" s="2949"/>
      <x:c r="I17" s="2775"/>
      <x:c r="J17" s="2776"/>
      <x:c r="K17" s="2776"/>
      <x:c r="L17" s="2776"/>
      <x:c r="M17" s="2776"/>
      <x:c r="N17" s="2776"/>
      <x:c r="O17" s="2776"/>
      <x:c r="P17" s="2776"/>
      <x:c r="Q17" s="2777"/>
      <x:c r="R17" s="2775"/>
      <x:c r="S17" s="2776"/>
      <x:c r="T17" s="2776"/>
      <x:c r="U17" s="2776"/>
      <x:c r="V17" s="2776"/>
      <x:c r="W17" s="2776"/>
      <x:c r="X17" s="2776"/>
      <x:c r="Y17" s="2776"/>
      <x:c r="Z17" s="2777"/>
    </x:row>
    <x:row r="18">
      <x:c r="A18" s="2947"/>
      <x:c r="B18" s="2948"/>
      <x:c r="C18" s="2948"/>
      <x:c r="D18" s="2948"/>
      <x:c r="E18" s="2948"/>
      <x:c r="F18" s="2948"/>
      <x:c r="G18" s="2948"/>
      <x:c r="H18" s="2949"/>
      <x:c r="I18" s="2775"/>
      <x:c r="J18" s="2776"/>
      <x:c r="K18" s="2776"/>
      <x:c r="L18" s="2776"/>
      <x:c r="M18" s="2776"/>
      <x:c r="N18" s="2776"/>
      <x:c r="O18" s="2776"/>
      <x:c r="P18" s="2776"/>
      <x:c r="Q18" s="2777"/>
      <x:c r="R18" s="2775"/>
      <x:c r="S18" s="2776"/>
      <x:c r="T18" s="2776"/>
      <x:c r="U18" s="2776"/>
      <x:c r="V18" s="2776"/>
      <x:c r="W18" s="2776"/>
      <x:c r="X18" s="2776"/>
      <x:c r="Y18" s="2776"/>
      <x:c r="Z18" s="2777"/>
    </x:row>
    <x:row r="19">
      <x:c r="A19" s="2953"/>
      <x:c r="B19" s="2954"/>
      <x:c r="C19" s="2954"/>
      <x:c r="D19" s="2954"/>
      <x:c r="E19" s="2954"/>
      <x:c r="F19" s="2954"/>
      <x:c r="G19" s="2954"/>
      <x:c r="H19" s="2955"/>
      <x:c r="I19" s="2784"/>
      <x:c r="J19" s="2785"/>
      <x:c r="K19" s="2785"/>
      <x:c r="L19" s="2785"/>
      <x:c r="M19" s="2785"/>
      <x:c r="N19" s="2785"/>
      <x:c r="O19" s="2785"/>
      <x:c r="P19" s="2785"/>
      <x:c r="Q19" s="2786"/>
      <x:c r="R19" s="2784"/>
      <x:c r="S19" s="2785"/>
      <x:c r="T19" s="2785"/>
      <x:c r="U19" s="2785"/>
      <x:c r="V19" s="2785"/>
      <x:c r="W19" s="2785"/>
      <x:c r="X19" s="2785"/>
      <x:c r="Y19" s="2785"/>
      <x:c r="Z19" s="2786"/>
    </x:row>
    <x:row r="20">
      <x:c r="A20" s="1277"/>
      <x:c r="B20" s="1277"/>
      <x:c r="C20" s="1277"/>
      <x:c r="D20" s="1385" t="str">
        <x:v>↓</x:v>
      </x:c>
      <x:c r="E20" s="1277"/>
      <x:c r="F20" s="1277"/>
      <x:c r="G20" s="1277"/>
      <x:c r="H20" s="1277"/>
      <x:c r="I20" s="1277"/>
      <x:c r="J20" s="1277"/>
      <x:c r="K20" s="1277"/>
      <x:c r="L20" s="1277"/>
      <x:c r="M20" s="1385" t="str">
        <x:v>↓</x:v>
      </x:c>
      <x:c r="N20" s="1277"/>
      <x:c r="O20" s="1277"/>
      <x:c r="P20" s="1277"/>
      <x:c r="Q20" s="1277"/>
      <x:c r="R20" s="1277"/>
      <x:c r="S20" s="1277"/>
      <x:c r="T20" s="1277"/>
      <x:c r="U20" s="1277"/>
      <x:c r="V20" s="1385" t="str">
        <x:v>↓</x:v>
      </x:c>
      <x:c r="W20" s="1277"/>
      <x:c r="X20" s="1277"/>
      <x:c r="Y20" s="1277"/>
      <x:c r="Z20" s="1277"/>
    </x:row>
    <x:row r="21">
      <x:c r="A21" s="2942" t="str">
        <x:v>CAPACIDAD / COMPETENCIAS
RequerimientoRecurso</x:v>
      </x:c>
      <x:c r="B21" s="2943"/>
      <x:c r="C21" s="2943"/>
      <x:c r="D21" s="2943"/>
      <x:c r="E21" s="2943"/>
      <x:c r="F21" s="2943"/>
      <x:c r="G21" s="2943"/>
      <x:c r="H21" s="2944"/>
      <x:c r="I21" s="2956" t="str">
        <x:v>TIPO PARTE RESUELTO · REGLAS DE IDENTIDAD / CORTE</x:v>
      </x:c>
      <x:c r="J21" s="2956"/>
      <x:c r="K21" s="2956"/>
      <x:c r="L21" s="2956"/>
      <x:c r="M21" s="2956"/>
      <x:c r="N21" s="2956"/>
      <x:c r="O21" s="2956"/>
      <x:c r="P21" s="2956"/>
      <x:c r="Q21" s="2956"/>
      <x:c r="R21" s="2766" t="str">
        <x:v>C1–C3 · NORMALIZAR
completitud · item/CC · tiempo/medición
ReglaTratamientoTiempo</x:v>
      </x:c>
      <x:c r="S21" s="2767"/>
      <x:c r="T21" s="2767"/>
      <x:c r="U21" s="2767"/>
      <x:c r="V21" s="2767"/>
      <x:c r="W21" s="2767"/>
      <x:c r="X21" s="2767"/>
      <x:c r="Y21" s="2767"/>
      <x:c r="Z21" s="2768"/>
    </x:row>
    <x:row r="22">
      <x:c r="A22" s="2947"/>
      <x:c r="B22" s="2948"/>
      <x:c r="C22" s="2948"/>
      <x:c r="D22" s="2948"/>
      <x:c r="E22" s="2948"/>
      <x:c r="F22" s="2948"/>
      <x:c r="G22" s="2948"/>
      <x:c r="H22" s="2949"/>
      <x:c r="I22" s="1277"/>
      <x:c r="J22" s="1277"/>
      <x:c r="K22" s="1277"/>
      <x:c r="L22" s="1277"/>
      <x:c r="M22" s="1277"/>
      <x:c r="N22" s="1277"/>
      <x:c r="O22" s="1277"/>
      <x:c r="P22" s="1277"/>
      <x:c r="Q22" s="1277"/>
      <x:c r="R22" s="2775"/>
      <x:c r="S22" s="2776"/>
      <x:c r="T22" s="2776"/>
      <x:c r="U22" s="2776"/>
      <x:c r="V22" s="2776"/>
      <x:c r="W22" s="2776"/>
      <x:c r="X22" s="2776"/>
      <x:c r="Y22" s="2776"/>
      <x:c r="Z22" s="2777"/>
    </x:row>
    <x:row r="23">
      <x:c r="A23" s="2947"/>
      <x:c r="B23" s="2948"/>
      <x:c r="C23" s="2948"/>
      <x:c r="D23" s="2948"/>
      <x:c r="E23" s="2948"/>
      <x:c r="F23" s="2948"/>
      <x:c r="G23" s="2948"/>
      <x:c r="H23" s="2949"/>
      <x:c r="I23" s="2957" t="str">
        <x:v>TP-01
INTERVENCIÓN
1..N UE</x:v>
      </x:c>
      <x:c r="J23" s="2958"/>
      <x:c r="K23" s="2959"/>
      <x:c r="L23" s="2957" t="str">
        <x:v>TP-02
TRANSPORTE
N MOVIMIENTOS</x:v>
      </x:c>
      <x:c r="M23" s="2958"/>
      <x:c r="N23" s="2959"/>
      <x:c r="O23" s="2957" t="str">
        <x:v>TP-03
CUADRILLA
N UE</x:v>
      </x:c>
      <x:c r="P23" s="2958"/>
      <x:c r="Q23" s="2959"/>
      <x:c r="R23" s="2775"/>
      <x:c r="S23" s="2776"/>
      <x:c r="T23" s="2776"/>
      <x:c r="U23" s="2776"/>
      <x:c r="V23" s="2776"/>
      <x:c r="W23" s="2776"/>
      <x:c r="X23" s="2776"/>
      <x:c r="Y23" s="2776"/>
      <x:c r="Z23" s="2777"/>
    </x:row>
    <x:row r="24">
      <x:c r="A24" s="2953"/>
      <x:c r="B24" s="2954"/>
      <x:c r="C24" s="2954"/>
      <x:c r="D24" s="2954"/>
      <x:c r="E24" s="2954"/>
      <x:c r="F24" s="2954"/>
      <x:c r="G24" s="2954"/>
      <x:c r="H24" s="2955"/>
      <x:c r="I24" s="2960"/>
      <x:c r="J24" s="2961"/>
      <x:c r="K24" s="2962"/>
      <x:c r="L24" s="2960"/>
      <x:c r="M24" s="2961"/>
      <x:c r="N24" s="2962"/>
      <x:c r="O24" s="2960"/>
      <x:c r="P24" s="2961"/>
      <x:c r="Q24" s="2962"/>
      <x:c r="R24" s="2784"/>
      <x:c r="S24" s="2785"/>
      <x:c r="T24" s="2785"/>
      <x:c r="U24" s="2785"/>
      <x:c r="V24" s="2785"/>
      <x:c r="W24" s="2785"/>
      <x:c r="X24" s="2785"/>
      <x:c r="Y24" s="2785"/>
      <x:c r="Z24" s="2786"/>
    </x:row>
    <x:row r="25">
      <x:c r="A25" s="1277"/>
      <x:c r="B25" s="1277"/>
      <x:c r="C25" s="1277"/>
      <x:c r="D25" s="1385" t="str">
        <x:v>↓</x:v>
      </x:c>
      <x:c r="E25" s="1277"/>
      <x:c r="F25" s="1277"/>
      <x:c r="G25" s="1277"/>
      <x:c r="H25" s="1277"/>
      <x:c r="I25" s="2960"/>
      <x:c r="J25" s="2961"/>
      <x:c r="K25" s="2962"/>
      <x:c r="L25" s="2960"/>
      <x:c r="M25" s="2961"/>
      <x:c r="N25" s="2962"/>
      <x:c r="O25" s="2960"/>
      <x:c r="P25" s="2961"/>
      <x:c r="Q25" s="2962"/>
      <x:c r="R25" s="1277"/>
      <x:c r="S25" s="1277"/>
      <x:c r="T25" s="1277"/>
      <x:c r="U25" s="1277"/>
      <x:c r="V25" s="1385" t="str">
        <x:v>↓</x:v>
      </x:c>
      <x:c r="W25" s="1277"/>
      <x:c r="X25" s="1277"/>
      <x:c r="Y25" s="1277"/>
      <x:c r="Z25" s="1277"/>
    </x:row>
    <x:row r="26">
      <x:c r="A26" s="2957" t="str">
        <x:v>MATCHING
DisponibilidadRecurso + ConflictoTemporal
candidatos elegibles</x:v>
      </x:c>
      <x:c r="B26" s="2958"/>
      <x:c r="C26" s="2958"/>
      <x:c r="D26" s="2958"/>
      <x:c r="E26" s="2958"/>
      <x:c r="F26" s="2958"/>
      <x:c r="G26" s="2958"/>
      <x:c r="H26" s="2959"/>
      <x:c r="I26" s="2960"/>
      <x:c r="J26" s="2961"/>
      <x:c r="K26" s="2962"/>
      <x:c r="L26" s="2960"/>
      <x:c r="M26" s="2961"/>
      <x:c r="N26" s="2962"/>
      <x:c r="O26" s="2960"/>
      <x:c r="P26" s="2961"/>
      <x:c r="Q26" s="2962"/>
      <x:c r="R26" s="2957" t="str">
        <x:v>ƒ REGLA GRANO UC
por ejecución · movimiento · intervención
DÍA / PERÍODO / ÍTEM</x:v>
      </x:c>
      <x:c r="S26" s="2958"/>
      <x:c r="T26" s="2958"/>
      <x:c r="U26" s="2958"/>
      <x:c r="V26" s="2958"/>
      <x:c r="W26" s="2958"/>
      <x:c r="X26" s="2958"/>
      <x:c r="Y26" s="2958"/>
      <x:c r="Z26" s="2959"/>
    </x:row>
    <x:row r="27">
      <x:c r="A27" s="2960"/>
      <x:c r="B27" s="2961"/>
      <x:c r="C27" s="2961"/>
      <x:c r="D27" s="2961"/>
      <x:c r="E27" s="2961"/>
      <x:c r="F27" s="2961"/>
      <x:c r="G27" s="2961"/>
      <x:c r="H27" s="2962"/>
      <x:c r="I27" s="2963"/>
      <x:c r="J27" s="2964"/>
      <x:c r="K27" s="2965"/>
      <x:c r="L27" s="2963"/>
      <x:c r="M27" s="2964"/>
      <x:c r="N27" s="2965"/>
      <x:c r="O27" s="2963"/>
      <x:c r="P27" s="2964"/>
      <x:c r="Q27" s="2965"/>
      <x:c r="R27" s="2960"/>
      <x:c r="S27" s="2961"/>
      <x:c r="T27" s="2961"/>
      <x:c r="U27" s="2961"/>
      <x:c r="V27" s="2961"/>
      <x:c r="W27" s="2961"/>
      <x:c r="X27" s="2961"/>
      <x:c r="Y27" s="2961"/>
      <x:c r="Z27" s="2962"/>
    </x:row>
    <x:row r="28">
      <x:c r="A28" s="2960"/>
      <x:c r="B28" s="2961"/>
      <x:c r="C28" s="2961"/>
      <x:c r="D28" s="2961"/>
      <x:c r="E28" s="2961"/>
      <x:c r="F28" s="2961"/>
      <x:c r="G28" s="2961"/>
      <x:c r="H28" s="2962"/>
      <x:c r="I28" s="1277"/>
      <x:c r="J28" s="1277"/>
      <x:c r="K28" s="1277"/>
      <x:c r="L28" s="1277"/>
      <x:c r="M28" s="1277"/>
      <x:c r="N28" s="1277"/>
      <x:c r="O28" s="1277"/>
      <x:c r="P28" s="1277"/>
      <x:c r="Q28" s="1277"/>
      <x:c r="R28" s="2960"/>
      <x:c r="S28" s="2961"/>
      <x:c r="T28" s="2961"/>
      <x:c r="U28" s="2961"/>
      <x:c r="V28" s="2961"/>
      <x:c r="W28" s="2961"/>
      <x:c r="X28" s="2961"/>
      <x:c r="Y28" s="2961"/>
      <x:c r="Z28" s="2962"/>
    </x:row>
    <x:row r="29">
      <x:c r="A29" s="2963"/>
      <x:c r="B29" s="2964"/>
      <x:c r="C29" s="2964"/>
      <x:c r="D29" s="2964"/>
      <x:c r="E29" s="2964"/>
      <x:c r="F29" s="2964"/>
      <x:c r="G29" s="2964"/>
      <x:c r="H29" s="2965"/>
      <x:c r="I29" s="2787" t="str">
        <x:v>Dentro y entre Partes: UnidadEjecución registra trabajo; TransicionOperativa registra traslado/espera entre work packages sin tiempo huérfano. Imputación distinta no corta por sí sola.</x:v>
      </x:c>
      <x:c r="J29" s="2787"/>
      <x:c r="K29" s="2787"/>
      <x:c r="L29" s="2787"/>
      <x:c r="M29" s="2787"/>
      <x:c r="N29" s="2787"/>
      <x:c r="O29" s="2787"/>
      <x:c r="P29" s="2787"/>
      <x:c r="Q29" s="2787"/>
      <x:c r="R29" s="2963"/>
      <x:c r="S29" s="2964"/>
      <x:c r="T29" s="2964"/>
      <x:c r="U29" s="2964"/>
      <x:c r="V29" s="2964"/>
      <x:c r="W29" s="2964"/>
      <x:c r="X29" s="2964"/>
      <x:c r="Y29" s="2964"/>
      <x:c r="Z29" s="2965"/>
    </x:row>
    <x:row r="30">
      <x:c r="A30" s="1277"/>
      <x:c r="B30" s="1277"/>
      <x:c r="C30" s="1277"/>
      <x:c r="D30" s="1385" t="str">
        <x:v>↓</x:v>
      </x:c>
      <x:c r="E30" s="1277"/>
      <x:c r="F30" s="1277"/>
      <x:c r="G30" s="1277"/>
      <x:c r="H30" s="1277"/>
      <x:c r="I30" s="2787"/>
      <x:c r="J30" s="2787"/>
      <x:c r="K30" s="2787"/>
      <x:c r="L30" s="2787"/>
      <x:c r="M30" s="2787"/>
      <x:c r="N30" s="2787"/>
      <x:c r="O30" s="2787"/>
      <x:c r="P30" s="2787"/>
      <x:c r="Q30" s="2787"/>
      <x:c r="R30" s="1277"/>
      <x:c r="S30" s="1277"/>
      <x:c r="T30" s="1277"/>
      <x:c r="U30" s="1277"/>
      <x:c r="V30" s="1385" t="str">
        <x:v>↓</x:v>
      </x:c>
      <x:c r="W30" s="1277"/>
      <x:c r="X30" s="1277"/>
      <x:c r="Y30" s="1277"/>
      <x:c r="Z30" s="1277"/>
    </x:row>
    <x:row r="31">
      <x:c r="A31" s="2942" t="str">
        <x:v>PROGRAMAR / NOMINAR
ventana · prioridad · personas/recursos</x:v>
      </x:c>
      <x:c r="B31" s="2943"/>
      <x:c r="C31" s="2943"/>
      <x:c r="D31" s="2943"/>
      <x:c r="E31" s="2943"/>
      <x:c r="F31" s="2943"/>
      <x:c r="G31" s="2943"/>
      <x:c r="H31" s="2944"/>
      <x:c r="I31" s="2787"/>
      <x:c r="J31" s="2787"/>
      <x:c r="K31" s="2787"/>
      <x:c r="L31" s="2787"/>
      <x:c r="M31" s="2787"/>
      <x:c r="N31" s="2787"/>
      <x:c r="O31" s="2787"/>
      <x:c r="P31" s="2787"/>
      <x:c r="Q31" s="2787"/>
      <x:c r="R31" s="2942" t="str">
        <x:v>UNIDAD COMERCIAL [N]
fuente_ejecucion_version
vigente / requiere_recalculo</x:v>
      </x:c>
      <x:c r="S31" s="2943"/>
      <x:c r="T31" s="2943"/>
      <x:c r="U31" s="2943"/>
      <x:c r="V31" s="2943"/>
      <x:c r="W31" s="2943"/>
      <x:c r="X31" s="2943"/>
      <x:c r="Y31" s="2943"/>
      <x:c r="Z31" s="2944"/>
    </x:row>
    <x:row r="32">
      <x:c r="A32" s="2947"/>
      <x:c r="B32" s="2948"/>
      <x:c r="C32" s="2948"/>
      <x:c r="D32" s="2948"/>
      <x:c r="E32" s="2948"/>
      <x:c r="F32" s="2948"/>
      <x:c r="G32" s="2948"/>
      <x:c r="H32" s="2949"/>
      <x:c r="I32" s="1277"/>
      <x:c r="J32" s="1277"/>
      <x:c r="K32" s="1277"/>
      <x:c r="L32" s="1277"/>
      <x:c r="M32" s="1277"/>
      <x:c r="N32" s="1277"/>
      <x:c r="O32" s="1277"/>
      <x:c r="P32" s="1277"/>
      <x:c r="Q32" s="1277"/>
      <x:c r="R32" s="2947"/>
      <x:c r="S32" s="2948"/>
      <x:c r="T32" s="2948"/>
      <x:c r="U32" s="2948"/>
      <x:c r="V32" s="2948"/>
      <x:c r="W32" s="2948"/>
      <x:c r="X32" s="2948"/>
      <x:c r="Y32" s="2948"/>
      <x:c r="Z32" s="2949"/>
    </x:row>
    <x:row r="33">
      <x:c r="A33" s="2947"/>
      <x:c r="B33" s="2948"/>
      <x:c r="C33" s="2948"/>
      <x:c r="D33" s="2948"/>
      <x:c r="E33" s="2948"/>
      <x:c r="F33" s="2948"/>
      <x:c r="G33" s="2948"/>
      <x:c r="H33" s="2949"/>
      <x:c r="I33" s="2766" t="str">
        <x:v>E2 · DOCUMENTAL REAL
+ OverrideGate solo si regla
lo permite</x:v>
      </x:c>
      <x:c r="J33" s="2767"/>
      <x:c r="K33" s="2767"/>
      <x:c r="L33" s="2768"/>
      <x:c r="M33" s="1277"/>
      <x:c r="N33" s="2763" t="str">
        <x:v>E3 · PTW / START WORK
[0..N]
vigencia · suspensión · handover</x:v>
      </x:c>
      <x:c r="O33" s="2764"/>
      <x:c r="P33" s="2764"/>
      <x:c r="Q33" s="2765"/>
      <x:c r="R33" s="2947"/>
      <x:c r="S33" s="2948"/>
      <x:c r="T33" s="2948"/>
      <x:c r="U33" s="2948"/>
      <x:c r="V33" s="2948"/>
      <x:c r="W33" s="2948"/>
      <x:c r="X33" s="2948"/>
      <x:c r="Y33" s="2948"/>
      <x:c r="Z33" s="2949"/>
    </x:row>
    <x:row r="34">
      <x:c r="A34" s="2953"/>
      <x:c r="B34" s="2954"/>
      <x:c r="C34" s="2954"/>
      <x:c r="D34" s="2954"/>
      <x:c r="E34" s="2954"/>
      <x:c r="F34" s="2954"/>
      <x:c r="G34" s="2954"/>
      <x:c r="H34" s="2955"/>
      <x:c r="I34" s="2775"/>
      <x:c r="J34" s="2776"/>
      <x:c r="K34" s="2776"/>
      <x:c r="L34" s="2777"/>
      <x:c r="M34" s="1277"/>
      <x:c r="N34" s="2772"/>
      <x:c r="O34" s="2773"/>
      <x:c r="P34" s="2773"/>
      <x:c r="Q34" s="2774"/>
      <x:c r="R34" s="2953"/>
      <x:c r="S34" s="2954"/>
      <x:c r="T34" s="2954"/>
      <x:c r="U34" s="2954"/>
      <x:c r="V34" s="2954"/>
      <x:c r="W34" s="2954"/>
      <x:c r="X34" s="2954"/>
      <x:c r="Y34" s="2954"/>
      <x:c r="Z34" s="2955"/>
    </x:row>
    <x:row r="35">
      <x:c r="A35" s="1277"/>
      <x:c r="B35" s="1277"/>
      <x:c r="C35" s="1277"/>
      <x:c r="D35" s="1385" t="str">
        <x:v>↓</x:v>
      </x:c>
      <x:c r="E35" s="1277"/>
      <x:c r="F35" s="1277"/>
      <x:c r="G35" s="1277"/>
      <x:c r="H35" s="1277"/>
      <x:c r="I35" s="2775"/>
      <x:c r="J35" s="2776"/>
      <x:c r="K35" s="2776"/>
      <x:c r="L35" s="2777"/>
      <x:c r="M35" s="1297" t="str">
        <x:v>→</x:v>
      </x:c>
      <x:c r="N35" s="2772"/>
      <x:c r="O35" s="2773"/>
      <x:c r="P35" s="2773"/>
      <x:c r="Q35" s="2774"/>
      <x:c r="R35" s="1277"/>
      <x:c r="S35" s="1277"/>
      <x:c r="T35" s="1277"/>
      <x:c r="U35" s="1277"/>
      <x:c r="V35" s="1385" t="str">
        <x:v>↓</x:v>
      </x:c>
      <x:c r="W35" s="1277"/>
      <x:c r="X35" s="1277"/>
      <x:c r="Y35" s="1277"/>
      <x:c r="Z35" s="1277"/>
    </x:row>
    <x:row r="36">
      <x:c r="A36" s="2766" t="str">
        <x:v>READINESS TEMPORAL
P0 contrato · P1 alcance · P2 capacidad
P3 documental/Habilita · evaluado_at / valido_hasta</x:v>
      </x:c>
      <x:c r="B36" s="2767"/>
      <x:c r="C36" s="2767"/>
      <x:c r="D36" s="2767"/>
      <x:c r="E36" s="2767"/>
      <x:c r="F36" s="2767"/>
      <x:c r="G36" s="2767"/>
      <x:c r="H36" s="2768"/>
      <x:c r="I36" s="2775"/>
      <x:c r="J36" s="2776"/>
      <x:c r="K36" s="2776"/>
      <x:c r="L36" s="2777"/>
      <x:c r="M36" s="1277"/>
      <x:c r="N36" s="2772"/>
      <x:c r="O36" s="2773"/>
      <x:c r="P36" s="2773"/>
      <x:c r="Q36" s="2774"/>
      <x:c r="R36" s="2766" t="str">
        <x:v>AGRUPAR → PAQUETE
pozo · período · ítem · CC
ReglaParcialidad</x:v>
      </x:c>
      <x:c r="S36" s="2767"/>
      <x:c r="T36" s="2767"/>
      <x:c r="U36" s="2767"/>
      <x:c r="V36" s="2767"/>
      <x:c r="W36" s="2767"/>
      <x:c r="X36" s="2767"/>
      <x:c r="Y36" s="2767"/>
      <x:c r="Z36" s="2768"/>
    </x:row>
    <x:row r="37">
      <x:c r="A37" s="2775"/>
      <x:c r="B37" s="2776"/>
      <x:c r="C37" s="2776"/>
      <x:c r="D37" s="2776"/>
      <x:c r="E37" s="2776"/>
      <x:c r="F37" s="2776"/>
      <x:c r="G37" s="2776"/>
      <x:c r="H37" s="2777"/>
      <x:c r="I37" s="2784"/>
      <x:c r="J37" s="2785"/>
      <x:c r="K37" s="2785"/>
      <x:c r="L37" s="2786"/>
      <x:c r="M37" s="1277"/>
      <x:c r="N37" s="2781"/>
      <x:c r="O37" s="2782"/>
      <x:c r="P37" s="2782"/>
      <x:c r="Q37" s="2783"/>
      <x:c r="R37" s="2775"/>
      <x:c r="S37" s="2776"/>
      <x:c r="T37" s="2776"/>
      <x:c r="U37" s="2776"/>
      <x:c r="V37" s="2776"/>
      <x:c r="W37" s="2776"/>
      <x:c r="X37" s="2776"/>
      <x:c r="Y37" s="2776"/>
      <x:c r="Z37" s="2777"/>
    </x:row>
    <x:row r="38">
      <x:c r="A38" s="2775"/>
      <x:c r="B38" s="2776"/>
      <x:c r="C38" s="2776"/>
      <x:c r="D38" s="2776"/>
      <x:c r="E38" s="2776"/>
      <x:c r="F38" s="2776"/>
      <x:c r="G38" s="2776"/>
      <x:c r="H38" s="2777"/>
      <x:c r="I38" s="1277"/>
      <x:c r="J38" s="1277"/>
      <x:c r="K38" s="1277"/>
      <x:c r="L38" s="1277"/>
      <x:c r="M38" s="1385" t="str">
        <x:v>↓</x:v>
      </x:c>
      <x:c r="N38" s="1277"/>
      <x:c r="O38" s="1277"/>
      <x:c r="P38" s="1277"/>
      <x:c r="Q38" s="1277"/>
      <x:c r="R38" s="2775"/>
      <x:c r="S38" s="2776"/>
      <x:c r="T38" s="2776"/>
      <x:c r="U38" s="2776"/>
      <x:c r="V38" s="2776"/>
      <x:c r="W38" s="2776"/>
      <x:c r="X38" s="2776"/>
      <x:c r="Y38" s="2776"/>
      <x:c r="Z38" s="2777"/>
    </x:row>
    <x:row r="39">
      <x:c r="A39" s="2775"/>
      <x:c r="B39" s="2776"/>
      <x:c r="C39" s="2776"/>
      <x:c r="D39" s="2776"/>
      <x:c r="E39" s="2776"/>
      <x:c r="F39" s="2776"/>
      <x:c r="G39" s="2776"/>
      <x:c r="H39" s="2777"/>
      <x:c r="I39" s="2942" t="str">
        <x:v>PARTE + UE [1..N]
personas por intervalo · recursos · ubicación/activo
EventoTiempo · TransicionOperativa · medición · evidencia</x:v>
      </x:c>
      <x:c r="J39" s="2943"/>
      <x:c r="K39" s="2943"/>
      <x:c r="L39" s="2943"/>
      <x:c r="M39" s="2943"/>
      <x:c r="N39" s="2943"/>
      <x:c r="O39" s="2943"/>
      <x:c r="P39" s="2943"/>
      <x:c r="Q39" s="2944"/>
      <x:c r="R39" s="2784"/>
      <x:c r="S39" s="2785"/>
      <x:c r="T39" s="2785"/>
      <x:c r="U39" s="2785"/>
      <x:c r="V39" s="2785"/>
      <x:c r="W39" s="2785"/>
      <x:c r="X39" s="2785"/>
      <x:c r="Y39" s="2785"/>
      <x:c r="Z39" s="2786"/>
    </x:row>
    <x:row r="40">
      <x:c r="A40" s="2784"/>
      <x:c r="B40" s="2785"/>
      <x:c r="C40" s="2785"/>
      <x:c r="D40" s="2785"/>
      <x:c r="E40" s="2785"/>
      <x:c r="F40" s="2785"/>
      <x:c r="G40" s="2785"/>
      <x:c r="H40" s="2786"/>
      <x:c r="I40" s="2947"/>
      <x:c r="J40" s="2948"/>
      <x:c r="K40" s="2948"/>
      <x:c r="L40" s="2948"/>
      <x:c r="M40" s="2948"/>
      <x:c r="N40" s="2948"/>
      <x:c r="O40" s="2948"/>
      <x:c r="P40" s="2948"/>
      <x:c r="Q40" s="2949"/>
      <x:c r="R40" s="1277"/>
      <x:c r="S40" s="1277"/>
      <x:c r="T40" s="1277"/>
      <x:c r="U40" s="1277"/>
      <x:c r="V40" s="1385" t="str">
        <x:v>↓</x:v>
      </x:c>
      <x:c r="W40" s="1277"/>
      <x:c r="X40" s="1277"/>
      <x:c r="Y40" s="1277"/>
      <x:c r="Z40" s="1277"/>
    </x:row>
    <x:row r="41">
      <x:c r="A41" s="1277"/>
      <x:c r="B41" s="1277"/>
      <x:c r="C41" s="1277"/>
      <x:c r="D41" s="1385" t="str">
        <x:v>↓</x:v>
      </x:c>
      <x:c r="E41" s="1277"/>
      <x:c r="F41" s="1277"/>
      <x:c r="G41" s="1277"/>
      <x:c r="H41" s="1277"/>
      <x:c r="I41" s="2947"/>
      <x:c r="J41" s="2948"/>
      <x:c r="K41" s="2948"/>
      <x:c r="L41" s="2948"/>
      <x:c r="M41" s="2948"/>
      <x:c r="N41" s="2948"/>
      <x:c r="O41" s="2948"/>
      <x:c r="P41" s="2948"/>
      <x:c r="Q41" s="2949"/>
      <x:c r="R41" s="2942" t="str">
        <x:v>CERTIFICAR / AJUSTAR
→ LíneaFacturable → Lote → Factura</x:v>
      </x:c>
      <x:c r="S41" s="2943"/>
      <x:c r="T41" s="2943"/>
      <x:c r="U41" s="2943"/>
      <x:c r="V41" s="2943"/>
      <x:c r="W41" s="2943"/>
      <x:c r="X41" s="2943"/>
      <x:c r="Y41" s="2943"/>
      <x:c r="Z41" s="2944"/>
    </x:row>
    <x:row r="42">
      <x:c r="A42" s="2766" t="str">
        <x:v>P4 · CONFIRMAR / VERSIONAR
PlanificacionVersion aprobada</x:v>
      </x:c>
      <x:c r="B42" s="2767"/>
      <x:c r="C42" s="2767"/>
      <x:c r="D42" s="2767"/>
      <x:c r="E42" s="2767"/>
      <x:c r="F42" s="2767"/>
      <x:c r="G42" s="2767"/>
      <x:c r="H42" s="2768"/>
      <x:c r="I42" s="2947"/>
      <x:c r="J42" s="2948"/>
      <x:c r="K42" s="2948"/>
      <x:c r="L42" s="2948"/>
      <x:c r="M42" s="2948"/>
      <x:c r="N42" s="2948"/>
      <x:c r="O42" s="2948"/>
      <x:c r="P42" s="2948"/>
      <x:c r="Q42" s="2949"/>
      <x:c r="R42" s="2947"/>
      <x:c r="S42" s="2948"/>
      <x:c r="T42" s="2948"/>
      <x:c r="U42" s="2948"/>
      <x:c r="V42" s="2948"/>
      <x:c r="W42" s="2948"/>
      <x:c r="X42" s="2948"/>
      <x:c r="Y42" s="2948"/>
      <x:c r="Z42" s="2949"/>
    </x:row>
    <x:row r="43">
      <x:c r="A43" s="2775"/>
      <x:c r="B43" s="2776"/>
      <x:c r="C43" s="2776"/>
      <x:c r="D43" s="2776"/>
      <x:c r="E43" s="2776"/>
      <x:c r="F43" s="2776"/>
      <x:c r="G43" s="2776"/>
      <x:c r="H43" s="2777"/>
      <x:c r="I43" s="2953"/>
      <x:c r="J43" s="2954"/>
      <x:c r="K43" s="2954"/>
      <x:c r="L43" s="2954"/>
      <x:c r="M43" s="2954"/>
      <x:c r="N43" s="2954"/>
      <x:c r="O43" s="2954"/>
      <x:c r="P43" s="2954"/>
      <x:c r="Q43" s="2955"/>
      <x:c r="R43" s="2947"/>
      <x:c r="S43" s="2948"/>
      <x:c r="T43" s="2948"/>
      <x:c r="U43" s="2948"/>
      <x:c r="V43" s="2948"/>
      <x:c r="W43" s="2948"/>
      <x:c r="X43" s="2948"/>
      <x:c r="Y43" s="2948"/>
      <x:c r="Z43" s="2949"/>
    </x:row>
    <x:row r="44">
      <x:c r="A44" s="2775"/>
      <x:c r="B44" s="2776"/>
      <x:c r="C44" s="2776"/>
      <x:c r="D44" s="2776"/>
      <x:c r="E44" s="2776"/>
      <x:c r="F44" s="2776"/>
      <x:c r="G44" s="2776"/>
      <x:c r="H44" s="2777"/>
      <x:c r="I44" s="1277"/>
      <x:c r="J44" s="1277"/>
      <x:c r="K44" s="1277"/>
      <x:c r="L44" s="1277"/>
      <x:c r="M44" s="1385" t="str">
        <x:v>↓</x:v>
      </x:c>
      <x:c r="N44" s="1277"/>
      <x:c r="O44" s="1277"/>
      <x:c r="P44" s="1277"/>
      <x:c r="Q44" s="1277"/>
      <x:c r="R44" s="2947"/>
      <x:c r="S44" s="2948"/>
      <x:c r="T44" s="2948"/>
      <x:c r="U44" s="2948"/>
      <x:c r="V44" s="2948"/>
      <x:c r="W44" s="2948"/>
      <x:c r="X44" s="2948"/>
      <x:c r="Y44" s="2948"/>
      <x:c r="Z44" s="2949"/>
    </x:row>
    <x:row r="45">
      <x:c r="A45" s="2784"/>
      <x:c r="B45" s="2785"/>
      <x:c r="C45" s="2785"/>
      <x:c r="D45" s="2785"/>
      <x:c r="E45" s="2785"/>
      <x:c r="F45" s="2785"/>
      <x:c r="G45" s="2785"/>
      <x:c r="H45" s="2786"/>
      <x:c r="I45" s="2766" t="str">
        <x:v>E4 · CORTE + E5 · CIERRE OPERATIVO
EnmiendaOperativa si error real
≠ aceptación comercial</x:v>
      </x:c>
      <x:c r="J45" s="2767"/>
      <x:c r="K45" s="2767"/>
      <x:c r="L45" s="2767"/>
      <x:c r="M45" s="2767"/>
      <x:c r="N45" s="2767"/>
      <x:c r="O45" s="2767"/>
      <x:c r="P45" s="2767"/>
      <x:c r="Q45" s="2768"/>
      <x:c r="R45" s="2953"/>
      <x:c r="S45" s="2954"/>
      <x:c r="T45" s="2954"/>
      <x:c r="U45" s="2954"/>
      <x:c r="V45" s="2954"/>
      <x:c r="W45" s="2954"/>
      <x:c r="X45" s="2954"/>
      <x:c r="Y45" s="2954"/>
      <x:c r="Z45" s="2955"/>
    </x:row>
    <x:row r="46">
      <x:c r="A46" s="1277"/>
      <x:c r="B46" s="1277"/>
      <x:c r="C46" s="1277"/>
      <x:c r="D46" s="1277"/>
      <x:c r="E46" s="1277"/>
      <x:c r="F46" s="1277"/>
      <x:c r="G46" s="1277"/>
      <x:c r="H46" s="1277"/>
      <x:c r="I46" s="2775"/>
      <x:c r="J46" s="2776"/>
      <x:c r="K46" s="2776"/>
      <x:c r="L46" s="2776"/>
      <x:c r="M46" s="2776"/>
      <x:c r="N46" s="2776"/>
      <x:c r="O46" s="2776"/>
      <x:c r="P46" s="2776"/>
      <x:c r="Q46" s="2777"/>
      <x:c r="R46" s="1277"/>
      <x:c r="S46" s="1277"/>
      <x:c r="T46" s="1277"/>
      <x:c r="U46" s="1277"/>
      <x:c r="V46" s="1277"/>
      <x:c r="W46" s="1277"/>
      <x:c r="X46" s="1277"/>
      <x:c r="Y46" s="1277"/>
      <x:c r="Z46" s="1277"/>
    </x:row>
    <x:row r="47">
      <x:c r="A47" s="1277"/>
      <x:c r="B47" s="1277"/>
      <x:c r="C47" s="1277"/>
      <x:c r="D47" s="1277"/>
      <x:c r="E47" s="1277"/>
      <x:c r="F47" s="1277"/>
      <x:c r="G47" s="1277"/>
      <x:c r="H47" s="1277"/>
      <x:c r="I47" s="2784"/>
      <x:c r="J47" s="2785"/>
      <x:c r="K47" s="2785"/>
      <x:c r="L47" s="2785"/>
      <x:c r="M47" s="2785"/>
      <x:c r="N47" s="2785"/>
      <x:c r="O47" s="2785"/>
      <x:c r="P47" s="2785"/>
      <x:c r="Q47" s="2786"/>
      <x:c r="R47" s="1277"/>
      <x:c r="S47" s="1277"/>
      <x:c r="T47" s="1277"/>
      <x:c r="U47" s="1277"/>
      <x:c r="V47" s="1277"/>
      <x:c r="W47" s="1277"/>
      <x:c r="X47" s="1277"/>
      <x:c r="Y47" s="1277"/>
      <x:c r="Z47" s="1277"/>
    </x:row>
    <x:row r="48">
      <x:c r="A48" s="2966" t="str">
        <x:v>I-A · PLANIFICACIÓN → EJECUCIÓN · VERSIÓN APROBADA + EXECUTION CONTEXT BUNDLE</x:v>
      </x:c>
      <x:c r="B48" s="2966"/>
      <x:c r="C48" s="2966"/>
      <x:c r="D48" s="2966"/>
      <x:c r="E48" s="2966"/>
      <x:c r="F48" s="2966"/>
      <x:c r="G48" s="2966"/>
      <x:c r="H48" s="2966"/>
      <x:c r="I48" s="2966"/>
      <x:c r="J48" s="2966"/>
      <x:c r="K48" s="2966"/>
      <x:c r="L48" s="2966"/>
      <x:c r="M48" s="2966"/>
      <x:c r="N48" s="2966"/>
      <x:c r="O48" s="2966"/>
      <x:c r="P48" s="2966"/>
      <x:c r="Q48" s="2966"/>
      <x:c r="R48" s="1277"/>
      <x:c r="S48" s="1277"/>
      <x:c r="T48" s="1277"/>
      <x:c r="U48" s="1277"/>
      <x:c r="V48" s="1277"/>
      <x:c r="W48" s="1277"/>
      <x:c r="X48" s="1277"/>
      <x:c r="Y48" s="1277"/>
      <x:c r="Z48" s="1277"/>
    </x:row>
    <x:row r="49">
      <x:c r="A49" s="2967" t="str">
        <x:v>Asignación/UnidadesPlanificadas + contexto + ventana + recursos/personas previstos + pre-check + TipoParte previsto. Offline: reglas/catálogos/ubicaciones mínimos + context_valid_until_at + ruleset/catalog versions.</x:v>
      </x:c>
      <x:c r="B49" s="2967"/>
      <x:c r="C49" s="2967"/>
      <x:c r="D49" s="2967"/>
      <x:c r="E49" s="2967"/>
      <x:c r="F49" s="2967"/>
      <x:c r="G49" s="2967"/>
      <x:c r="H49" s="2967"/>
      <x:c r="I49" s="2967"/>
      <x:c r="J49" s="2967"/>
      <x:c r="K49" s="2967"/>
      <x:c r="L49" s="2967"/>
      <x:c r="M49" s="2967"/>
      <x:c r="N49" s="2967"/>
      <x:c r="O49" s="2967"/>
      <x:c r="P49" s="2967"/>
      <x:c r="Q49" s="2967"/>
      <x:c r="R49" s="1277"/>
      <x:c r="S49" s="1277"/>
      <x:c r="T49" s="1277"/>
      <x:c r="U49" s="1277"/>
      <x:c r="V49" s="1277"/>
      <x:c r="W49" s="1277"/>
      <x:c r="X49" s="1277"/>
      <x:c r="Y49" s="1277"/>
      <x:c r="Z49" s="1277"/>
    </x:row>
    <x:row r="50">
      <x:c r="A50" s="2967"/>
      <x:c r="B50" s="2967"/>
      <x:c r="C50" s="2967"/>
      <x:c r="D50" s="2967"/>
      <x:c r="E50" s="2967"/>
      <x:c r="F50" s="2967"/>
      <x:c r="G50" s="2967"/>
      <x:c r="H50" s="2967"/>
      <x:c r="I50" s="2967"/>
      <x:c r="J50" s="2967"/>
      <x:c r="K50" s="2967"/>
      <x:c r="L50" s="2967"/>
      <x:c r="M50" s="2967"/>
      <x:c r="N50" s="2967"/>
      <x:c r="O50" s="2967"/>
      <x:c r="P50" s="2967"/>
      <x:c r="Q50" s="2967"/>
      <x:c r="R50" s="1277"/>
      <x:c r="S50" s="1277"/>
      <x:c r="T50" s="1277"/>
      <x:c r="U50" s="1277"/>
      <x:c r="V50" s="1277"/>
      <x:c r="W50" s="1277"/>
      <x:c r="X50" s="1277"/>
      <x:c r="Y50" s="1277"/>
      <x:c r="Z50" s="1277"/>
    </x:row>
    <x:row r="51">
      <x:c r="A51" s="2967"/>
      <x:c r="B51" s="2967"/>
      <x:c r="C51" s="2967"/>
      <x:c r="D51" s="2967"/>
      <x:c r="E51" s="2967"/>
      <x:c r="F51" s="2967"/>
      <x:c r="G51" s="2967"/>
      <x:c r="H51" s="2967"/>
      <x:c r="I51" s="2967"/>
      <x:c r="J51" s="2967"/>
      <x:c r="K51" s="2967"/>
      <x:c r="L51" s="2967"/>
      <x:c r="M51" s="2967"/>
      <x:c r="N51" s="2967"/>
      <x:c r="O51" s="2967"/>
      <x:c r="P51" s="2967"/>
      <x:c r="Q51" s="2967"/>
      <x:c r="R51" s="1277"/>
      <x:c r="S51" s="1277"/>
      <x:c r="T51" s="1277"/>
      <x:c r="U51" s="1277"/>
      <x:c r="V51" s="1277"/>
      <x:c r="W51" s="1277"/>
      <x:c r="X51" s="1277"/>
      <x:c r="Y51" s="1277"/>
      <x:c r="Z51" s="1277"/>
    </x:row>
    <x:row r="52">
      <x:c r="A52" s="2967"/>
      <x:c r="B52" s="2967"/>
      <x:c r="C52" s="2967"/>
      <x:c r="D52" s="2967"/>
      <x:c r="E52" s="2967"/>
      <x:c r="F52" s="2967"/>
      <x:c r="G52" s="2967"/>
      <x:c r="H52" s="2967"/>
      <x:c r="I52" s="2967"/>
      <x:c r="J52" s="2967"/>
      <x:c r="K52" s="2967"/>
      <x:c r="L52" s="2967"/>
      <x:c r="M52" s="2967"/>
      <x:c r="N52" s="2967"/>
      <x:c r="O52" s="2967"/>
      <x:c r="P52" s="2967"/>
      <x:c r="Q52" s="2967"/>
      <x:c r="R52" s="1277"/>
      <x:c r="S52" s="1277"/>
      <x:c r="T52" s="1277"/>
      <x:c r="U52" s="1277"/>
      <x:c r="V52" s="1277"/>
      <x:c r="W52" s="1277"/>
      <x:c r="X52" s="1277"/>
      <x:c r="Y52" s="1277"/>
      <x:c r="Z52" s="1277"/>
    </x:row>
    <x:row r="53">
      <x:c r="A53" s="1277"/>
      <x:c r="B53" s="1277"/>
      <x:c r="C53" s="1277"/>
      <x:c r="D53" s="1277"/>
      <x:c r="E53" s="1277"/>
      <x:c r="F53" s="1277"/>
      <x:c r="G53" s="1277"/>
      <x:c r="H53" s="1277"/>
      <x:c r="I53" s="1277"/>
      <x:c r="J53" s="1277"/>
      <x:c r="K53" s="1277"/>
      <x:c r="L53" s="1277"/>
      <x:c r="M53" s="1277"/>
      <x:c r="N53" s="1277"/>
      <x:c r="O53" s="1277"/>
      <x:c r="P53" s="1277"/>
      <x:c r="Q53" s="1277"/>
      <x:c r="R53" s="1277"/>
      <x:c r="S53" s="1277"/>
      <x:c r="T53" s="1277"/>
      <x:c r="U53" s="1277"/>
      <x:c r="V53" s="1277"/>
      <x:c r="W53" s="1277"/>
      <x:c r="X53" s="1277"/>
      <x:c r="Y53" s="1277"/>
      <x:c r="Z53" s="1277"/>
    </x:row>
    <x:row r="54">
      <x:c r="A54" s="1277"/>
      <x:c r="B54" s="1277"/>
      <x:c r="C54" s="1277"/>
      <x:c r="D54" s="1277"/>
      <x:c r="E54" s="1277"/>
      <x:c r="F54" s="1277"/>
      <x:c r="G54" s="1277"/>
      <x:c r="H54" s="1277"/>
      <x:c r="I54" s="1277"/>
      <x:c r="J54" s="1277"/>
      <x:c r="K54" s="1277"/>
      <x:c r="L54" s="1277"/>
      <x:c r="M54" s="1277"/>
      <x:c r="N54" s="1277"/>
      <x:c r="O54" s="1277"/>
      <x:c r="P54" s="1277"/>
      <x:c r="Q54" s="1277"/>
      <x:c r="R54" s="1277"/>
      <x:c r="S54" s="1277"/>
      <x:c r="T54" s="1277"/>
      <x:c r="U54" s="1277"/>
      <x:c r="V54" s="1277"/>
      <x:c r="W54" s="1277"/>
      <x:c r="X54" s="1277"/>
      <x:c r="Y54" s="1277"/>
      <x:c r="Z54" s="1277"/>
    </x:row>
    <x:row r="55">
      <x:c r="A55" s="1277"/>
      <x:c r="B55" s="1277"/>
      <x:c r="C55" s="1277"/>
      <x:c r="D55" s="1277"/>
      <x:c r="E55" s="1277"/>
      <x:c r="F55" s="1277"/>
      <x:c r="G55" s="1277"/>
      <x:c r="H55" s="1277"/>
      <x:c r="I55" s="2966" t="str">
        <x:v>I-B · EJECUCIÓN → CERTIFICACIÓN · VERDAD NORMALIZADA + LINEAGE</x:v>
      </x:c>
      <x:c r="J55" s="2966"/>
      <x:c r="K55" s="2966"/>
      <x:c r="L55" s="2966"/>
      <x:c r="M55" s="2966"/>
      <x:c r="N55" s="2966"/>
      <x:c r="O55" s="2966"/>
      <x:c r="P55" s="2966"/>
      <x:c r="Q55" s="2966"/>
      <x:c r="R55" s="2966"/>
      <x:c r="S55" s="2966"/>
      <x:c r="T55" s="2966"/>
      <x:c r="U55" s="2966"/>
      <x:c r="V55" s="2966"/>
      <x:c r="W55" s="2966"/>
      <x:c r="X55" s="2966"/>
      <x:c r="Y55" s="2966"/>
      <x:c r="Z55" s="2966"/>
    </x:row>
    <x:row r="56">
      <x:c r="A56" s="1277"/>
      <x:c r="B56" s="1277"/>
      <x:c r="C56" s="1277"/>
      <x:c r="D56" s="1277"/>
      <x:c r="E56" s="1277"/>
      <x:c r="F56" s="1277"/>
      <x:c r="G56" s="1277"/>
      <x:c r="H56" s="1277"/>
      <x:c r="I56" s="2967" t="str">
        <x:v>UE + ubicación/activo real + intervalos persona/recurso + EventoTiempo/Transiciones + CC/Item + medición/evidencia + desvíos + PlanificacionVersion + versión fuente de ejecución + EnmiendasOperativas.</x:v>
      </x:c>
      <x:c r="J56" s="2967"/>
      <x:c r="K56" s="2967"/>
      <x:c r="L56" s="2967"/>
      <x:c r="M56" s="2967"/>
      <x:c r="N56" s="2967"/>
      <x:c r="O56" s="2967"/>
      <x:c r="P56" s="2967"/>
      <x:c r="Q56" s="2967"/>
      <x:c r="R56" s="2967"/>
      <x:c r="S56" s="2967"/>
      <x:c r="T56" s="2967"/>
      <x:c r="U56" s="2967"/>
      <x:c r="V56" s="2967"/>
      <x:c r="W56" s="2967"/>
      <x:c r="X56" s="2967"/>
      <x:c r="Y56" s="2967"/>
      <x:c r="Z56" s="2967"/>
    </x:row>
    <x:row r="57">
      <x:c r="A57" s="1277"/>
      <x:c r="B57" s="1277"/>
      <x:c r="C57" s="1277"/>
      <x:c r="D57" s="1277"/>
      <x:c r="E57" s="1277"/>
      <x:c r="F57" s="1277"/>
      <x:c r="G57" s="1277"/>
      <x:c r="H57" s="1277"/>
      <x:c r="I57" s="2967"/>
      <x:c r="J57" s="2967"/>
      <x:c r="K57" s="2967"/>
      <x:c r="L57" s="2967"/>
      <x:c r="M57" s="2967"/>
      <x:c r="N57" s="2967"/>
      <x:c r="O57" s="2967"/>
      <x:c r="P57" s="2967"/>
      <x:c r="Q57" s="2967"/>
      <x:c r="R57" s="2967"/>
      <x:c r="S57" s="2967"/>
      <x:c r="T57" s="2967"/>
      <x:c r="U57" s="2967"/>
      <x:c r="V57" s="2967"/>
      <x:c r="W57" s="2967"/>
      <x:c r="X57" s="2967"/>
      <x:c r="Y57" s="2967"/>
      <x:c r="Z57" s="2967"/>
    </x:row>
    <x:row r="58">
      <x:c r="A58" s="1277"/>
      <x:c r="B58" s="1277"/>
      <x:c r="C58" s="1277"/>
      <x:c r="D58" s="1277"/>
      <x:c r="E58" s="1277"/>
      <x:c r="F58" s="1277"/>
      <x:c r="G58" s="1277"/>
      <x:c r="H58" s="1277"/>
      <x:c r="I58" s="2967"/>
      <x:c r="J58" s="2967"/>
      <x:c r="K58" s="2967"/>
      <x:c r="L58" s="2967"/>
      <x:c r="M58" s="2967"/>
      <x:c r="N58" s="2967"/>
      <x:c r="O58" s="2967"/>
      <x:c r="P58" s="2967"/>
      <x:c r="Q58" s="2967"/>
      <x:c r="R58" s="2967"/>
      <x:c r="S58" s="2967"/>
      <x:c r="T58" s="2967"/>
      <x:c r="U58" s="2967"/>
      <x:c r="V58" s="2967"/>
      <x:c r="W58" s="2967"/>
      <x:c r="X58" s="2967"/>
      <x:c r="Y58" s="2967"/>
      <x:c r="Z58" s="2967"/>
    </x:row>
    <x:row r="59">
      <x:c r="A59" s="1277"/>
      <x:c r="B59" s="1277"/>
      <x:c r="C59" s="1277"/>
      <x:c r="D59" s="1277"/>
      <x:c r="E59" s="1277"/>
      <x:c r="F59" s="1277"/>
      <x:c r="G59" s="1277"/>
      <x:c r="H59" s="1277"/>
      <x:c r="I59" s="2967"/>
      <x:c r="J59" s="2967"/>
      <x:c r="K59" s="2967"/>
      <x:c r="L59" s="2967"/>
      <x:c r="M59" s="2967"/>
      <x:c r="N59" s="2967"/>
      <x:c r="O59" s="2967"/>
      <x:c r="P59" s="2967"/>
      <x:c r="Q59" s="2967"/>
      <x:c r="R59" s="2967"/>
      <x:c r="S59" s="2967"/>
      <x:c r="T59" s="2967"/>
      <x:c r="U59" s="2967"/>
      <x:c r="V59" s="2967"/>
      <x:c r="W59" s="2967"/>
      <x:c r="X59" s="2967"/>
      <x:c r="Y59" s="2967"/>
      <x:c r="Z59" s="2967"/>
    </x:row>
    <x:row r="60">
      <x:c r="A60" s="1277"/>
      <x:c r="B60" s="1277"/>
      <x:c r="C60" s="1277"/>
      <x:c r="D60" s="1277"/>
      <x:c r="E60" s="1277"/>
      <x:c r="F60" s="1277"/>
      <x:c r="G60" s="1277"/>
      <x:c r="H60" s="1277"/>
      <x:c r="I60" s="1277"/>
      <x:c r="J60" s="1277"/>
      <x:c r="K60" s="1277"/>
      <x:c r="L60" s="1277"/>
      <x:c r="M60" s="1277"/>
      <x:c r="N60" s="1277"/>
      <x:c r="O60" s="1277"/>
      <x:c r="P60" s="1277"/>
      <x:c r="Q60" s="1277"/>
      <x:c r="R60" s="1277"/>
      <x:c r="S60" s="1277"/>
      <x:c r="T60" s="1277"/>
      <x:c r="U60" s="1277"/>
      <x:c r="V60" s="1277"/>
      <x:c r="W60" s="1277"/>
      <x:c r="X60" s="1277"/>
      <x:c r="Y60" s="1277"/>
      <x:c r="Z60" s="1277"/>
    </x:row>
    <x:row r="61">
      <x:c r="A61" s="1277"/>
      <x:c r="B61" s="1277"/>
      <x:c r="C61" s="1277"/>
      <x:c r="D61" s="1277"/>
      <x:c r="E61" s="1277"/>
      <x:c r="F61" s="1277"/>
      <x:c r="G61" s="1277"/>
      <x:c r="H61" s="1277"/>
      <x:c r="I61" s="1277"/>
      <x:c r="J61" s="1277"/>
      <x:c r="K61" s="1277"/>
      <x:c r="L61" s="1277"/>
      <x:c r="M61" s="1277"/>
      <x:c r="N61" s="1277"/>
      <x:c r="O61" s="1277"/>
      <x:c r="P61" s="1277"/>
      <x:c r="Q61" s="1277"/>
      <x:c r="R61" s="1277"/>
      <x:c r="S61" s="1277"/>
      <x:c r="T61" s="1277"/>
      <x:c r="U61" s="1277"/>
      <x:c r="V61" s="1277"/>
      <x:c r="W61" s="1277"/>
      <x:c r="X61" s="1277"/>
      <x:c r="Y61" s="1277"/>
      <x:c r="Z61" s="1277"/>
    </x:row>
    <x:row r="62">
      <x:c r="A62" s="2977" t="str">
        <x:v>02 — DYNAMIC READINESS / ANTICIPATION · LO CONFIRMADO PUEDE VOLVERSE NO_READY</x:v>
      </x:c>
      <x:c r="B62" s="2977"/>
      <x:c r="C62" s="2977"/>
      <x:c r="D62" s="2977"/>
      <x:c r="E62" s="2977"/>
      <x:c r="F62" s="2977"/>
      <x:c r="G62" s="2977"/>
      <x:c r="H62" s="2977"/>
      <x:c r="I62" s="2977"/>
      <x:c r="J62" s="2977"/>
      <x:c r="K62" s="2977"/>
      <x:c r="L62" s="2977"/>
      <x:c r="M62" s="2977"/>
      <x:c r="N62" s="2977"/>
      <x:c r="O62" s="2977"/>
      <x:c r="P62" s="2977"/>
      <x:c r="Q62" s="2977"/>
      <x:c r="R62" s="2977"/>
      <x:c r="S62" s="2977"/>
      <x:c r="T62" s="2977"/>
      <x:c r="U62" s="2977"/>
      <x:c r="V62" s="2977"/>
      <x:c r="W62" s="2977"/>
      <x:c r="X62" s="2977"/>
      <x:c r="Y62" s="2977"/>
      <x:c r="Z62" s="2977"/>
    </x:row>
    <x:row r="63">
      <x:c r="A63" s="1277"/>
      <x:c r="B63" s="1277"/>
      <x:c r="C63" s="1277"/>
      <x:c r="D63" s="1277"/>
      <x:c r="E63" s="1277"/>
      <x:c r="F63" s="1277"/>
      <x:c r="G63" s="1277"/>
      <x:c r="H63" s="1277"/>
      <x:c r="I63" s="1277"/>
      <x:c r="J63" s="1277"/>
      <x:c r="K63" s="1277"/>
      <x:c r="L63" s="1277"/>
      <x:c r="M63" s="1277"/>
      <x:c r="N63" s="1277"/>
      <x:c r="O63" s="1277"/>
      <x:c r="P63" s="1277"/>
      <x:c r="Q63" s="1277"/>
      <x:c r="R63" s="1277"/>
      <x:c r="S63" s="1277"/>
      <x:c r="T63" s="1277"/>
      <x:c r="U63" s="1277"/>
      <x:c r="V63" s="1277"/>
      <x:c r="W63" s="1277"/>
      <x:c r="X63" s="1277"/>
      <x:c r="Y63" s="1277"/>
      <x:c r="Z63" s="1277"/>
    </x:row>
    <x:row r="64">
      <x:c r="A64" s="2760" t="str">
        <x:v>READINESS
EVALUADO
estado + causas
valido_hasta</x:v>
      </x:c>
      <x:c r="B64" s="2761"/>
      <x:c r="C64" s="2761"/>
      <x:c r="D64" s="2761"/>
      <x:c r="E64" s="2761"/>
      <x:c r="F64" s="2762"/>
      <x:c r="G64" s="1277"/>
      <x:c r="H64" s="2763" t="str">
        <x:v>CAMBIA DEPENDENCIA
documento · disponibilidad
fecha · alcance · contrato</x:v>
      </x:c>
      <x:c r="I64" s="2764"/>
      <x:c r="J64" s="2764"/>
      <x:c r="K64" s="2764"/>
      <x:c r="L64" s="2764"/>
      <x:c r="M64" s="2765"/>
      <x:c r="N64" s="1277"/>
      <x:c r="O64" s="2766" t="str">
        <x:v>EVENTO INVALIDACIÓN
→ REEVALUAR
→ ALERTA</x:v>
      </x:c>
      <x:c r="P64" s="2767"/>
      <x:c r="Q64" s="2767"/>
      <x:c r="R64" s="2767"/>
      <x:c r="S64" s="2767"/>
      <x:c r="T64" s="2768"/>
      <x:c r="U64" s="1277"/>
      <x:c r="V64" s="2942" t="str">
        <x:v>READY / NO_READY
antes de despacho
y Start Work</x:v>
      </x:c>
      <x:c r="W64" s="2943"/>
      <x:c r="X64" s="2943"/>
      <x:c r="Y64" s="2943"/>
      <x:c r="Z64" s="2944"/>
    </x:row>
    <x:row r="65">
      <x:c r="A65" s="2769"/>
      <x:c r="B65" s="2770"/>
      <x:c r="C65" s="2770"/>
      <x:c r="D65" s="2770"/>
      <x:c r="E65" s="2770"/>
      <x:c r="F65" s="2771"/>
      <x:c r="G65" s="1277"/>
      <x:c r="H65" s="2772"/>
      <x:c r="I65" s="2773"/>
      <x:c r="J65" s="2773"/>
      <x:c r="K65" s="2773"/>
      <x:c r="L65" s="2773"/>
      <x:c r="M65" s="2774"/>
      <x:c r="N65" s="1277"/>
      <x:c r="O65" s="2775"/>
      <x:c r="P65" s="2776"/>
      <x:c r="Q65" s="2776"/>
      <x:c r="R65" s="2776"/>
      <x:c r="S65" s="2776"/>
      <x:c r="T65" s="2777"/>
      <x:c r="U65" s="1277"/>
      <x:c r="V65" s="2947"/>
      <x:c r="W65" s="2948"/>
      <x:c r="X65" s="2948"/>
      <x:c r="Y65" s="2948"/>
      <x:c r="Z65" s="2949"/>
    </x:row>
    <x:row r="66">
      <x:c r="A66" s="2769"/>
      <x:c r="B66" s="2770"/>
      <x:c r="C66" s="2770"/>
      <x:c r="D66" s="2770"/>
      <x:c r="E66" s="2770"/>
      <x:c r="F66" s="2771"/>
      <x:c r="G66" s="1297" t="str">
        <x:v>→</x:v>
      </x:c>
      <x:c r="H66" s="2772"/>
      <x:c r="I66" s="2773"/>
      <x:c r="J66" s="2773"/>
      <x:c r="K66" s="2773"/>
      <x:c r="L66" s="2773"/>
      <x:c r="M66" s="2774"/>
      <x:c r="N66" s="1297" t="str">
        <x:v>→</x:v>
      </x:c>
      <x:c r="O66" s="2775"/>
      <x:c r="P66" s="2776"/>
      <x:c r="Q66" s="2776"/>
      <x:c r="R66" s="2776"/>
      <x:c r="S66" s="2776"/>
      <x:c r="T66" s="2777"/>
      <x:c r="U66" s="1297" t="str">
        <x:v>→</x:v>
      </x:c>
      <x:c r="V66" s="2947"/>
      <x:c r="W66" s="2948"/>
      <x:c r="X66" s="2948"/>
      <x:c r="Y66" s="2948"/>
      <x:c r="Z66" s="2949"/>
    </x:row>
    <x:row r="67">
      <x:c r="A67" s="2769"/>
      <x:c r="B67" s="2770"/>
      <x:c r="C67" s="2770"/>
      <x:c r="D67" s="2770"/>
      <x:c r="E67" s="2770"/>
      <x:c r="F67" s="2771"/>
      <x:c r="G67" s="1277"/>
      <x:c r="H67" s="2772"/>
      <x:c r="I67" s="2773"/>
      <x:c r="J67" s="2773"/>
      <x:c r="K67" s="2773"/>
      <x:c r="L67" s="2773"/>
      <x:c r="M67" s="2774"/>
      <x:c r="N67" s="1277"/>
      <x:c r="O67" s="2775"/>
      <x:c r="P67" s="2776"/>
      <x:c r="Q67" s="2776"/>
      <x:c r="R67" s="2776"/>
      <x:c r="S67" s="2776"/>
      <x:c r="T67" s="2777"/>
      <x:c r="U67" s="1277"/>
      <x:c r="V67" s="2947"/>
      <x:c r="W67" s="2948"/>
      <x:c r="X67" s="2948"/>
      <x:c r="Y67" s="2948"/>
      <x:c r="Z67" s="2949"/>
    </x:row>
    <x:row r="68">
      <x:c r="A68" s="2778"/>
      <x:c r="B68" s="2779"/>
      <x:c r="C68" s="2779"/>
      <x:c r="D68" s="2779"/>
      <x:c r="E68" s="2779"/>
      <x:c r="F68" s="2780"/>
      <x:c r="G68" s="1277"/>
      <x:c r="H68" s="2781"/>
      <x:c r="I68" s="2782"/>
      <x:c r="J68" s="2782"/>
      <x:c r="K68" s="2782"/>
      <x:c r="L68" s="2782"/>
      <x:c r="M68" s="2783"/>
      <x:c r="N68" s="1277"/>
      <x:c r="O68" s="2784"/>
      <x:c r="P68" s="2785"/>
      <x:c r="Q68" s="2785"/>
      <x:c r="R68" s="2785"/>
      <x:c r="S68" s="2785"/>
      <x:c r="T68" s="2786"/>
      <x:c r="U68" s="1277"/>
      <x:c r="V68" s="2953"/>
      <x:c r="W68" s="2954"/>
      <x:c r="X68" s="2954"/>
      <x:c r="Y68" s="2954"/>
      <x:c r="Z68" s="2955"/>
    </x:row>
    <x:row r="69">
      <x:c r="A69" s="1277"/>
      <x:c r="B69" s="1277"/>
      <x:c r="C69" s="1277"/>
      <x:c r="D69" s="1277"/>
      <x:c r="E69" s="1277"/>
      <x:c r="F69" s="1277"/>
      <x:c r="G69" s="1277"/>
      <x:c r="H69" s="1277"/>
      <x:c r="I69" s="1277"/>
      <x:c r="J69" s="1277"/>
      <x:c r="K69" s="1277"/>
      <x:c r="L69" s="1277"/>
      <x:c r="M69" s="1277"/>
      <x:c r="N69" s="1277"/>
      <x:c r="O69" s="1277"/>
      <x:c r="P69" s="1277"/>
      <x:c r="Q69" s="1277"/>
      <x:c r="R69" s="1277"/>
      <x:c r="S69" s="1277"/>
      <x:c r="T69" s="1277"/>
      <x:c r="U69" s="1277"/>
      <x:c r="V69" s="1277"/>
      <x:c r="W69" s="1277"/>
      <x:c r="X69" s="1277"/>
      <x:c r="Y69" s="1277"/>
      <x:c r="Z69" s="1277"/>
    </x:row>
    <x:row r="70">
      <x:c r="A70" s="1277"/>
      <x:c r="B70" s="1277"/>
      <x:c r="C70" s="1277"/>
      <x:c r="D70" s="1277"/>
      <x:c r="E70" s="1277"/>
      <x:c r="F70" s="1277"/>
      <x:c r="G70" s="1277"/>
      <x:c r="H70" s="1277"/>
      <x:c r="I70" s="1277"/>
      <x:c r="J70" s="1277"/>
      <x:c r="K70" s="1277"/>
      <x:c r="L70" s="1277"/>
      <x:c r="M70" s="1277"/>
      <x:c r="N70" s="1277"/>
      <x:c r="O70" s="1277"/>
      <x:c r="P70" s="1277"/>
      <x:c r="Q70" s="1277"/>
      <x:c r="R70" s="1277"/>
      <x:c r="S70" s="1277"/>
      <x:c r="T70" s="1277"/>
      <x:c r="U70" s="1277"/>
      <x:c r="V70" s="1277"/>
      <x:c r="W70" s="1277"/>
      <x:c r="X70" s="1277"/>
      <x:c r="Y70" s="1277"/>
      <x:c r="Z70" s="1277"/>
    </x:row>
    <x:row r="71">
      <x:c r="A71" s="2977" t="str">
        <x:v>03 — CONTROL PLANE · DIRECTIVAS POST-DESPACHO + FRESCURA OFFLINE</x:v>
      </x:c>
      <x:c r="B71" s="2977"/>
      <x:c r="C71" s="2977"/>
      <x:c r="D71" s="2977"/>
      <x:c r="E71" s="2977"/>
      <x:c r="F71" s="2977"/>
      <x:c r="G71" s="2977"/>
      <x:c r="H71" s="2977"/>
      <x:c r="I71" s="2977"/>
      <x:c r="J71" s="2977"/>
      <x:c r="K71" s="2977"/>
      <x:c r="L71" s="2977"/>
      <x:c r="M71" s="2977"/>
      <x:c r="N71" s="2977"/>
      <x:c r="O71" s="2977"/>
      <x:c r="P71" s="2977"/>
      <x:c r="Q71" s="2977"/>
      <x:c r="R71" s="2977"/>
      <x:c r="S71" s="2977"/>
      <x:c r="T71" s="2977"/>
      <x:c r="U71" s="2977"/>
      <x:c r="V71" s="2977"/>
      <x:c r="W71" s="2977"/>
      <x:c r="X71" s="2977"/>
      <x:c r="Y71" s="2977"/>
      <x:c r="Z71" s="2977"/>
    </x:row>
    <x:row r="72">
      <x:c r="A72" s="1277"/>
      <x:c r="B72" s="1277"/>
      <x:c r="C72" s="1277"/>
      <x:c r="D72" s="1277"/>
      <x:c r="E72" s="1277"/>
      <x:c r="F72" s="1277"/>
      <x:c r="G72" s="1277"/>
      <x:c r="H72" s="1277"/>
      <x:c r="I72" s="1277"/>
      <x:c r="J72" s="1277"/>
      <x:c r="K72" s="1277"/>
      <x:c r="L72" s="1277"/>
      <x:c r="M72" s="1277"/>
      <x:c r="N72" s="1277"/>
      <x:c r="O72" s="1277"/>
      <x:c r="P72" s="1277"/>
      <x:c r="Q72" s="1277"/>
      <x:c r="R72" s="1277"/>
      <x:c r="S72" s="1277"/>
      <x:c r="T72" s="1277"/>
      <x:c r="U72" s="1277"/>
      <x:c r="V72" s="1277"/>
      <x:c r="W72" s="1277"/>
      <x:c r="X72" s="1277"/>
      <x:c r="Y72" s="1277"/>
      <x:c r="Z72" s="1277"/>
    </x:row>
    <x:row r="73">
      <x:c r="A73" s="2942" t="str">
        <x:v>PLANIFICACIÓN /
SUPERVISIÓN
emitir</x:v>
      </x:c>
      <x:c r="B73" s="2943"/>
      <x:c r="C73" s="2943"/>
      <x:c r="D73" s="2943"/>
      <x:c r="E73" s="2943"/>
      <x:c r="F73" s="2944"/>
      <x:c r="G73" s="1277"/>
      <x:c r="H73" s="2766" t="str">
        <x:v>DIRECTIVA OPERATIVA
cancelar · suspender
reprogramar · cambiar alcance</x:v>
      </x:c>
      <x:c r="I73" s="2767"/>
      <x:c r="J73" s="2767"/>
      <x:c r="K73" s="2767"/>
      <x:c r="L73" s="2767"/>
      <x:c r="M73" s="2768"/>
      <x:c r="N73" s="1277"/>
      <x:c r="O73" s="2942" t="str">
        <x:v>TABLET / EJECUCIÓN
received → ACK
aplicada / rechazada</x:v>
      </x:c>
      <x:c r="P73" s="2943"/>
      <x:c r="Q73" s="2943"/>
      <x:c r="R73" s="2943"/>
      <x:c r="S73" s="2943"/>
      <x:c r="T73" s="2944"/>
      <x:c r="U73" s="1277"/>
      <x:c r="V73" s="2763" t="str">
        <x:v>BUNDLE FRESCO?
sync · bloqueo
emergencia autorizada</x:v>
      </x:c>
      <x:c r="W73" s="2764"/>
      <x:c r="X73" s="2764"/>
      <x:c r="Y73" s="2764"/>
      <x:c r="Z73" s="2765"/>
    </x:row>
    <x:row r="74">
      <x:c r="A74" s="2947"/>
      <x:c r="B74" s="2948"/>
      <x:c r="C74" s="2948"/>
      <x:c r="D74" s="2948"/>
      <x:c r="E74" s="2948"/>
      <x:c r="F74" s="2949"/>
      <x:c r="G74" s="1277"/>
      <x:c r="H74" s="2775"/>
      <x:c r="I74" s="2776"/>
      <x:c r="J74" s="2776"/>
      <x:c r="K74" s="2776"/>
      <x:c r="L74" s="2776"/>
      <x:c r="M74" s="2777"/>
      <x:c r="N74" s="1277"/>
      <x:c r="O74" s="2947"/>
      <x:c r="P74" s="2948"/>
      <x:c r="Q74" s="2948"/>
      <x:c r="R74" s="2948"/>
      <x:c r="S74" s="2948"/>
      <x:c r="T74" s="2949"/>
      <x:c r="U74" s="1277"/>
      <x:c r="V74" s="2772"/>
      <x:c r="W74" s="2773"/>
      <x:c r="X74" s="2773"/>
      <x:c r="Y74" s="2773"/>
      <x:c r="Z74" s="2774"/>
    </x:row>
    <x:row r="75">
      <x:c r="A75" s="2947"/>
      <x:c r="B75" s="2948"/>
      <x:c r="C75" s="2948"/>
      <x:c r="D75" s="2948"/>
      <x:c r="E75" s="2948"/>
      <x:c r="F75" s="2949"/>
      <x:c r="G75" s="1297" t="str">
        <x:v>→</x:v>
      </x:c>
      <x:c r="H75" s="2775"/>
      <x:c r="I75" s="2776"/>
      <x:c r="J75" s="2776"/>
      <x:c r="K75" s="2776"/>
      <x:c r="L75" s="2776"/>
      <x:c r="M75" s="2777"/>
      <x:c r="N75" s="1297" t="str">
        <x:v>→</x:v>
      </x:c>
      <x:c r="O75" s="2947"/>
      <x:c r="P75" s="2948"/>
      <x:c r="Q75" s="2948"/>
      <x:c r="R75" s="2948"/>
      <x:c r="S75" s="2948"/>
      <x:c r="T75" s="2949"/>
      <x:c r="U75" s="1297" t="str">
        <x:v>→</x:v>
      </x:c>
      <x:c r="V75" s="2772"/>
      <x:c r="W75" s="2773"/>
      <x:c r="X75" s="2773"/>
      <x:c r="Y75" s="2773"/>
      <x:c r="Z75" s="2774"/>
    </x:row>
    <x:row r="76">
      <x:c r="A76" s="2947"/>
      <x:c r="B76" s="2948"/>
      <x:c r="C76" s="2948"/>
      <x:c r="D76" s="2948"/>
      <x:c r="E76" s="2948"/>
      <x:c r="F76" s="2949"/>
      <x:c r="G76" s="1277"/>
      <x:c r="H76" s="2775"/>
      <x:c r="I76" s="2776"/>
      <x:c r="J76" s="2776"/>
      <x:c r="K76" s="2776"/>
      <x:c r="L76" s="2776"/>
      <x:c r="M76" s="2777"/>
      <x:c r="N76" s="1277"/>
      <x:c r="O76" s="2947"/>
      <x:c r="P76" s="2948"/>
      <x:c r="Q76" s="2948"/>
      <x:c r="R76" s="2948"/>
      <x:c r="S76" s="2948"/>
      <x:c r="T76" s="2949"/>
      <x:c r="U76" s="1277"/>
      <x:c r="V76" s="2772"/>
      <x:c r="W76" s="2773"/>
      <x:c r="X76" s="2773"/>
      <x:c r="Y76" s="2773"/>
      <x:c r="Z76" s="2774"/>
    </x:row>
    <x:row r="77">
      <x:c r="A77" s="2953"/>
      <x:c r="B77" s="2954"/>
      <x:c r="C77" s="2954"/>
      <x:c r="D77" s="2954"/>
      <x:c r="E77" s="2954"/>
      <x:c r="F77" s="2955"/>
      <x:c r="G77" s="1277"/>
      <x:c r="H77" s="2784"/>
      <x:c r="I77" s="2785"/>
      <x:c r="J77" s="2785"/>
      <x:c r="K77" s="2785"/>
      <x:c r="L77" s="2785"/>
      <x:c r="M77" s="2786"/>
      <x:c r="N77" s="1277"/>
      <x:c r="O77" s="2953"/>
      <x:c r="P77" s="2954"/>
      <x:c r="Q77" s="2954"/>
      <x:c r="R77" s="2954"/>
      <x:c r="S77" s="2954"/>
      <x:c r="T77" s="2955"/>
      <x:c r="U77" s="1277"/>
      <x:c r="V77" s="2781"/>
      <x:c r="W77" s="2782"/>
      <x:c r="X77" s="2782"/>
      <x:c r="Y77" s="2782"/>
      <x:c r="Z77" s="2783"/>
    </x:row>
    <x:row r="78">
      <x:c r="A78" s="1277"/>
      <x:c r="B78" s="1277"/>
      <x:c r="C78" s="1277"/>
      <x:c r="D78" s="1277"/>
      <x:c r="E78" s="1277"/>
      <x:c r="F78" s="1277"/>
      <x:c r="G78" s="1277"/>
      <x:c r="H78" s="1277"/>
      <x:c r="I78" s="1277"/>
      <x:c r="J78" s="1277"/>
      <x:c r="K78" s="1277"/>
      <x:c r="L78" s="1277"/>
      <x:c r="M78" s="1277"/>
      <x:c r="N78" s="1277"/>
      <x:c r="O78" s="1277"/>
      <x:c r="P78" s="1277"/>
      <x:c r="Q78" s="1277"/>
      <x:c r="R78" s="1277"/>
      <x:c r="S78" s="1277"/>
      <x:c r="T78" s="1277"/>
      <x:c r="U78" s="1277"/>
      <x:c r="V78" s="1277"/>
      <x:c r="W78" s="1277"/>
      <x:c r="X78" s="1277"/>
      <x:c r="Y78" s="1277"/>
      <x:c r="Z78" s="1277"/>
    </x:row>
    <x:row r="79">
      <x:c r="A79" s="1277"/>
      <x:c r="B79" s="1277"/>
      <x:c r="C79" s="1277"/>
      <x:c r="D79" s="1277"/>
      <x:c r="E79" s="1277"/>
      <x:c r="F79" s="1277"/>
      <x:c r="G79" s="1277"/>
      <x:c r="H79" s="1277"/>
      <x:c r="I79" s="1277"/>
      <x:c r="J79" s="1277"/>
      <x:c r="K79" s="1277"/>
      <x:c r="L79" s="1277"/>
      <x:c r="M79" s="1277"/>
      <x:c r="N79" s="1277"/>
      <x:c r="O79" s="1277"/>
      <x:c r="P79" s="1277"/>
      <x:c r="Q79" s="1277"/>
      <x:c r="R79" s="1277"/>
      <x:c r="S79" s="1277"/>
      <x:c r="T79" s="1277"/>
      <x:c r="U79" s="1277"/>
      <x:c r="V79" s="1277"/>
      <x:c r="W79" s="1277"/>
      <x:c r="X79" s="1277"/>
      <x:c r="Y79" s="1277"/>
      <x:c r="Z79" s="1277"/>
    </x:row>
    <x:row r="80">
      <x:c r="A80" s="2977" t="str">
        <x:v>04 — HABILITA / GOVERNANCE PLANE · BLOQUEO, OVERRIDE Y PTW</x:v>
      </x:c>
      <x:c r="B80" s="2977"/>
      <x:c r="C80" s="2977"/>
      <x:c r="D80" s="2977"/>
      <x:c r="E80" s="2977"/>
      <x:c r="F80" s="2977"/>
      <x:c r="G80" s="2977"/>
      <x:c r="H80" s="2977"/>
      <x:c r="I80" s="2977"/>
      <x:c r="J80" s="2977"/>
      <x:c r="K80" s="2977"/>
      <x:c r="L80" s="2977"/>
      <x:c r="M80" s="2977"/>
      <x:c r="N80" s="2977"/>
      <x:c r="O80" s="2977"/>
      <x:c r="P80" s="2977"/>
      <x:c r="Q80" s="2977"/>
      <x:c r="R80" s="2977"/>
      <x:c r="S80" s="2977"/>
      <x:c r="T80" s="2977"/>
      <x:c r="U80" s="2977"/>
      <x:c r="V80" s="2977"/>
      <x:c r="W80" s="2977"/>
      <x:c r="X80" s="2977"/>
      <x:c r="Y80" s="2977"/>
      <x:c r="Z80" s="2977"/>
    </x:row>
    <x:row r="81">
      <x:c r="A81" s="1277"/>
      <x:c r="B81" s="1277"/>
      <x:c r="C81" s="1277"/>
      <x:c r="D81" s="1277"/>
      <x:c r="E81" s="1277"/>
      <x:c r="F81" s="1277"/>
      <x:c r="G81" s="1277"/>
      <x:c r="H81" s="1277"/>
      <x:c r="I81" s="1277"/>
      <x:c r="J81" s="1277"/>
      <x:c r="K81" s="1277"/>
      <x:c r="L81" s="1277"/>
      <x:c r="M81" s="1277"/>
      <x:c r="N81" s="1277"/>
      <x:c r="O81" s="1277"/>
      <x:c r="P81" s="1277"/>
      <x:c r="Q81" s="1277"/>
      <x:c r="R81" s="1277"/>
      <x:c r="S81" s="1277"/>
      <x:c r="T81" s="1277"/>
      <x:c r="U81" s="1277"/>
      <x:c r="V81" s="1277"/>
      <x:c r="W81" s="1277"/>
      <x:c r="X81" s="1277"/>
      <x:c r="Y81" s="1277"/>
      <x:c r="Z81" s="1277"/>
    </x:row>
    <x:row r="82">
      <x:c r="A82" s="2942" t="str">
        <x:v>EVALUACIÓN
habilita · advierte · bloquea</x:v>
      </x:c>
      <x:c r="B82" s="2943"/>
      <x:c r="C82" s="2943"/>
      <x:c r="D82" s="2943"/>
      <x:c r="E82" s="2943"/>
      <x:c r="F82" s="2944"/>
      <x:c r="G82" s="1277"/>
      <x:c r="H82" s="2957" t="str">
        <x:v>ADVERTENCIA
¿overrideable?
OverrideGate + autoridad</x:v>
      </x:c>
      <x:c r="I82" s="2958"/>
      <x:c r="J82" s="2958"/>
      <x:c r="K82" s="2958"/>
      <x:c r="L82" s="2958"/>
      <x:c r="M82" s="2959"/>
      <x:c r="N82" s="1277"/>
      <x:c r="O82" s="2763" t="str">
        <x:v>PTW / START WORK
suspend · handover · restart</x:v>
      </x:c>
      <x:c r="P82" s="2764"/>
      <x:c r="Q82" s="2764"/>
      <x:c r="R82" s="2764"/>
      <x:c r="S82" s="2764"/>
      <x:c r="T82" s="2765"/>
      <x:c r="U82" s="1277"/>
      <x:c r="V82" s="2968" t="str">
        <x:v>CIERRE NORMAL /
ADMIN. AUTORIZADO
NUNCA timeout silencioso</x:v>
      </x:c>
      <x:c r="W82" s="2969"/>
      <x:c r="X82" s="2969"/>
      <x:c r="Y82" s="2969"/>
      <x:c r="Z82" s="2970"/>
    </x:row>
    <x:row r="83">
      <x:c r="A83" s="2947"/>
      <x:c r="B83" s="2948"/>
      <x:c r="C83" s="2948"/>
      <x:c r="D83" s="2948"/>
      <x:c r="E83" s="2948"/>
      <x:c r="F83" s="2949"/>
      <x:c r="G83" s="1277"/>
      <x:c r="H83" s="2960"/>
      <x:c r="I83" s="2961"/>
      <x:c r="J83" s="2961"/>
      <x:c r="K83" s="2961"/>
      <x:c r="L83" s="2961"/>
      <x:c r="M83" s="2962"/>
      <x:c r="N83" s="1277"/>
      <x:c r="O83" s="2772"/>
      <x:c r="P83" s="2773"/>
      <x:c r="Q83" s="2773"/>
      <x:c r="R83" s="2773"/>
      <x:c r="S83" s="2773"/>
      <x:c r="T83" s="2774"/>
      <x:c r="U83" s="1277"/>
      <x:c r="V83" s="2971"/>
      <x:c r="W83" s="2770"/>
      <x:c r="X83" s="2770"/>
      <x:c r="Y83" s="2770"/>
      <x:c r="Z83" s="2972"/>
    </x:row>
    <x:row r="84">
      <x:c r="A84" s="2947"/>
      <x:c r="B84" s="2948"/>
      <x:c r="C84" s="2948"/>
      <x:c r="D84" s="2948"/>
      <x:c r="E84" s="2948"/>
      <x:c r="F84" s="2949"/>
      <x:c r="G84" s="1297" t="str">
        <x:v>→</x:v>
      </x:c>
      <x:c r="H84" s="2960"/>
      <x:c r="I84" s="2961"/>
      <x:c r="J84" s="2961"/>
      <x:c r="K84" s="2961"/>
      <x:c r="L84" s="2961"/>
      <x:c r="M84" s="2962"/>
      <x:c r="N84" s="1297" t="str">
        <x:v>→</x:v>
      </x:c>
      <x:c r="O84" s="2772"/>
      <x:c r="P84" s="2773"/>
      <x:c r="Q84" s="2773"/>
      <x:c r="R84" s="2773"/>
      <x:c r="S84" s="2773"/>
      <x:c r="T84" s="2774"/>
      <x:c r="U84" s="1297" t="str">
        <x:v>→</x:v>
      </x:c>
      <x:c r="V84" s="2971"/>
      <x:c r="W84" s="2770"/>
      <x:c r="X84" s="2770"/>
      <x:c r="Y84" s="2770"/>
      <x:c r="Z84" s="2972"/>
    </x:row>
    <x:row r="85">
      <x:c r="A85" s="2947"/>
      <x:c r="B85" s="2948"/>
      <x:c r="C85" s="2948"/>
      <x:c r="D85" s="2948"/>
      <x:c r="E85" s="2948"/>
      <x:c r="F85" s="2949"/>
      <x:c r="G85" s="1277"/>
      <x:c r="H85" s="2960"/>
      <x:c r="I85" s="2961"/>
      <x:c r="J85" s="2961"/>
      <x:c r="K85" s="2961"/>
      <x:c r="L85" s="2961"/>
      <x:c r="M85" s="2962"/>
      <x:c r="N85" s="1277"/>
      <x:c r="O85" s="2772"/>
      <x:c r="P85" s="2773"/>
      <x:c r="Q85" s="2773"/>
      <x:c r="R85" s="2773"/>
      <x:c r="S85" s="2773"/>
      <x:c r="T85" s="2774"/>
      <x:c r="U85" s="1277"/>
      <x:c r="V85" s="2971"/>
      <x:c r="W85" s="2770"/>
      <x:c r="X85" s="2770"/>
      <x:c r="Y85" s="2770"/>
      <x:c r="Z85" s="2972"/>
    </x:row>
    <x:row r="86">
      <x:c r="A86" s="2953"/>
      <x:c r="B86" s="2954"/>
      <x:c r="C86" s="2954"/>
      <x:c r="D86" s="2954"/>
      <x:c r="E86" s="2954"/>
      <x:c r="F86" s="2955"/>
      <x:c r="G86" s="1277"/>
      <x:c r="H86" s="2963"/>
      <x:c r="I86" s="2964"/>
      <x:c r="J86" s="2964"/>
      <x:c r="K86" s="2964"/>
      <x:c r="L86" s="2964"/>
      <x:c r="M86" s="2965"/>
      <x:c r="N86" s="1277"/>
      <x:c r="O86" s="2781"/>
      <x:c r="P86" s="2782"/>
      <x:c r="Q86" s="2782"/>
      <x:c r="R86" s="2782"/>
      <x:c r="S86" s="2782"/>
      <x:c r="T86" s="2783"/>
      <x:c r="U86" s="1277"/>
      <x:c r="V86" s="2973"/>
      <x:c r="W86" s="2974"/>
      <x:c r="X86" s="2974"/>
      <x:c r="Y86" s="2974"/>
      <x:c r="Z86" s="2975"/>
    </x:row>
    <x:row r="87">
      <x:c r="A87" s="1277"/>
      <x:c r="B87" s="1277"/>
      <x:c r="C87" s="1277"/>
      <x:c r="D87" s="1277"/>
      <x:c r="E87" s="1277"/>
      <x:c r="F87" s="1277"/>
      <x:c r="G87" s="1277"/>
      <x:c r="H87" s="1277"/>
      <x:c r="I87" s="1277"/>
      <x:c r="J87" s="1277"/>
      <x:c r="K87" s="1277"/>
      <x:c r="L87" s="1277"/>
      <x:c r="M87" s="1277"/>
      <x:c r="N87" s="1277"/>
      <x:c r="O87" s="1277"/>
      <x:c r="P87" s="1277"/>
      <x:c r="Q87" s="1277"/>
      <x:c r="R87" s="1277"/>
      <x:c r="S87" s="1277"/>
      <x:c r="T87" s="1277"/>
      <x:c r="U87" s="1277"/>
      <x:c r="V87" s="1277"/>
      <x:c r="W87" s="1277"/>
      <x:c r="X87" s="1277"/>
      <x:c r="Y87" s="1277"/>
      <x:c r="Z87" s="1277"/>
    </x:row>
    <x:row r="88">
      <x:c r="A88" s="1277"/>
      <x:c r="B88" s="1277"/>
      <x:c r="C88" s="1277"/>
      <x:c r="D88" s="1277"/>
      <x:c r="E88" s="1277"/>
      <x:c r="F88" s="1277"/>
      <x:c r="G88" s="1277"/>
      <x:c r="H88" s="1277"/>
      <x:c r="I88" s="1277"/>
      <x:c r="J88" s="1277"/>
      <x:c r="K88" s="1277"/>
      <x:c r="L88" s="1277"/>
      <x:c r="M88" s="1277"/>
      <x:c r="N88" s="1277"/>
      <x:c r="O88" s="1277"/>
      <x:c r="P88" s="1277"/>
      <x:c r="Q88" s="1277"/>
      <x:c r="R88" s="1277"/>
      <x:c r="S88" s="1277"/>
      <x:c r="T88" s="1277"/>
      <x:c r="U88" s="1277"/>
      <x:c r="V88" s="1277"/>
      <x:c r="W88" s="1277"/>
      <x:c r="X88" s="1277"/>
      <x:c r="Y88" s="1277"/>
      <x:c r="Z88" s="1277"/>
    </x:row>
    <x:row r="89">
      <x:c r="A89" s="2977" t="str">
        <x:v>05 — CORRECTION + LINEAGE · QUÉ PASA CUANDO CAMBIA UNA VERDAD YA DERIVADA</x:v>
      </x:c>
      <x:c r="B89" s="2977"/>
      <x:c r="C89" s="2977"/>
      <x:c r="D89" s="2977"/>
      <x:c r="E89" s="2977"/>
      <x:c r="F89" s="2977"/>
      <x:c r="G89" s="2977"/>
      <x:c r="H89" s="2977"/>
      <x:c r="I89" s="2977"/>
      <x:c r="J89" s="2977"/>
      <x:c r="K89" s="2977"/>
      <x:c r="L89" s="2977"/>
      <x:c r="M89" s="2977"/>
      <x:c r="N89" s="2977"/>
      <x:c r="O89" s="2977"/>
      <x:c r="P89" s="2977"/>
      <x:c r="Q89" s="2977"/>
      <x:c r="R89" s="2977"/>
      <x:c r="S89" s="2977"/>
      <x:c r="T89" s="2977"/>
      <x:c r="U89" s="2977"/>
      <x:c r="V89" s="2977"/>
      <x:c r="W89" s="2977"/>
      <x:c r="X89" s="2977"/>
      <x:c r="Y89" s="2977"/>
      <x:c r="Z89" s="2977"/>
    </x:row>
    <x:row r="90">
      <x:c r="A90" s="1277"/>
      <x:c r="B90" s="1277"/>
      <x:c r="C90" s="1277"/>
      <x:c r="D90" s="1277"/>
      <x:c r="E90" s="1277"/>
      <x:c r="F90" s="1277"/>
      <x:c r="G90" s="1277"/>
      <x:c r="H90" s="1277"/>
      <x:c r="I90" s="1277"/>
      <x:c r="J90" s="1277"/>
      <x:c r="K90" s="1277"/>
      <x:c r="L90" s="1277"/>
      <x:c r="M90" s="1277"/>
      <x:c r="N90" s="1277"/>
      <x:c r="O90" s="1277"/>
      <x:c r="P90" s="1277"/>
      <x:c r="Q90" s="1277"/>
      <x:c r="R90" s="1277"/>
      <x:c r="S90" s="1277"/>
      <x:c r="T90" s="1277"/>
      <x:c r="U90" s="1277"/>
      <x:c r="V90" s="1277"/>
      <x:c r="W90" s="1277"/>
      <x:c r="X90" s="1277"/>
      <x:c r="Y90" s="1277"/>
      <x:c r="Z90" s="1277"/>
    </x:row>
    <x:row r="91">
      <x:c r="A91" s="2957" t="str">
        <x:v>ERROR REAL
ENMIENDA OPERATIVA
nueva versión ejecución</x:v>
      </x:c>
      <x:c r="B91" s="2958"/>
      <x:c r="C91" s="2958"/>
      <x:c r="D91" s="2958"/>
      <x:c r="E91" s="2958"/>
      <x:c r="F91" s="2958"/>
      <x:c r="G91" s="2958"/>
      <x:c r="H91" s="2959"/>
      <x:c r="I91" s="1277"/>
      <x:c r="J91" s="2766" t="str">
        <x:v>DETECTAR DERIVADOS
fuente versión vieja
→ REQUIERE_RECALCULO</x:v>
      </x:c>
      <x:c r="K91" s="2767"/>
      <x:c r="L91" s="2767"/>
      <x:c r="M91" s="2767"/>
      <x:c r="N91" s="2767"/>
      <x:c r="O91" s="2767"/>
      <x:c r="P91" s="2768"/>
      <x:c r="Q91" s="1277"/>
      <x:c r="R91" s="2763" t="str">
        <x:v>NO ACEPTADO: recalcular
YA ACEPTADO: revisión/reversión
(política V72)</x:v>
      </x:c>
      <x:c r="S91" s="2764"/>
      <x:c r="T91" s="2764"/>
      <x:c r="U91" s="2764"/>
      <x:c r="V91" s="2764"/>
      <x:c r="W91" s="2764"/>
      <x:c r="X91" s="2764"/>
      <x:c r="Y91" s="2764"/>
      <x:c r="Z91" s="2765"/>
    </x:row>
    <x:row r="92">
      <x:c r="A92" s="2960"/>
      <x:c r="B92" s="2961"/>
      <x:c r="C92" s="2961"/>
      <x:c r="D92" s="2961"/>
      <x:c r="E92" s="2961"/>
      <x:c r="F92" s="2961"/>
      <x:c r="G92" s="2961"/>
      <x:c r="H92" s="2962"/>
      <x:c r="I92" s="1277"/>
      <x:c r="J92" s="2775"/>
      <x:c r="K92" s="2776"/>
      <x:c r="L92" s="2776"/>
      <x:c r="M92" s="2776"/>
      <x:c r="N92" s="2776"/>
      <x:c r="O92" s="2776"/>
      <x:c r="P92" s="2777"/>
      <x:c r="Q92" s="1277"/>
      <x:c r="R92" s="2772"/>
      <x:c r="S92" s="2773"/>
      <x:c r="T92" s="2773"/>
      <x:c r="U92" s="2773"/>
      <x:c r="V92" s="2773"/>
      <x:c r="W92" s="2773"/>
      <x:c r="X92" s="2773"/>
      <x:c r="Y92" s="2773"/>
      <x:c r="Z92" s="2774"/>
    </x:row>
    <x:row r="93">
      <x:c r="A93" s="2960"/>
      <x:c r="B93" s="2961"/>
      <x:c r="C93" s="2961"/>
      <x:c r="D93" s="2961"/>
      <x:c r="E93" s="2961"/>
      <x:c r="F93" s="2961"/>
      <x:c r="G93" s="2961"/>
      <x:c r="H93" s="2962"/>
      <x:c r="I93" s="1297" t="str">
        <x:v>→</x:v>
      </x:c>
      <x:c r="J93" s="2775"/>
      <x:c r="K93" s="2776"/>
      <x:c r="L93" s="2776"/>
      <x:c r="M93" s="2776"/>
      <x:c r="N93" s="2776"/>
      <x:c r="O93" s="2776"/>
      <x:c r="P93" s="2777"/>
      <x:c r="Q93" s="1297" t="str">
        <x:v>→</x:v>
      </x:c>
      <x:c r="R93" s="2772"/>
      <x:c r="S93" s="2773"/>
      <x:c r="T93" s="2773"/>
      <x:c r="U93" s="2773"/>
      <x:c r="V93" s="2773"/>
      <x:c r="W93" s="2773"/>
      <x:c r="X93" s="2773"/>
      <x:c r="Y93" s="2773"/>
      <x:c r="Z93" s="2774"/>
    </x:row>
    <x:row r="94">
      <x:c r="A94" s="2960"/>
      <x:c r="B94" s="2961"/>
      <x:c r="C94" s="2961"/>
      <x:c r="D94" s="2961"/>
      <x:c r="E94" s="2961"/>
      <x:c r="F94" s="2961"/>
      <x:c r="G94" s="2961"/>
      <x:c r="H94" s="2962"/>
      <x:c r="I94" s="1277"/>
      <x:c r="J94" s="2775"/>
      <x:c r="K94" s="2776"/>
      <x:c r="L94" s="2776"/>
      <x:c r="M94" s="2776"/>
      <x:c r="N94" s="2776"/>
      <x:c r="O94" s="2776"/>
      <x:c r="P94" s="2777"/>
      <x:c r="Q94" s="1277"/>
      <x:c r="R94" s="2772"/>
      <x:c r="S94" s="2773"/>
      <x:c r="T94" s="2773"/>
      <x:c r="U94" s="2773"/>
      <x:c r="V94" s="2773"/>
      <x:c r="W94" s="2773"/>
      <x:c r="X94" s="2773"/>
      <x:c r="Y94" s="2773"/>
      <x:c r="Z94" s="2774"/>
    </x:row>
    <x:row r="95">
      <x:c r="A95" s="2963"/>
      <x:c r="B95" s="2964"/>
      <x:c r="C95" s="2964"/>
      <x:c r="D95" s="2964"/>
      <x:c r="E95" s="2964"/>
      <x:c r="F95" s="2964"/>
      <x:c r="G95" s="2964"/>
      <x:c r="H95" s="2965"/>
      <x:c r="I95" s="1277"/>
      <x:c r="J95" s="2784"/>
      <x:c r="K95" s="2785"/>
      <x:c r="L95" s="2785"/>
      <x:c r="M95" s="2785"/>
      <x:c r="N95" s="2785"/>
      <x:c r="O95" s="2785"/>
      <x:c r="P95" s="2786"/>
      <x:c r="Q95" s="1277"/>
      <x:c r="R95" s="2781"/>
      <x:c r="S95" s="2782"/>
      <x:c r="T95" s="2782"/>
      <x:c r="U95" s="2782"/>
      <x:c r="V95" s="2782"/>
      <x:c r="W95" s="2782"/>
      <x:c r="X95" s="2782"/>
      <x:c r="Y95" s="2782"/>
      <x:c r="Z95" s="2783"/>
    </x:row>
    <x:row r="96">
      <x:c r="A96" s="1277"/>
      <x:c r="B96" s="1277"/>
      <x:c r="C96" s="1277"/>
      <x:c r="D96" s="1277"/>
      <x:c r="E96" s="1277"/>
      <x:c r="F96" s="1277"/>
      <x:c r="G96" s="1277"/>
      <x:c r="H96" s="1277"/>
      <x:c r="I96" s="1277"/>
      <x:c r="J96" s="1277"/>
      <x:c r="K96" s="1277"/>
      <x:c r="L96" s="1277"/>
      <x:c r="M96" s="1277"/>
      <x:c r="N96" s="1277"/>
      <x:c r="O96" s="1277"/>
      <x:c r="P96" s="1277"/>
      <x:c r="Q96" s="1277"/>
      <x:c r="R96" s="1277"/>
      <x:c r="S96" s="1277"/>
      <x:c r="T96" s="1277"/>
      <x:c r="U96" s="1277"/>
      <x:c r="V96" s="1277"/>
      <x:c r="W96" s="1277"/>
      <x:c r="X96" s="1277"/>
      <x:c r="Y96" s="1277"/>
      <x:c r="Z96" s="1277"/>
    </x:row>
    <x:row r="97">
      <x:c r="A97" s="1277"/>
      <x:c r="B97" s="1277"/>
      <x:c r="C97" s="1277"/>
      <x:c r="D97" s="1277"/>
      <x:c r="E97" s="1277"/>
      <x:c r="F97" s="1277"/>
      <x:c r="G97" s="1277"/>
      <x:c r="H97" s="1277"/>
      <x:c r="I97" s="1277"/>
      <x:c r="J97" s="1277"/>
      <x:c r="K97" s="1277"/>
      <x:c r="L97" s="1277"/>
      <x:c r="M97" s="1277"/>
      <x:c r="N97" s="1277"/>
      <x:c r="O97" s="1277"/>
      <x:c r="P97" s="1277"/>
      <x:c r="Q97" s="1277"/>
      <x:c r="R97" s="1277"/>
      <x:c r="S97" s="1277"/>
      <x:c r="T97" s="1277"/>
      <x:c r="U97" s="1277"/>
      <x:c r="V97" s="1277"/>
      <x:c r="W97" s="1277"/>
      <x:c r="X97" s="1277"/>
      <x:c r="Y97" s="1277"/>
      <x:c r="Z97" s="1277"/>
    </x:row>
    <x:row r="98">
      <x:c r="A98" s="2977" t="str">
        <x:v>06 — TEMPORAL CONTINUITY BUS · SIN TIEMPO HUÉRFANO NI DOBLE USO</x:v>
      </x:c>
      <x:c r="B98" s="2977"/>
      <x:c r="C98" s="2977"/>
      <x:c r="D98" s="2977"/>
      <x:c r="E98" s="2977"/>
      <x:c r="F98" s="2977"/>
      <x:c r="G98" s="2977"/>
      <x:c r="H98" s="2977"/>
      <x:c r="I98" s="2977"/>
      <x:c r="J98" s="2977"/>
      <x:c r="K98" s="2977"/>
      <x:c r="L98" s="2977"/>
      <x:c r="M98" s="2977"/>
      <x:c r="N98" s="2977"/>
      <x:c r="O98" s="2977"/>
      <x:c r="P98" s="2977"/>
      <x:c r="Q98" s="2977"/>
      <x:c r="R98" s="2977"/>
      <x:c r="S98" s="2977"/>
      <x:c r="T98" s="2977"/>
      <x:c r="U98" s="2977"/>
      <x:c r="V98" s="2977"/>
      <x:c r="W98" s="2977"/>
      <x:c r="X98" s="2977"/>
      <x:c r="Y98" s="2977"/>
      <x:c r="Z98" s="2977"/>
    </x:row>
    <x:row r="99">
      <x:c r="A99" s="1277"/>
      <x:c r="B99" s="1277"/>
      <x:c r="C99" s="1277"/>
      <x:c r="D99" s="1277"/>
      <x:c r="E99" s="1277"/>
      <x:c r="F99" s="1277"/>
      <x:c r="G99" s="1277"/>
      <x:c r="H99" s="1277"/>
      <x:c r="I99" s="1277"/>
      <x:c r="J99" s="1277"/>
      <x:c r="K99" s="1277"/>
      <x:c r="L99" s="1277"/>
      <x:c r="M99" s="1277"/>
      <x:c r="N99" s="1277"/>
      <x:c r="O99" s="1277"/>
      <x:c r="P99" s="1277"/>
      <x:c r="Q99" s="1277"/>
      <x:c r="R99" s="1277"/>
      <x:c r="S99" s="1277"/>
      <x:c r="T99" s="1277"/>
      <x:c r="U99" s="1277"/>
      <x:c r="V99" s="1277"/>
      <x:c r="W99" s="1277"/>
      <x:c r="X99" s="1277"/>
      <x:c r="Y99" s="1277"/>
      <x:c r="Z99" s="1277"/>
    </x:row>
    <x:row r="100">
      <x:c r="A100" s="2942" t="str">
        <x:v>PERSONAS
AsignacionPersonaEjecucion
intervalos / handover</x:v>
      </x:c>
      <x:c r="B100" s="2943"/>
      <x:c r="C100" s="2943"/>
      <x:c r="D100" s="2943"/>
      <x:c r="E100" s="2943"/>
      <x:c r="F100" s="2944"/>
      <x:c r="G100" s="1277"/>
      <x:c r="H100" s="2942" t="str">
        <x:v>RECURSOS
AsignacionRecursoEjecucion
Disponibilidad + intervalos</x:v>
      </x:c>
      <x:c r="I100" s="2943"/>
      <x:c r="J100" s="2943"/>
      <x:c r="K100" s="2943"/>
      <x:c r="L100" s="2943"/>
      <x:c r="M100" s="2944"/>
      <x:c r="N100" s="1277"/>
      <x:c r="O100" s="2957" t="str">
        <x:v>TRANSICIÓN OPERATIVA
origen → traslado/espera → destino</x:v>
      </x:c>
      <x:c r="P100" s="2958"/>
      <x:c r="Q100" s="2958"/>
      <x:c r="R100" s="2958"/>
      <x:c r="S100" s="2958"/>
      <x:c r="T100" s="2959"/>
      <x:c r="U100" s="1277"/>
      <x:c r="V100" s="2766" t="str">
        <x:v>CONFLICTO TEMPORAL
ReglaSolapamiento
block / warn / override</x:v>
      </x:c>
      <x:c r="W100" s="2767"/>
      <x:c r="X100" s="2767"/>
      <x:c r="Y100" s="2767"/>
      <x:c r="Z100" s="2768"/>
    </x:row>
    <x:row r="101">
      <x:c r="A101" s="2947"/>
      <x:c r="B101" s="2948"/>
      <x:c r="C101" s="2948"/>
      <x:c r="D101" s="2948"/>
      <x:c r="E101" s="2948"/>
      <x:c r="F101" s="2949"/>
      <x:c r="G101" s="1277"/>
      <x:c r="H101" s="2947"/>
      <x:c r="I101" s="2948"/>
      <x:c r="J101" s="2948"/>
      <x:c r="K101" s="2948"/>
      <x:c r="L101" s="2948"/>
      <x:c r="M101" s="2949"/>
      <x:c r="N101" s="1277"/>
      <x:c r="O101" s="2960"/>
      <x:c r="P101" s="2961"/>
      <x:c r="Q101" s="2961"/>
      <x:c r="R101" s="2961"/>
      <x:c r="S101" s="2961"/>
      <x:c r="T101" s="2962"/>
      <x:c r="U101" s="1277"/>
      <x:c r="V101" s="2775"/>
      <x:c r="W101" s="2776"/>
      <x:c r="X101" s="2776"/>
      <x:c r="Y101" s="2776"/>
      <x:c r="Z101" s="2777"/>
    </x:row>
    <x:row r="102">
      <x:c r="A102" s="2947"/>
      <x:c r="B102" s="2948"/>
      <x:c r="C102" s="2948"/>
      <x:c r="D102" s="2948"/>
      <x:c r="E102" s="2948"/>
      <x:c r="F102" s="2949"/>
      <x:c r="G102" s="1277"/>
      <x:c r="H102" s="2947"/>
      <x:c r="I102" s="2948"/>
      <x:c r="J102" s="2948"/>
      <x:c r="K102" s="2948"/>
      <x:c r="L102" s="2948"/>
      <x:c r="M102" s="2949"/>
      <x:c r="N102" s="1277"/>
      <x:c r="O102" s="2960"/>
      <x:c r="P102" s="2961"/>
      <x:c r="Q102" s="2961"/>
      <x:c r="R102" s="2961"/>
      <x:c r="S102" s="2961"/>
      <x:c r="T102" s="2962"/>
      <x:c r="U102" s="1277"/>
      <x:c r="V102" s="2775"/>
      <x:c r="W102" s="2776"/>
      <x:c r="X102" s="2776"/>
      <x:c r="Y102" s="2776"/>
      <x:c r="Z102" s="2777"/>
    </x:row>
    <x:row r="103">
      <x:c r="A103" s="2947"/>
      <x:c r="B103" s="2948"/>
      <x:c r="C103" s="2948"/>
      <x:c r="D103" s="2948"/>
      <x:c r="E103" s="2948"/>
      <x:c r="F103" s="2949"/>
      <x:c r="G103" s="1277"/>
      <x:c r="H103" s="2947"/>
      <x:c r="I103" s="2948"/>
      <x:c r="J103" s="2948"/>
      <x:c r="K103" s="2948"/>
      <x:c r="L103" s="2948"/>
      <x:c r="M103" s="2949"/>
      <x:c r="N103" s="1277"/>
      <x:c r="O103" s="2960"/>
      <x:c r="P103" s="2961"/>
      <x:c r="Q103" s="2961"/>
      <x:c r="R103" s="2961"/>
      <x:c r="S103" s="2961"/>
      <x:c r="T103" s="2962"/>
      <x:c r="U103" s="1277"/>
      <x:c r="V103" s="2775"/>
      <x:c r="W103" s="2776"/>
      <x:c r="X103" s="2776"/>
      <x:c r="Y103" s="2776"/>
      <x:c r="Z103" s="2777"/>
    </x:row>
    <x:row r="104">
      <x:c r="A104" s="2953"/>
      <x:c r="B104" s="2954"/>
      <x:c r="C104" s="2954"/>
      <x:c r="D104" s="2954"/>
      <x:c r="E104" s="2954"/>
      <x:c r="F104" s="2955"/>
      <x:c r="G104" s="1277"/>
      <x:c r="H104" s="2953"/>
      <x:c r="I104" s="2954"/>
      <x:c r="J104" s="2954"/>
      <x:c r="K104" s="2954"/>
      <x:c r="L104" s="2954"/>
      <x:c r="M104" s="2955"/>
      <x:c r="N104" s="1277"/>
      <x:c r="O104" s="2963"/>
      <x:c r="P104" s="2964"/>
      <x:c r="Q104" s="2964"/>
      <x:c r="R104" s="2964"/>
      <x:c r="S104" s="2964"/>
      <x:c r="T104" s="2965"/>
      <x:c r="U104" s="1277"/>
      <x:c r="V104" s="2784"/>
      <x:c r="W104" s="2785"/>
      <x:c r="X104" s="2785"/>
      <x:c r="Y104" s="2785"/>
      <x:c r="Z104" s="2786"/>
    </x:row>
    <x:row r="105">
      <x:c r="A105" s="1277"/>
      <x:c r="B105" s="1277"/>
      <x:c r="C105" s="1277"/>
      <x:c r="D105" s="1277"/>
      <x:c r="E105" s="1277"/>
      <x:c r="F105" s="1277"/>
      <x:c r="G105" s="1277"/>
      <x:c r="H105" s="1277"/>
      <x:c r="I105" s="1277"/>
      <x:c r="J105" s="1277"/>
      <x:c r="K105" s="1277"/>
      <x:c r="L105" s="1277"/>
      <x:c r="M105" s="1277"/>
      <x:c r="N105" s="1277"/>
      <x:c r="O105" s="1277"/>
      <x:c r="P105" s="1277"/>
      <x:c r="Q105" s="1277"/>
      <x:c r="R105" s="1277"/>
      <x:c r="S105" s="1277"/>
      <x:c r="T105" s="1277"/>
      <x:c r="U105" s="1277"/>
      <x:c r="V105" s="1277"/>
      <x:c r="W105" s="1277"/>
      <x:c r="X105" s="1277"/>
      <x:c r="Y105" s="1277"/>
      <x:c r="Z105" s="1277"/>
    </x:row>
    <x:row r="106">
      <x:c r="A106" s="1277"/>
      <x:c r="B106" s="1277"/>
      <x:c r="C106" s="1277"/>
      <x:c r="D106" s="1277"/>
      <x:c r="E106" s="1277"/>
      <x:c r="F106" s="1277"/>
      <x:c r="G106" s="1277"/>
      <x:c r="H106" s="1277"/>
      <x:c r="I106" s="1277"/>
      <x:c r="J106" s="1277"/>
      <x:c r="K106" s="1277"/>
      <x:c r="L106" s="1277"/>
      <x:c r="M106" s="1277"/>
      <x:c r="N106" s="1277"/>
      <x:c r="O106" s="1277"/>
      <x:c r="P106" s="1277"/>
      <x:c r="Q106" s="1277"/>
      <x:c r="R106" s="1277"/>
      <x:c r="S106" s="1277"/>
      <x:c r="T106" s="1277"/>
      <x:c r="U106" s="1277"/>
      <x:c r="V106" s="1277"/>
      <x:c r="W106" s="1277"/>
      <x:c r="X106" s="1277"/>
      <x:c r="Y106" s="1277"/>
      <x:c r="Z106" s="1277"/>
    </x:row>
    <x:row r="107">
      <x:c r="A107" s="2977" t="str">
        <x:v>07 — TRACE BUS · RECONSTRUIR PLANIFICADO / REAL / APROBADO / CERTIFICADO / FACTURADO</x:v>
      </x:c>
      <x:c r="B107" s="2977"/>
      <x:c r="C107" s="2977"/>
      <x:c r="D107" s="2977"/>
      <x:c r="E107" s="2977"/>
      <x:c r="F107" s="2977"/>
      <x:c r="G107" s="2977"/>
      <x:c r="H107" s="2977"/>
      <x:c r="I107" s="2977"/>
      <x:c r="J107" s="2977"/>
      <x:c r="K107" s="2977"/>
      <x:c r="L107" s="2977"/>
      <x:c r="M107" s="2977"/>
      <x:c r="N107" s="2977"/>
      <x:c r="O107" s="2977"/>
      <x:c r="P107" s="2977"/>
      <x:c r="Q107" s="2977"/>
      <x:c r="R107" s="2977"/>
      <x:c r="S107" s="2977"/>
      <x:c r="T107" s="2977"/>
      <x:c r="U107" s="2977"/>
      <x:c r="V107" s="2977"/>
      <x:c r="W107" s="2977"/>
      <x:c r="X107" s="2977"/>
      <x:c r="Y107" s="2977"/>
      <x:c r="Z107" s="2977"/>
    </x:row>
    <x:row r="108">
      <x:c r="A108" s="1277"/>
      <x:c r="B108" s="1277"/>
      <x:c r="C108" s="1277"/>
      <x:c r="D108" s="1277"/>
      <x:c r="E108" s="1277"/>
      <x:c r="F108" s="1277"/>
      <x:c r="G108" s="1277"/>
      <x:c r="H108" s="1277"/>
      <x:c r="I108" s="1277"/>
      <x:c r="J108" s="1277"/>
      <x:c r="K108" s="1277"/>
      <x:c r="L108" s="1277"/>
      <x:c r="M108" s="1277"/>
      <x:c r="N108" s="1277"/>
      <x:c r="O108" s="1277"/>
      <x:c r="P108" s="1277"/>
      <x:c r="Q108" s="1277"/>
      <x:c r="R108" s="1277"/>
      <x:c r="S108" s="1277"/>
      <x:c r="T108" s="1277"/>
      <x:c r="U108" s="1277"/>
      <x:c r="V108" s="1277"/>
      <x:c r="W108" s="1277"/>
      <x:c r="X108" s="1277"/>
      <x:c r="Y108" s="1277"/>
      <x:c r="Z108" s="1277"/>
    </x:row>
    <x:row r="109">
      <x:c r="A109" s="2942" t="str">
        <x:v>PLAN VERSIONES
readiness · directivas
ACK</x:v>
      </x:c>
      <x:c r="B109" s="2943"/>
      <x:c r="C109" s="2943"/>
      <x:c r="D109" s="2943"/>
      <x:c r="E109" s="2943"/>
      <x:c r="F109" s="2944"/>
      <x:c r="G109" s="1277"/>
      <x:c r="H109" s="2942" t="str">
        <x:v>EJECUCIÓN
UE · personas/recursos
PTW · transiciones</x:v>
      </x:c>
      <x:c r="I109" s="2943"/>
      <x:c r="J109" s="2943"/>
      <x:c r="K109" s="2943"/>
      <x:c r="L109" s="2943"/>
      <x:c r="M109" s="2944"/>
      <x:c r="N109" s="1277"/>
      <x:c r="O109" s="2942" t="str">
        <x:v>CORRECCIONES
Enmiendas · overrides
observaciones</x:v>
      </x:c>
      <x:c r="P109" s="2943"/>
      <x:c r="Q109" s="2943"/>
      <x:c r="R109" s="2943"/>
      <x:c r="S109" s="2943"/>
      <x:c r="T109" s="2944"/>
      <x:c r="U109" s="1277"/>
      <x:c r="V109" s="2942" t="str">
        <x:v>COMERCIAL
lineage UC · paquetes
ajustes · factura</x:v>
      </x:c>
      <x:c r="W109" s="2943"/>
      <x:c r="X109" s="2943"/>
      <x:c r="Y109" s="2943"/>
      <x:c r="Z109" s="2944"/>
    </x:row>
    <x:row r="110">
      <x:c r="A110" s="2947"/>
      <x:c r="B110" s="2948"/>
      <x:c r="C110" s="2948"/>
      <x:c r="D110" s="2948"/>
      <x:c r="E110" s="2948"/>
      <x:c r="F110" s="2949"/>
      <x:c r="G110" s="1277"/>
      <x:c r="H110" s="2947"/>
      <x:c r="I110" s="2948"/>
      <x:c r="J110" s="2948"/>
      <x:c r="K110" s="2948"/>
      <x:c r="L110" s="2948"/>
      <x:c r="M110" s="2949"/>
      <x:c r="N110" s="1277"/>
      <x:c r="O110" s="2947"/>
      <x:c r="P110" s="2948"/>
      <x:c r="Q110" s="2948"/>
      <x:c r="R110" s="2948"/>
      <x:c r="S110" s="2948"/>
      <x:c r="T110" s="2949"/>
      <x:c r="U110" s="1277"/>
      <x:c r="V110" s="2947"/>
      <x:c r="W110" s="2948"/>
      <x:c r="X110" s="2948"/>
      <x:c r="Y110" s="2948"/>
      <x:c r="Z110" s="2949"/>
    </x:row>
    <x:row r="111">
      <x:c r="A111" s="2947"/>
      <x:c r="B111" s="2948"/>
      <x:c r="C111" s="2948"/>
      <x:c r="D111" s="2948"/>
      <x:c r="E111" s="2948"/>
      <x:c r="F111" s="2949"/>
      <x:c r="G111" s="1277"/>
      <x:c r="H111" s="2947"/>
      <x:c r="I111" s="2948"/>
      <x:c r="J111" s="2948"/>
      <x:c r="K111" s="2948"/>
      <x:c r="L111" s="2948"/>
      <x:c r="M111" s="2949"/>
      <x:c r="N111" s="1277"/>
      <x:c r="O111" s="2947"/>
      <x:c r="P111" s="2948"/>
      <x:c r="Q111" s="2948"/>
      <x:c r="R111" s="2948"/>
      <x:c r="S111" s="2948"/>
      <x:c r="T111" s="2949"/>
      <x:c r="U111" s="1277"/>
      <x:c r="V111" s="2947"/>
      <x:c r="W111" s="2948"/>
      <x:c r="X111" s="2948"/>
      <x:c r="Y111" s="2948"/>
      <x:c r="Z111" s="2949"/>
    </x:row>
    <x:row r="112">
      <x:c r="A112" s="2947"/>
      <x:c r="B112" s="2948"/>
      <x:c r="C112" s="2948"/>
      <x:c r="D112" s="2948"/>
      <x:c r="E112" s="2948"/>
      <x:c r="F112" s="2949"/>
      <x:c r="G112" s="1277"/>
      <x:c r="H112" s="2947"/>
      <x:c r="I112" s="2948"/>
      <x:c r="J112" s="2948"/>
      <x:c r="K112" s="2948"/>
      <x:c r="L112" s="2948"/>
      <x:c r="M112" s="2949"/>
      <x:c r="N112" s="1277"/>
      <x:c r="O112" s="2947"/>
      <x:c r="P112" s="2948"/>
      <x:c r="Q112" s="2948"/>
      <x:c r="R112" s="2948"/>
      <x:c r="S112" s="2948"/>
      <x:c r="T112" s="2949"/>
      <x:c r="U112" s="1277"/>
      <x:c r="V112" s="2947"/>
      <x:c r="W112" s="2948"/>
      <x:c r="X112" s="2948"/>
      <x:c r="Y112" s="2948"/>
      <x:c r="Z112" s="2949"/>
    </x:row>
    <x:row r="113">
      <x:c r="A113" s="2953"/>
      <x:c r="B113" s="2954"/>
      <x:c r="C113" s="2954"/>
      <x:c r="D113" s="2954"/>
      <x:c r="E113" s="2954"/>
      <x:c r="F113" s="2955"/>
      <x:c r="G113" s="1277"/>
      <x:c r="H113" s="2953"/>
      <x:c r="I113" s="2954"/>
      <x:c r="J113" s="2954"/>
      <x:c r="K113" s="2954"/>
      <x:c r="L113" s="2954"/>
      <x:c r="M113" s="2955"/>
      <x:c r="N113" s="1277"/>
      <x:c r="O113" s="2953"/>
      <x:c r="P113" s="2954"/>
      <x:c r="Q113" s="2954"/>
      <x:c r="R113" s="2954"/>
      <x:c r="S113" s="2954"/>
      <x:c r="T113" s="2955"/>
      <x:c r="U113" s="1277"/>
      <x:c r="V113" s="2953"/>
      <x:c r="W113" s="2954"/>
      <x:c r="X113" s="2954"/>
      <x:c r="Y113" s="2954"/>
      <x:c r="Z113" s="2955"/>
    </x:row>
    <x:row r="114">
      <x:c r="A114" s="1277"/>
      <x:c r="B114" s="1277"/>
      <x:c r="C114" s="1277"/>
      <x:c r="D114" s="1277"/>
      <x:c r="E114" s="1277"/>
      <x:c r="F114" s="1277"/>
      <x:c r="G114" s="1277"/>
      <x:c r="H114" s="1277"/>
      <x:c r="I114" s="1277"/>
      <x:c r="J114" s="1277"/>
      <x:c r="K114" s="1277"/>
      <x:c r="L114" s="1277"/>
      <x:c r="M114" s="1277"/>
      <x:c r="N114" s="1277"/>
      <x:c r="O114" s="1277"/>
      <x:c r="P114" s="1277"/>
      <x:c r="Q114" s="1277"/>
      <x:c r="R114" s="1277"/>
      <x:c r="S114" s="1277"/>
      <x:c r="T114" s="1277"/>
      <x:c r="U114" s="1277"/>
      <x:c r="V114" s="1277"/>
      <x:c r="W114" s="1277"/>
      <x:c r="X114" s="1277"/>
      <x:c r="Y114" s="1277"/>
      <x:c r="Z114" s="1277"/>
    </x:row>
    <x:row r="115">
      <x:c r="A115" s="1277"/>
      <x:c r="B115" s="1277"/>
      <x:c r="C115" s="1277"/>
      <x:c r="D115" s="1277"/>
      <x:c r="E115" s="1277"/>
      <x:c r="F115" s="1277"/>
      <x:c r="G115" s="1277"/>
      <x:c r="H115" s="1277"/>
      <x:c r="I115" s="1277"/>
      <x:c r="J115" s="1277"/>
      <x:c r="K115" s="1277"/>
      <x:c r="L115" s="1277"/>
      <x:c r="M115" s="1277"/>
      <x:c r="N115" s="1277"/>
      <x:c r="O115" s="1277"/>
      <x:c r="P115" s="1277"/>
      <x:c r="Q115" s="1277"/>
      <x:c r="R115" s="1277"/>
      <x:c r="S115" s="1277"/>
      <x:c r="T115" s="1277"/>
      <x:c r="U115" s="1277"/>
      <x:c r="V115" s="1277"/>
      <x:c r="W115" s="1277"/>
      <x:c r="X115" s="1277"/>
      <x:c r="Y115" s="1277"/>
      <x:c r="Z115" s="1277"/>
    </x:row>
    <x:row r="116">
      <x:c r="A116" s="2956" t="str">
        <x:v>ESTADO REV D.5 · RESULTADO DEL STRESS TEST</x:v>
      </x:c>
      <x:c r="B116" s="2956"/>
      <x:c r="C116" s="2956"/>
      <x:c r="D116" s="2956"/>
      <x:c r="E116" s="2956"/>
      <x:c r="F116" s="2956"/>
      <x:c r="G116" s="2956"/>
      <x:c r="H116" s="2956"/>
      <x:c r="I116" s="2956"/>
      <x:c r="J116" s="2956"/>
      <x:c r="K116" s="2956"/>
      <x:c r="L116" s="2956"/>
      <x:c r="M116" s="2956"/>
      <x:c r="N116" s="2956"/>
      <x:c r="O116" s="2956"/>
      <x:c r="P116" s="2956"/>
      <x:c r="Q116" s="2956"/>
      <x:c r="R116" s="2956"/>
      <x:c r="S116" s="2956"/>
      <x:c r="T116" s="2956"/>
      <x:c r="U116" s="2956"/>
      <x:c r="V116" s="2956"/>
      <x:c r="W116" s="2956"/>
      <x:c r="X116" s="2956"/>
      <x:c r="Y116" s="2956"/>
      <x:c r="Z116" s="2956"/>
    </x:row>
    <x:row r="117" ht="38" customHeight="1">
      <x:c r="A117" s="1396" t="str">
        <x:v>RESISTE</x:v>
      </x:c>
      <x:c r="B117" s="1327" t="str">
        <x:v>19 escenarios recorridos; 0 dead-ends estructurales después de aplicar patches v1.0.</x:v>
      </x:c>
      <x:c r="C117" s="1327"/>
      <x:c r="D117" s="1327"/>
      <x:c r="E117" s="1327"/>
      <x:c r="F117" s="1327"/>
      <x:c r="G117" s="1327"/>
      <x:c r="H117" s="1327"/>
      <x:c r="I117" s="1327"/>
      <x:c r="J117" s="1327"/>
      <x:c r="K117" s="1327"/>
      <x:c r="L117" s="1327"/>
      <x:c r="M117" s="1327"/>
      <x:c r="N117" s="1327"/>
      <x:c r="O117" s="1327"/>
      <x:c r="P117" s="1327"/>
      <x:c r="Q117" s="1327"/>
      <x:c r="R117" s="1327"/>
      <x:c r="S117" s="1327"/>
      <x:c r="T117" s="1327"/>
      <x:c r="U117" s="1327"/>
      <x:c r="V117" s="1327"/>
      <x:c r="W117" s="1327"/>
      <x:c r="X117" s="1327"/>
      <x:c r="Y117" s="1327"/>
      <x:c r="Z117" s="1327"/>
    </x:row>
    <x:row r="118" ht="38" customHeight="1">
      <x:c r="A118" s="1396" t="str">
        <x:v>PATCHES</x:v>
      </x:c>
      <x:c r="B118" s="1327" t="str">
        <x:v>Transición temporal · readiness invalidable · tratamiento tiempo · parcialidad · frescura offline · lineage · solapamiento · grano UC · override.</x:v>
      </x:c>
      <x:c r="C118" s="1327"/>
      <x:c r="D118" s="1327"/>
      <x:c r="E118" s="1327"/>
      <x:c r="F118" s="1327"/>
      <x:c r="G118" s="1327"/>
      <x:c r="H118" s="1327"/>
      <x:c r="I118" s="1327"/>
      <x:c r="J118" s="1327"/>
      <x:c r="K118" s="1327"/>
      <x:c r="L118" s="1327"/>
      <x:c r="M118" s="1327"/>
      <x:c r="N118" s="1327"/>
      <x:c r="O118" s="1327"/>
      <x:c r="P118" s="1327"/>
      <x:c r="Q118" s="1327"/>
      <x:c r="R118" s="1327"/>
      <x:c r="S118" s="1327"/>
      <x:c r="T118" s="1327"/>
      <x:c r="U118" s="1327"/>
      <x:c r="V118" s="1327"/>
      <x:c r="W118" s="1327"/>
      <x:c r="X118" s="1327"/>
      <x:c r="Y118" s="1327"/>
      <x:c r="Z118" s="1327"/>
    </x:row>
    <x:row r="119" ht="38" customHeight="1">
      <x:c r="A119" s="1396" t="str">
        <x:v>ABIERTOS</x:v>
      </x:c>
      <x:c r="B119" s="1327" t="str">
        <x:v>Cambio turno TP-01 · emergente offline ambiguo · recurso adicional independiente · enmienda post-certificación.</x:v>
      </x:c>
      <x:c r="C119" s="1327"/>
      <x:c r="D119" s="1327"/>
      <x:c r="E119" s="1327"/>
      <x:c r="F119" s="1327"/>
      <x:c r="G119" s="1327"/>
      <x:c r="H119" s="1327"/>
      <x:c r="I119" s="1327"/>
      <x:c r="J119" s="1327"/>
      <x:c r="K119" s="1327"/>
      <x:c r="L119" s="1327"/>
      <x:c r="M119" s="1327"/>
      <x:c r="N119" s="1327"/>
      <x:c r="O119" s="1327"/>
      <x:c r="P119" s="1327"/>
      <x:c r="Q119" s="1327"/>
      <x:c r="R119" s="1327"/>
      <x:c r="S119" s="1327"/>
      <x:c r="T119" s="1327"/>
      <x:c r="U119" s="1327"/>
      <x:c r="V119" s="1327"/>
      <x:c r="W119" s="1327"/>
      <x:c r="X119" s="1327"/>
      <x:c r="Y119" s="1327"/>
      <x:c r="Z119" s="1327"/>
    </x:row>
    <x:row r="120" ht="38" customHeight="1">
      <x:c r="A120" s="1396" t="str">
        <x:v>SIGUIENTE</x:v>
      </x:c>
      <x:c r="B120" s="1327" t="str">
        <x:v>Resolver TP-04 Habilita + validar 4 políticas abiertas + contratos reales; después REV E candidata a congelamiento.</x:v>
      </x:c>
      <x:c r="C120" s="1327"/>
      <x:c r="D120" s="1327"/>
      <x:c r="E120" s="1327"/>
      <x:c r="F120" s="1327"/>
      <x:c r="G120" s="1327"/>
      <x:c r="H120" s="1327"/>
      <x:c r="I120" s="1327"/>
      <x:c r="J120" s="1327"/>
      <x:c r="K120" s="1327"/>
      <x:c r="L120" s="1327"/>
      <x:c r="M120" s="1327"/>
      <x:c r="N120" s="1327"/>
      <x:c r="O120" s="1327"/>
      <x:c r="P120" s="1327"/>
      <x:c r="Q120" s="1327"/>
      <x:c r="R120" s="1327"/>
      <x:c r="S120" s="1327"/>
      <x:c r="T120" s="1327"/>
      <x:c r="U120" s="1327"/>
      <x:c r="V120" s="1327"/>
      <x:c r="W120" s="1327"/>
      <x:c r="X120" s="1327"/>
      <x:c r="Y120" s="1327"/>
      <x:c r="Z120" s="1327"/>
    </x:row>
  </x:sheetData>
  <x:mergeCells>
    <x:mergeCell ref="A1:Z1"/>
    <x:mergeCell ref="A2:Z2"/>
    <x:mergeCell ref="A4:Z4"/>
    <x:mergeCell ref="A6:D9"/>
    <x:mergeCell ref="F6:I9"/>
    <x:mergeCell ref="K6:N9"/>
    <x:mergeCell ref="P6:T9"/>
    <x:mergeCell ref="V6:Z9"/>
    <x:mergeCell ref="A12:Z12"/>
    <x:mergeCell ref="A14:H14"/>
    <x:mergeCell ref="I14:Q14"/>
    <x:mergeCell ref="R14:Z14"/>
    <x:mergeCell ref="A16:H19"/>
    <x:mergeCell ref="A21:H24"/>
    <x:mergeCell ref="A26:H29"/>
    <x:mergeCell ref="A31:H34"/>
    <x:mergeCell ref="A36:H40"/>
    <x:mergeCell ref="A42:H45"/>
    <x:mergeCell ref="A48:Q48"/>
    <x:mergeCell ref="A49:Q52"/>
    <x:mergeCell ref="I16:Q19"/>
    <x:mergeCell ref="I21:Q21"/>
    <x:mergeCell ref="I23:K27"/>
    <x:mergeCell ref="L23:N27"/>
    <x:mergeCell ref="O23:Q27"/>
    <x:mergeCell ref="I29:Q31"/>
    <x:mergeCell ref="I33:L37"/>
    <x:mergeCell ref="N33:Q37"/>
    <x:mergeCell ref="I39:Q43"/>
    <x:mergeCell ref="I45:Q47"/>
    <x:mergeCell ref="R16:Z19"/>
    <x:mergeCell ref="R21:Z24"/>
    <x:mergeCell ref="R26:Z29"/>
    <x:mergeCell ref="R31:Z34"/>
    <x:mergeCell ref="R36:Z39"/>
    <x:mergeCell ref="R41:Z45"/>
    <x:mergeCell ref="I55:Z55"/>
    <x:mergeCell ref="I56:Z59"/>
    <x:mergeCell ref="A62:Z62"/>
    <x:mergeCell ref="A64:F68"/>
    <x:mergeCell ref="H64:M68"/>
    <x:mergeCell ref="O64:T68"/>
    <x:mergeCell ref="V64:Z68"/>
    <x:mergeCell ref="A71:Z71"/>
    <x:mergeCell ref="A73:F77"/>
    <x:mergeCell ref="H73:M77"/>
    <x:mergeCell ref="O73:T77"/>
    <x:mergeCell ref="V73:Z77"/>
    <x:mergeCell ref="A80:Z80"/>
    <x:mergeCell ref="A82:F86"/>
    <x:mergeCell ref="H82:M86"/>
    <x:mergeCell ref="O82:T86"/>
    <x:mergeCell ref="V82:Z86"/>
    <x:mergeCell ref="A89:Z89"/>
    <x:mergeCell ref="A91:H95"/>
    <x:mergeCell ref="J91:P95"/>
    <x:mergeCell ref="R91:Z95"/>
    <x:mergeCell ref="A98:Z98"/>
    <x:mergeCell ref="A100:F104"/>
    <x:mergeCell ref="H100:M104"/>
    <x:mergeCell ref="O100:T104"/>
    <x:mergeCell ref="V100:Z104"/>
    <x:mergeCell ref="A107:Z107"/>
    <x:mergeCell ref="A109:F113"/>
    <x:mergeCell ref="H109:M113"/>
    <x:mergeCell ref="O109:T113"/>
    <x:mergeCell ref="V109:Z113"/>
    <x:mergeCell ref="A116:Z116"/>
    <x:mergeCell ref="B117:Z117"/>
    <x:mergeCell ref="B118:Z118"/>
    <x:mergeCell ref="B119:Z119"/>
    <x:mergeCell ref="B120:Z120"/>
  </x:mergeCells>
  <x:pageMargins left="0.7" right="0.7" top="0.75" bottom="0.75" header="0.3" footer="0.3"/>
</x:worksheet>
</file>

<file path=xl/worksheets/sheet32.xml><?xml version="1.0" encoding="utf-8"?>
<x:worksheet xmlns:x="http://schemas.openxmlformats.org/spreadsheetml/2006/main">
  <x:sheetFormatPr defaultRowHeight="15"/>
  <x:cols>
    <x:col min="1" max="1" width="15" hidden="0" customWidth="1"/>
    <x:col min="2" max="2" width="23" hidden="0" customWidth="1"/>
    <x:col min="3" max="3" width="23" hidden="0" customWidth="1"/>
    <x:col min="4" max="4" width="23" hidden="0" customWidth="1"/>
    <x:col min="5" max="5" width="23" hidden="0" customWidth="1"/>
    <x:col min="6" max="6" width="23" hidden="0" customWidth="1"/>
    <x:col min="7" max="7" width="4" hidden="0" customWidth="1"/>
    <x:col min="8" max="8" width="17"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s>
  <x:sheetData>
    <x:row r="1">
      <x:c r="A1" s="3255" t="str">
        <x:v>HABILITA-01 · EVENTO Habilita + CASO Habilita · DECISIÓN ARQUITECTÓNICA v1.1</x:v>
      </x:c>
      <x:c r="B1" s="3255"/>
      <x:c r="C1" s="3255"/>
      <x:c r="D1" s="3255"/>
      <x:c r="E1" s="3255"/>
      <x:c r="F1" s="3255"/>
      <x:c r="G1" s="3255"/>
      <x:c r="H1" s="3255"/>
      <x:c r="I1" s="3255"/>
      <x:c r="J1" s="3255"/>
      <x:c r="K1" s="3255"/>
      <x:c r="L1" s="3255"/>
      <x:c r="M1" s="3255"/>
      <x:c r="N1" s="3255"/>
    </x:row>
    <x:row r="2">
      <x:c r="A2" s="3202" t="str">
        <x:v>Decisión: Incidente Ambiental/Habilita NO es TP-04. Es un dominio transversal de hechos y aprendizaje que puede vincularse a cualquier Parte/UE/PTW o existir de forma independiente.</x:v>
      </x:c>
      <x:c r="B2" s="3202"/>
      <x:c r="C2" s="3202"/>
      <x:c r="D2" s="3202"/>
      <x:c r="E2" s="3202"/>
      <x:c r="F2" s="3202"/>
      <x:c r="G2" s="3202"/>
      <x:c r="H2" s="3202"/>
      <x:c r="I2" s="3202"/>
      <x:c r="J2" s="3202"/>
      <x:c r="K2" s="3202"/>
      <x:c r="L2" s="3202"/>
      <x:c r="M2" s="3202"/>
      <x:c r="N2" s="3202"/>
    </x:row>
    <x:row r="3">
      <x:c r="A3" s="1277"/>
      <x:c r="B3" s="1277"/>
      <x:c r="C3" s="1277"/>
      <x:c r="D3" s="1277"/>
      <x:c r="E3" s="1277"/>
      <x:c r="F3" s="1277"/>
      <x:c r="G3" s="1277"/>
      <x:c r="H3" s="1277"/>
      <x:c r="I3" s="1277"/>
      <x:c r="J3" s="1277"/>
      <x:c r="K3" s="1277"/>
      <x:c r="L3" s="1277"/>
      <x:c r="M3" s="1277"/>
      <x:c r="N3" s="1277"/>
    </x:row>
    <x:row r="4">
      <x:c r="A4" s="3256" t="str">
        <x:v>01 — POR QUÉ NO ES UN TIPO PARTE</x:v>
      </x:c>
      <x:c r="B4" s="3256"/>
      <x:c r="C4" s="3256"/>
      <x:c r="D4" s="3256"/>
      <x:c r="E4" s="3256"/>
      <x:c r="F4" s="3256"/>
      <x:c r="G4" s="3256"/>
      <x:c r="H4" s="3256"/>
      <x:c r="I4" s="3256"/>
      <x:c r="J4" s="3256"/>
      <x:c r="K4" s="3256"/>
      <x:c r="L4" s="3256"/>
      <x:c r="M4" s="3256"/>
      <x:c r="N4" s="3256"/>
    </x:row>
    <x:row r="5">
      <x:c r="A5" s="1277"/>
      <x:c r="B5" s="1277"/>
      <x:c r="C5" s="1277"/>
      <x:c r="D5" s="1277"/>
      <x:c r="E5" s="1277"/>
      <x:c r="F5" s="1277"/>
      <x:c r="G5" s="1277"/>
      <x:c r="H5" s="1277"/>
      <x:c r="I5" s="1277"/>
      <x:c r="J5" s="1277"/>
      <x:c r="K5" s="1277"/>
      <x:c r="L5" s="1277"/>
      <x:c r="M5" s="1277"/>
      <x:c r="N5" s="1277"/>
    </x:row>
    <x:row r="6">
      <x:c r="A6" s="3204" t="str">
        <x:v>TIPOPARTE responde:
¿cómo se estructura una EJECUCIÓN operativa?
• Intervención
• Transporte
• Jornada de cuadrilla
Tiene identidad operacional, unidades de ejecución, tiempos, recursos, medición y reglas de corte.</x:v>
      </x:c>
      <x:c r="B6" s="3204"/>
      <x:c r="C6" s="3204"/>
      <x:c r="D6" s="3204"/>
      <x:c r="E6" s="3204"/>
      <x:c r="F6" s="3204"/>
      <x:c r="G6" s="1277"/>
      <x:c r="H6" s="3205" t="str">
        <x:v>EVENTOHABILITA responde:
¿qué EVENTO/CONDICIÓN de seguridad/ambiente ocurrió o fue detectado?
Puede ocurrir dentro de cualquier ejecución o sin Parte activo.
Tiene severidad, respuesta, triage, investigación, acciones y aprendizaje propios.</x:v>
      </x:c>
      <x:c r="I6" s="3205"/>
      <x:c r="J6" s="3205"/>
      <x:c r="K6" s="3205"/>
      <x:c r="L6" s="3205"/>
      <x:c r="M6" s="3205"/>
      <x:c r="N6" s="3205"/>
    </x:row>
    <x:row r="7">
      <x:c r="A7" s="3204"/>
      <x:c r="B7" s="3204"/>
      <x:c r="C7" s="3204"/>
      <x:c r="D7" s="3204"/>
      <x:c r="E7" s="3204"/>
      <x:c r="F7" s="3204"/>
      <x:c r="G7" s="1277"/>
      <x:c r="H7" s="3205"/>
      <x:c r="I7" s="3205"/>
      <x:c r="J7" s="3205"/>
      <x:c r="K7" s="3205"/>
      <x:c r="L7" s="3205"/>
      <x:c r="M7" s="3205"/>
      <x:c r="N7" s="3205"/>
    </x:row>
    <x:row r="8">
      <x:c r="A8" s="3204"/>
      <x:c r="B8" s="3204"/>
      <x:c r="C8" s="3204"/>
      <x:c r="D8" s="3204"/>
      <x:c r="E8" s="3204"/>
      <x:c r="F8" s="3204"/>
      <x:c r="G8" s="1277"/>
      <x:c r="H8" s="3205"/>
      <x:c r="I8" s="3205"/>
      <x:c r="J8" s="3205"/>
      <x:c r="K8" s="3205"/>
      <x:c r="L8" s="3205"/>
      <x:c r="M8" s="3205"/>
      <x:c r="N8" s="3205"/>
    </x:row>
    <x:row r="9">
      <x:c r="A9" s="3204"/>
      <x:c r="B9" s="3204"/>
      <x:c r="C9" s="3204"/>
      <x:c r="D9" s="3204"/>
      <x:c r="E9" s="3204"/>
      <x:c r="F9" s="3204"/>
      <x:c r="G9" s="1277"/>
      <x:c r="H9" s="3205"/>
      <x:c r="I9" s="3205"/>
      <x:c r="J9" s="3205"/>
      <x:c r="K9" s="3205"/>
      <x:c r="L9" s="3205"/>
      <x:c r="M9" s="3205"/>
      <x:c r="N9" s="3205"/>
    </x:row>
    <x:row r="10">
      <x:c r="A10" s="3204"/>
      <x:c r="B10" s="3204"/>
      <x:c r="C10" s="3204"/>
      <x:c r="D10" s="3204"/>
      <x:c r="E10" s="3204"/>
      <x:c r="F10" s="3204"/>
      <x:c r="G10" s="1277"/>
      <x:c r="H10" s="3205"/>
      <x:c r="I10" s="3205"/>
      <x:c r="J10" s="3205"/>
      <x:c r="K10" s="3205"/>
      <x:c r="L10" s="3205"/>
      <x:c r="M10" s="3205"/>
      <x:c r="N10" s="3205"/>
    </x:row>
    <x:row r="11">
      <x:c r="A11" s="3204"/>
      <x:c r="B11" s="3204"/>
      <x:c r="C11" s="3204"/>
      <x:c r="D11" s="3204"/>
      <x:c r="E11" s="3204"/>
      <x:c r="F11" s="3204"/>
      <x:c r="G11" s="1277"/>
      <x:c r="H11" s="3205"/>
      <x:c r="I11" s="3205"/>
      <x:c r="J11" s="3205"/>
      <x:c r="K11" s="3205"/>
      <x:c r="L11" s="3205"/>
      <x:c r="M11" s="3205"/>
      <x:c r="N11" s="3205"/>
    </x:row>
    <x:row r="12">
      <x:c r="A12" s="3204"/>
      <x:c r="B12" s="3204"/>
      <x:c r="C12" s="3204"/>
      <x:c r="D12" s="3204"/>
      <x:c r="E12" s="3204"/>
      <x:c r="F12" s="3204"/>
      <x:c r="G12" s="1277"/>
      <x:c r="H12" s="3205"/>
      <x:c r="I12" s="3205"/>
      <x:c r="J12" s="3205"/>
      <x:c r="K12" s="3205"/>
      <x:c r="L12" s="3205"/>
      <x:c r="M12" s="3205"/>
      <x:c r="N12" s="3205"/>
    </x:row>
    <x:row r="13">
      <x:c r="A13" s="1277"/>
      <x:c r="B13" s="1277"/>
      <x:c r="C13" s="1277"/>
      <x:c r="D13" s="1277"/>
      <x:c r="E13" s="1277"/>
      <x:c r="F13" s="1277"/>
      <x:c r="G13" s="1277"/>
      <x:c r="H13" s="1277"/>
      <x:c r="I13" s="1277"/>
      <x:c r="J13" s="1277"/>
      <x:c r="K13" s="1277"/>
      <x:c r="L13" s="1277"/>
      <x:c r="M13" s="1277"/>
      <x:c r="N13" s="1277"/>
    </x:row>
    <x:row r="14">
      <x:c r="A14" s="3206" t="str">
        <x:v>PRUEBA DE IDENTIDAD: si un camión tiene dos incidentes ambientales distintos, en dos lugares diferentes, la operación exige dos registros independientes. Eso se satisface mejor con 2 EventoHabilita vinculados al mismo Recurso (y eventualmente al mismo Parte) que con 2 nuevos Partes operativos artificiales.</x:v>
      </x:c>
      <x:c r="B14" s="3206"/>
      <x:c r="C14" s="3206"/>
      <x:c r="D14" s="3206"/>
      <x:c r="E14" s="3206"/>
      <x:c r="F14" s="3206"/>
      <x:c r="G14" s="3206"/>
      <x:c r="H14" s="3206"/>
      <x:c r="I14" s="3206"/>
      <x:c r="J14" s="3206"/>
      <x:c r="K14" s="3206"/>
      <x:c r="L14" s="3206"/>
      <x:c r="M14" s="3206"/>
      <x:c r="N14" s="3206"/>
    </x:row>
    <x:row r="15">
      <x:c r="A15" s="3206"/>
      <x:c r="B15" s="3206"/>
      <x:c r="C15" s="3206"/>
      <x:c r="D15" s="3206"/>
      <x:c r="E15" s="3206"/>
      <x:c r="F15" s="3206"/>
      <x:c r="G15" s="3206"/>
      <x:c r="H15" s="3206"/>
      <x:c r="I15" s="3206"/>
      <x:c r="J15" s="3206"/>
      <x:c r="K15" s="3206"/>
      <x:c r="L15" s="3206"/>
      <x:c r="M15" s="3206"/>
      <x:c r="N15" s="3206"/>
    </x:row>
    <x:row r="16">
      <x:c r="A16" s="3206"/>
      <x:c r="B16" s="3206"/>
      <x:c r="C16" s="3206"/>
      <x:c r="D16" s="3206"/>
      <x:c r="E16" s="3206"/>
      <x:c r="F16" s="3206"/>
      <x:c r="G16" s="3206"/>
      <x:c r="H16" s="3206"/>
      <x:c r="I16" s="3206"/>
      <x:c r="J16" s="3206"/>
      <x:c r="K16" s="3206"/>
      <x:c r="L16" s="3206"/>
      <x:c r="M16" s="3206"/>
      <x:c r="N16" s="3206"/>
    </x:row>
    <x:row r="17">
      <x:c r="A17" s="3206"/>
      <x:c r="B17" s="3206"/>
      <x:c r="C17" s="3206"/>
      <x:c r="D17" s="3206"/>
      <x:c r="E17" s="3206"/>
      <x:c r="F17" s="3206"/>
      <x:c r="G17" s="3206"/>
      <x:c r="H17" s="3206"/>
      <x:c r="I17" s="3206"/>
      <x:c r="J17" s="3206"/>
      <x:c r="K17" s="3206"/>
      <x:c r="L17" s="3206"/>
      <x:c r="M17" s="3206"/>
      <x:c r="N17" s="3206"/>
    </x:row>
    <x:row r="18">
      <x:c r="A18" s="1277"/>
      <x:c r="B18" s="1277"/>
      <x:c r="C18" s="1277"/>
      <x:c r="D18" s="1277"/>
      <x:c r="E18" s="1277"/>
      <x:c r="F18" s="1277"/>
      <x:c r="G18" s="1277"/>
      <x:c r="H18" s="1277"/>
      <x:c r="I18" s="1277"/>
      <x:c r="J18" s="1277"/>
      <x:c r="K18" s="1277"/>
      <x:c r="L18" s="1277"/>
      <x:c r="M18" s="1277"/>
      <x:c r="N18" s="1277"/>
    </x:row>
    <x:row r="19">
      <x:c r="A19" s="3256" t="str">
        <x:v>02 — DOS CAPAS · HECHO INMUTABLE VS WORKFLOW QUE EVOLUCIONA</x:v>
      </x:c>
      <x:c r="B19" s="3256"/>
      <x:c r="C19" s="3256"/>
      <x:c r="D19" s="3256"/>
      <x:c r="E19" s="3256"/>
      <x:c r="F19" s="3256"/>
      <x:c r="G19" s="3256"/>
      <x:c r="H19" s="3256"/>
      <x:c r="I19" s="3256"/>
      <x:c r="J19" s="3256"/>
      <x:c r="K19" s="3256"/>
      <x:c r="L19" s="3256"/>
      <x:c r="M19" s="3256"/>
      <x:c r="N19" s="3256"/>
    </x:row>
    <x:row r="20">
      <x:c r="A20" s="1277"/>
      <x:c r="B20" s="1277"/>
      <x:c r="C20" s="1277"/>
      <x:c r="D20" s="1277"/>
      <x:c r="E20" s="1277"/>
      <x:c r="F20" s="1277"/>
      <x:c r="G20" s="1277"/>
      <x:c r="H20" s="1277"/>
      <x:c r="I20" s="1277"/>
      <x:c r="J20" s="1277"/>
      <x:c r="K20" s="1277"/>
      <x:c r="L20" s="1277"/>
      <x:c r="M20" s="1277"/>
      <x:c r="N20" s="1277"/>
    </x:row>
    <x:row r="21">
      <x:c r="A21" s="3207" t="str">
        <x:v>EVENTO Habilita
HECHO
qué · cuándo · dónde
quién/recurso/contexto</x:v>
      </x:c>
      <x:c r="B21" s="3208"/>
      <x:c r="C21" s="3208"/>
      <x:c r="D21" s="3209"/>
      <x:c r="E21" s="1277"/>
      <x:c r="F21" s="3210" t="str">
        <x:v>TRIAGE
tipo + severidad real
+ potencial
+ regla escalamiento</x:v>
      </x:c>
      <x:c r="G21" s="3211"/>
      <x:c r="H21" s="3211"/>
      <x:c r="I21" s="3212"/>
      <x:c r="J21" s="1277"/>
      <x:c r="K21" s="3213" t="str">
        <x:v>CASO Habilita [0..1]
investigación · acciones
notificaciones · cierre</x:v>
      </x:c>
      <x:c r="L21" s="3214"/>
      <x:c r="M21" s="3214"/>
      <x:c r="N21" s="3215"/>
    </x:row>
    <x:row r="22">
      <x:c r="A22" s="3216"/>
      <x:c r="B22" s="3217"/>
      <x:c r="C22" s="3217"/>
      <x:c r="D22" s="3218"/>
      <x:c r="E22" s="1277"/>
      <x:c r="F22" s="3219"/>
      <x:c r="G22" s="3220"/>
      <x:c r="H22" s="3220"/>
      <x:c r="I22" s="3221"/>
      <x:c r="J22" s="1277"/>
      <x:c r="K22" s="3222"/>
      <x:c r="L22" s="3223"/>
      <x:c r="M22" s="3223"/>
      <x:c r="N22" s="3224"/>
    </x:row>
    <x:row r="23">
      <x:c r="A23" s="3216"/>
      <x:c r="B23" s="3217"/>
      <x:c r="C23" s="3217"/>
      <x:c r="D23" s="3218"/>
      <x:c r="E23" s="1297" t="str">
        <x:v>→</x:v>
      </x:c>
      <x:c r="F23" s="3219"/>
      <x:c r="G23" s="3220"/>
      <x:c r="H23" s="3220"/>
      <x:c r="I23" s="3221"/>
      <x:c r="J23" s="1297" t="str">
        <x:v>→</x:v>
      </x:c>
      <x:c r="K23" s="3222"/>
      <x:c r="L23" s="3223"/>
      <x:c r="M23" s="3223"/>
      <x:c r="N23" s="3224"/>
    </x:row>
    <x:row r="24">
      <x:c r="A24" s="3216"/>
      <x:c r="B24" s="3217"/>
      <x:c r="C24" s="3217"/>
      <x:c r="D24" s="3218"/>
      <x:c r="E24" s="1277"/>
      <x:c r="F24" s="3219"/>
      <x:c r="G24" s="3220"/>
      <x:c r="H24" s="3220"/>
      <x:c r="I24" s="3221"/>
      <x:c r="J24" s="1277"/>
      <x:c r="K24" s="3222"/>
      <x:c r="L24" s="3223"/>
      <x:c r="M24" s="3223"/>
      <x:c r="N24" s="3224"/>
    </x:row>
    <x:row r="25">
      <x:c r="A25" s="3225"/>
      <x:c r="B25" s="3226"/>
      <x:c r="C25" s="3226"/>
      <x:c r="D25" s="3227"/>
      <x:c r="E25" s="1277"/>
      <x:c r="F25" s="3228"/>
      <x:c r="G25" s="3229"/>
      <x:c r="H25" s="3229"/>
      <x:c r="I25" s="3230"/>
      <x:c r="J25" s="1277"/>
      <x:c r="K25" s="3231"/>
      <x:c r="L25" s="3232"/>
      <x:c r="M25" s="3232"/>
      <x:c r="N25" s="3233"/>
    </x:row>
    <x:row r="26">
      <x:c r="A26" s="1277"/>
      <x:c r="B26" s="1277"/>
      <x:c r="C26" s="1277"/>
      <x:c r="D26" s="1277"/>
      <x:c r="E26" s="1277"/>
      <x:c r="F26" s="1277"/>
      <x:c r="G26" s="1277"/>
      <x:c r="H26" s="1277"/>
      <x:c r="I26" s="1277"/>
      <x:c r="J26" s="1277"/>
      <x:c r="K26" s="1277"/>
      <x:c r="L26" s="1277"/>
      <x:c r="M26" s="1277"/>
      <x:c r="N26" s="1277"/>
    </x:row>
    <x:row r="27">
      <x:c r="A27" s="3234" t="str">
        <x:v>EventoHabilita debe sobrevivir aunque la clasificación cambie durante el triage. CasoHabilita existe solo cuando ReglaEscalamientoHabilita exige seguimiento. Así un reporte leve puede cerrarse tras triage, mientras un near miss de alto potencial puede abrir investigación aunque no haya lesión/daño real.</x:v>
      </x:c>
      <x:c r="B27" s="3234"/>
      <x:c r="C27" s="3234"/>
      <x:c r="D27" s="3234"/>
      <x:c r="E27" s="3234"/>
      <x:c r="F27" s="3234"/>
      <x:c r="G27" s="3234"/>
      <x:c r="H27" s="3234"/>
      <x:c r="I27" s="3234"/>
      <x:c r="J27" s="3234"/>
      <x:c r="K27" s="3234"/>
      <x:c r="L27" s="3234"/>
      <x:c r="M27" s="3234"/>
      <x:c r="N27" s="3234"/>
    </x:row>
    <x:row r="28">
      <x:c r="A28" s="3234"/>
      <x:c r="B28" s="3234"/>
      <x:c r="C28" s="3234"/>
      <x:c r="D28" s="3234"/>
      <x:c r="E28" s="3234"/>
      <x:c r="F28" s="3234"/>
      <x:c r="G28" s="3234"/>
      <x:c r="H28" s="3234"/>
      <x:c r="I28" s="3234"/>
      <x:c r="J28" s="3234"/>
      <x:c r="K28" s="3234"/>
      <x:c r="L28" s="3234"/>
      <x:c r="M28" s="3234"/>
      <x:c r="N28" s="3234"/>
    </x:row>
    <x:row r="29">
      <x:c r="A29" s="3234"/>
      <x:c r="B29" s="3234"/>
      <x:c r="C29" s="3234"/>
      <x:c r="D29" s="3234"/>
      <x:c r="E29" s="3234"/>
      <x:c r="F29" s="3234"/>
      <x:c r="G29" s="3234"/>
      <x:c r="H29" s="3234"/>
      <x:c r="I29" s="3234"/>
      <x:c r="J29" s="3234"/>
      <x:c r="K29" s="3234"/>
      <x:c r="L29" s="3234"/>
      <x:c r="M29" s="3234"/>
      <x:c r="N29" s="3234"/>
    </x:row>
    <x:row r="30">
      <x:c r="A30" s="3234"/>
      <x:c r="B30" s="3234"/>
      <x:c r="C30" s="3234"/>
      <x:c r="D30" s="3234"/>
      <x:c r="E30" s="3234"/>
      <x:c r="F30" s="3234"/>
      <x:c r="G30" s="3234"/>
      <x:c r="H30" s="3234"/>
      <x:c r="I30" s="3234"/>
      <x:c r="J30" s="3234"/>
      <x:c r="K30" s="3234"/>
      <x:c r="L30" s="3234"/>
      <x:c r="M30" s="3234"/>
      <x:c r="N30" s="3234"/>
    </x:row>
    <x:row r="31">
      <x:c r="A31" s="1277"/>
      <x:c r="B31" s="1277"/>
      <x:c r="C31" s="1277"/>
      <x:c r="D31" s="1277"/>
      <x:c r="E31" s="1277"/>
      <x:c r="F31" s="1277"/>
      <x:c r="G31" s="1277"/>
      <x:c r="H31" s="1277"/>
      <x:c r="I31" s="1277"/>
      <x:c r="J31" s="1277"/>
      <x:c r="K31" s="1277"/>
      <x:c r="L31" s="1277"/>
      <x:c r="M31" s="1277"/>
      <x:c r="N31" s="1277"/>
    </x:row>
    <x:row r="32">
      <x:c r="A32" s="3256" t="str">
        <x:v>03 — CAPTURA INICIAL EN CAMPO · FLASH REPORT, NO INVESTIGACIÓN</x:v>
      </x:c>
      <x:c r="B32" s="3256"/>
      <x:c r="C32" s="3256"/>
      <x:c r="D32" s="3256"/>
      <x:c r="E32" s="3256"/>
      <x:c r="F32" s="3256"/>
      <x:c r="G32" s="3256"/>
      <x:c r="H32" s="3256"/>
      <x:c r="I32" s="3256"/>
      <x:c r="J32" s="3256"/>
      <x:c r="K32" s="3256"/>
      <x:c r="L32" s="3256"/>
      <x:c r="M32" s="3256"/>
      <x:c r="N32" s="3256"/>
    </x:row>
    <x:row r="33">
      <x:c r="A33" s="3235" t="str">
        <x:v>Dato</x:v>
      </x:c>
      <x:c r="B33" s="3235" t="str">
        <x:v>Fuente ideal</x:v>
      </x:c>
      <x:c r="C33" s="3235" t="str">
        <x:v>Acción usuario</x:v>
      </x:c>
      <x:c r="D33" s="3235" t="str">
        <x:v>Inicial</x:v>
      </x:c>
      <x:c r="E33" s="3235" t="str">
        <x:v>Se puede completar después</x:v>
      </x:c>
      <x:c r="F33" s="3235" t="str">
        <x:v>Razón</x:v>
      </x:c>
      <x:c r="G33" s="1277"/>
      <x:c r="H33" s="1277"/>
      <x:c r="I33" s="1277"/>
      <x:c r="J33" s="1277"/>
      <x:c r="K33" s="1277"/>
      <x:c r="L33" s="1277"/>
      <x:c r="M33" s="1277"/>
      <x:c r="N33" s="1277"/>
    </x:row>
    <x:row r="34" ht="50" customHeight="1">
      <x:c r="A34" s="1327" t="str">
        <x:v>reportado_at + reportante</x:v>
      </x:c>
      <x:c r="B34" s="1327" t="str">
        <x:v>sesión/dispositivo</x:v>
      </x:c>
      <x:c r="C34" s="1327" t="str">
        <x:v>ninguna</x:v>
      </x:c>
      <x:c r="D34" s="1327" t="str">
        <x:v>Sí</x:v>
      </x:c>
      <x:c r="E34" s="1327" t="str">
        <x:v>No</x:v>
      </x:c>
      <x:c r="F34" s="1327" t="str">
        <x:v>cero taps</x:v>
      </x:c>
      <x:c r="G34" s="1277"/>
      <x:c r="H34" s="1277"/>
      <x:c r="I34" s="1277"/>
      <x:c r="J34" s="1277"/>
      <x:c r="K34" s="1277"/>
      <x:c r="L34" s="1277"/>
      <x:c r="M34" s="1277"/>
      <x:c r="N34" s="1277"/>
    </x:row>
    <x:row r="35" ht="50" customHeight="1">
      <x:c r="A35" s="1327" t="str">
        <x:v>contexto activo TP-01/02/03 + UE/PTW</x:v>
      </x:c>
      <x:c r="B35" s="1327" t="str">
        <x:v>motor/contexto dispositivo</x:v>
      </x:c>
      <x:c r="C35" s="1327" t="str">
        <x:v>confirmar solo si ambiguo</x:v>
      </x:c>
      <x:c r="D35" s="1327" t="str">
        <x:v>Sí</x:v>
      </x:c>
      <x:c r="E35" s="1327" t="str">
        <x:v>Sí/corregir vínculo</x:v>
      </x:c>
      <x:c r="F35" s="1327" t="str">
        <x:v>no asumir TP-01</x:v>
      </x:c>
      <x:c r="G35" s="1277"/>
      <x:c r="H35" s="1277"/>
      <x:c r="I35" s="1277"/>
      <x:c r="J35" s="1277"/>
      <x:c r="K35" s="1277"/>
      <x:c r="L35" s="1277"/>
      <x:c r="M35" s="1277"/>
      <x:c r="N35" s="1277"/>
    </x:row>
    <x:row r="36" ht="50" customHeight="1">
      <x:c r="A36" s="1327" t="str">
        <x:v>ocurrido_at</x:v>
      </x:c>
      <x:c r="B36" s="1327" t="str">
        <x:v>reloj/contexto</x:v>
      </x:c>
      <x:c r="C36" s="1327" t="str">
        <x:v>confirmar/ajustar</x:v>
      </x:c>
      <x:c r="D36" s="1327" t="str">
        <x:v>Sí</x:v>
      </x:c>
      <x:c r="E36" s="1327" t="str">
        <x:v>Sí</x:v>
      </x:c>
      <x:c r="F36" s="1327" t="str">
        <x:v>momento real</x:v>
      </x:c>
      <x:c r="G36" s="1277"/>
      <x:c r="H36" s="1277"/>
      <x:c r="I36" s="1277"/>
      <x:c r="J36" s="1277"/>
      <x:c r="K36" s="1277"/>
      <x:c r="L36" s="1277"/>
      <x:c r="M36" s="1277"/>
      <x:c r="N36" s="1277"/>
    </x:row>
    <x:row r="37" ht="50" customHeight="1">
      <x:c r="A37" s="1327" t="str">
        <x:v>ubicación principal</x:v>
      </x:c>
      <x:c r="B37" s="1327" t="str">
        <x:v>UE/plan/GPS/contexto</x:v>
      </x:c>
      <x:c r="C37" s="1327" t="str">
        <x:v>confirmar/corregir</x:v>
      </x:c>
      <x:c r="D37" s="1327" t="str">
        <x:v>Sí</x:v>
      </x:c>
      <x:c r="E37" s="1327" t="str">
        <x:v>Sí</x:v>
      </x:c>
      <x:c r="F37" s="1327" t="str">
        <x:v>jerarquía, no lista masiva</x:v>
      </x:c>
      <x:c r="G37" s="1277"/>
      <x:c r="H37" s="1277"/>
      <x:c r="I37" s="1277"/>
      <x:c r="J37" s="1277"/>
      <x:c r="K37" s="1277"/>
      <x:c r="L37" s="1277"/>
      <x:c r="M37" s="1277"/>
      <x:c r="N37" s="1277"/>
    </x:row>
    <x:row r="38" ht="50" customHeight="1">
      <x:c r="A38" s="1327" t="str">
        <x:v>categoría inicial</x:v>
      </x:c>
      <x:c r="B38" s="1327" t="str">
        <x:v>catálogo corto/contextual</x:v>
      </x:c>
      <x:c r="C38" s="1327" t="str">
        <x:v>1 selección</x:v>
      </x:c>
      <x:c r="D38" s="1327" t="str">
        <x:v>Sí</x:v>
      </x:c>
      <x:c r="E38" s="1327" t="str">
        <x:v>Sí reclasificable por Habilita</x:v>
      </x:c>
      <x:c r="F38" s="1327" t="str">
        <x:v>routing Habilita</x:v>
      </x:c>
      <x:c r="G38" s="1277"/>
      <x:c r="H38" s="1277"/>
      <x:c r="I38" s="1277"/>
      <x:c r="J38" s="1277"/>
      <x:c r="K38" s="1277"/>
      <x:c r="L38" s="1277"/>
      <x:c r="M38" s="1277"/>
      <x:c r="N38" s="1277"/>
    </x:row>
    <x:row r="39" ht="50" customHeight="1">
      <x:c r="A39" s="1327" t="str">
        <x:v>descripción inicial</x:v>
      </x:c>
      <x:c r="B39" s="1327" t="str">
        <x:v>texto/voz</x:v>
      </x:c>
      <x:c r="C39" s="1327" t="str">
        <x:v>breve</x:v>
      </x:c>
      <x:c r="D39" s="1327" t="str">
        <x:v>Sí</x:v>
      </x:c>
      <x:c r="E39" s="1327" t="str">
        <x:v>Sí</x:v>
      </x:c>
      <x:c r="F39" s="1327" t="str">
        <x:v>qué ocurrió, no causa raíz</x:v>
      </x:c>
      <x:c r="G39" s="1277"/>
      <x:c r="H39" s="1277"/>
      <x:c r="I39" s="1277"/>
      <x:c r="J39" s="1277"/>
      <x:c r="K39" s="1277"/>
      <x:c r="L39" s="1277"/>
      <x:c r="M39" s="1277"/>
      <x:c r="N39" s="1277"/>
    </x:row>
    <x:row r="40" ht="50" customHeight="1">
      <x:c r="A40" s="1327" t="str">
        <x:v>¿situación controlada?</x:v>
      </x:c>
      <x:c r="B40" s="1327" t="str">
        <x:v>campo</x:v>
      </x:c>
      <x:c r="C40" s="1327" t="str">
        <x:v>Sí/No</x:v>
      </x:c>
      <x:c r="D40" s="1327" t="str">
        <x:v>Sí</x:v>
      </x:c>
      <x:c r="E40" s="1327" t="str">
        <x:v>Sí</x:v>
      </x:c>
      <x:c r="F40" s="1327" t="str">
        <x:v>trigger de respuesta</x:v>
      </x:c>
      <x:c r="G40" s="1277"/>
      <x:c r="H40" s="1277"/>
      <x:c r="I40" s="1277"/>
      <x:c r="J40" s="1277"/>
      <x:c r="K40" s="1277"/>
      <x:c r="L40" s="1277"/>
      <x:c r="M40" s="1277"/>
      <x:c r="N40" s="1277"/>
    </x:row>
    <x:row r="41" ht="50" customHeight="1">
      <x:c r="A41" s="1327" t="str">
        <x:v>personas/recursos involucrados</x:v>
      </x:c>
      <x:c r="B41" s="1327" t="str">
        <x:v>contexto activo</x:v>
      </x:c>
      <x:c r="C41" s="1327" t="str">
        <x:v>confirmar/excepción</x:v>
      </x:c>
      <x:c r="D41" s="1327" t="str">
        <x:v>Condicional</x:v>
      </x:c>
      <x:c r="E41" s="1327" t="str">
        <x:v>Sí</x:v>
      </x:c>
      <x:c r="F41" s="1327" t="str">
        <x:v>autoderivar todo lo posible</x:v>
      </x:c>
      <x:c r="G41" s="1277"/>
      <x:c r="H41" s="1277"/>
      <x:c r="I41" s="1277"/>
      <x:c r="J41" s="1277"/>
      <x:c r="K41" s="1277"/>
      <x:c r="L41" s="1277"/>
      <x:c r="M41" s="1277"/>
      <x:c r="N41" s="1277"/>
    </x:row>
    <x:row r="42" ht="50" customHeight="1">
      <x:c r="A42" s="1327" t="str">
        <x:v>evidencia inicial</x:v>
      </x:c>
      <x:c r="B42" s="1327" t="str">
        <x:v>cámara/archivo</x:v>
      </x:c>
      <x:c r="C42" s="1327" t="str">
        <x:v>capturar si aplica</x:v>
      </x:c>
      <x:c r="D42" s="1327" t="str">
        <x:v>Condicional</x:v>
      </x:c>
      <x:c r="E42" s="1327" t="str">
        <x:v>Sí</x:v>
      </x:c>
      <x:c r="F42" s="1327" t="str">
        <x:v>foto/video/voz opcional</x:v>
      </x:c>
      <x:c r="G42" s="1277"/>
      <x:c r="H42" s="1277"/>
      <x:c r="I42" s="1277"/>
      <x:c r="J42" s="1277"/>
      <x:c r="K42" s="1277"/>
      <x:c r="L42" s="1277"/>
      <x:c r="M42" s="1277"/>
      <x:c r="N42" s="1277"/>
    </x:row>
    <x:row r="43" ht="50" customHeight="1">
      <x:c r="A43" s="1327" t="str">
        <x:v>severidad formal / potencial / root cause / acciones</x:v>
      </x:c>
      <x:c r="B43" s="1327" t="str">
        <x:v>Habilita</x:v>
      </x:c>
      <x:c r="C43" s="1327" t="str">
        <x:v>ninguna en flash report</x:v>
      </x:c>
      <x:c r="D43" s="1327" t="str">
        <x:v>NO</x:v>
      </x:c>
      <x:c r="E43" s="1327" t="str">
        <x:v>Sí</x:v>
      </x:c>
      <x:c r="F43" s="1327" t="str">
        <x:v>triage/investigación posterior</x:v>
      </x:c>
      <x:c r="G43" s="1277"/>
      <x:c r="H43" s="1277"/>
      <x:c r="I43" s="1277"/>
      <x:c r="J43" s="1277"/>
      <x:c r="K43" s="1277"/>
      <x:c r="L43" s="1277"/>
      <x:c r="M43" s="1277"/>
      <x:c r="N43" s="1277"/>
    </x:row>
    <x:row r="44">
      <x:c r="A44" s="1277"/>
      <x:c r="B44" s="1277"/>
      <x:c r="C44" s="1277"/>
      <x:c r="D44" s="1277"/>
      <x:c r="E44" s="1277"/>
      <x:c r="F44" s="1277"/>
      <x:c r="G44" s="1277"/>
      <x:c r="H44" s="1277"/>
      <x:c r="I44" s="1277"/>
      <x:c r="J44" s="1277"/>
      <x:c r="K44" s="1277"/>
      <x:c r="L44" s="1277"/>
      <x:c r="M44" s="1277"/>
      <x:c r="N44" s="1277"/>
    </x:row>
    <x:row r="45">
      <x:c r="A45" s="3256" t="str">
        <x:v>04 — CONTEXTO / RELACIONES · EVENTOHABILITA PUEDE CRUZAR VARIOS OBJETOS</x:v>
      </x:c>
      <x:c r="B45" s="3256"/>
      <x:c r="C45" s="3256"/>
      <x:c r="D45" s="3256"/>
      <x:c r="E45" s="3256"/>
      <x:c r="F45" s="3256"/>
      <x:c r="G45" s="3256"/>
      <x:c r="H45" s="3256"/>
      <x:c r="I45" s="3256"/>
      <x:c r="J45" s="3256"/>
      <x:c r="K45" s="3256"/>
      <x:c r="L45" s="3256"/>
      <x:c r="M45" s="3256"/>
      <x:c r="N45" s="3256"/>
    </x:row>
    <x:row r="46">
      <x:c r="A46" s="1277"/>
      <x:c r="B46" s="1277"/>
      <x:c r="C46" s="1277"/>
      <x:c r="D46" s="1277"/>
      <x:c r="E46" s="1277"/>
      <x:c r="F46" s="1277"/>
      <x:c r="G46" s="1277"/>
      <x:c r="H46" s="1277"/>
      <x:c r="I46" s="1277"/>
      <x:c r="J46" s="1277"/>
      <x:c r="K46" s="1277"/>
      <x:c r="L46" s="1277"/>
      <x:c r="M46" s="1277"/>
      <x:c r="N46" s="1277"/>
    </x:row>
    <x:row r="47">
      <x:c r="A47" s="3236" t="str">
        <x:v>EVENTO Habilita</x:v>
      </x:c>
      <x:c r="B47" s="3237"/>
      <x:c r="C47" s="3238"/>
      <x:c r="D47" s="1277"/>
      <x:c r="E47" s="3213" t="str">
        <x:v>0..N
UNIDAD EJECUCIÓN /
PARTES</x:v>
      </x:c>
      <x:c r="F47" s="3214"/>
      <x:c r="G47" s="3215"/>
      <x:c r="H47" s="1277"/>
      <x:c r="I47" s="3213" t="str">
        <x:v>0..N
PERSONAS /
RECURSOS</x:v>
      </x:c>
      <x:c r="J47" s="3214"/>
      <x:c r="K47" s="3215"/>
      <x:c r="L47" s="1277"/>
      <x:c r="M47" s="3213" t="str">
        <x:v>0..N
PTW</x:v>
      </x:c>
      <x:c r="N47" s="3215"/>
    </x:row>
    <x:row r="48">
      <x:c r="A48" s="3239"/>
      <x:c r="B48" s="3240"/>
      <x:c r="C48" s="3241"/>
      <x:c r="D48" s="1277"/>
      <x:c r="E48" s="3222"/>
      <x:c r="F48" s="3223"/>
      <x:c r="G48" s="3224"/>
      <x:c r="H48" s="1277"/>
      <x:c r="I48" s="3222"/>
      <x:c r="J48" s="3223"/>
      <x:c r="K48" s="3224"/>
      <x:c r="L48" s="1277"/>
      <x:c r="M48" s="3222"/>
      <x:c r="N48" s="3224"/>
    </x:row>
    <x:row r="49">
      <x:c r="A49" s="3239"/>
      <x:c r="B49" s="3240"/>
      <x:c r="C49" s="3241"/>
      <x:c r="D49" s="1297" t="str">
        <x:v>→</x:v>
      </x:c>
      <x:c r="E49" s="3222"/>
      <x:c r="F49" s="3223"/>
      <x:c r="G49" s="3224"/>
      <x:c r="H49" s="1297" t="str">
        <x:v>→</x:v>
      </x:c>
      <x:c r="I49" s="3222"/>
      <x:c r="J49" s="3223"/>
      <x:c r="K49" s="3224"/>
      <x:c r="L49" s="1297" t="str">
        <x:v>→</x:v>
      </x:c>
      <x:c r="M49" s="3222"/>
      <x:c r="N49" s="3224"/>
    </x:row>
    <x:row r="50">
      <x:c r="A50" s="3239"/>
      <x:c r="B50" s="3240"/>
      <x:c r="C50" s="3241"/>
      <x:c r="D50" s="1277"/>
      <x:c r="E50" s="3222"/>
      <x:c r="F50" s="3223"/>
      <x:c r="G50" s="3224"/>
      <x:c r="H50" s="1277"/>
      <x:c r="I50" s="3222"/>
      <x:c r="J50" s="3223"/>
      <x:c r="K50" s="3224"/>
      <x:c r="L50" s="1277"/>
      <x:c r="M50" s="3222"/>
      <x:c r="N50" s="3224"/>
    </x:row>
    <x:row r="51">
      <x:c r="A51" s="3242"/>
      <x:c r="B51" s="3243"/>
      <x:c r="C51" s="3244"/>
      <x:c r="D51" s="1277"/>
      <x:c r="E51" s="3231"/>
      <x:c r="F51" s="3232"/>
      <x:c r="G51" s="3233"/>
      <x:c r="H51" s="1277"/>
      <x:c r="I51" s="3231"/>
      <x:c r="J51" s="3232"/>
      <x:c r="K51" s="3233"/>
      <x:c r="L51" s="1277"/>
      <x:c r="M51" s="3231"/>
      <x:c r="N51" s="3233"/>
    </x:row>
    <x:row r="52">
      <x:c r="A52" s="1277"/>
      <x:c r="B52" s="1277"/>
      <x:c r="C52" s="1277"/>
      <x:c r="D52" s="1277"/>
      <x:c r="E52" s="1277"/>
      <x:c r="F52" s="1277"/>
      <x:c r="G52" s="1277"/>
      <x:c r="H52" s="1277"/>
      <x:c r="I52" s="1277"/>
      <x:c r="J52" s="1277"/>
      <x:c r="K52" s="1277"/>
      <x:c r="L52" s="1277"/>
      <x:c r="M52" s="1277"/>
      <x:c r="N52" s="1277"/>
    </x:row>
    <x:row r="53">
      <x:c r="A53" s="3206" t="str">
        <x:v>Ejemplos: choque entre dos vehículos que estaban en trabajos distintos → 1 EventoHabilita vinculado a 2 ejecuciones/recursos. Condición insegura detectada en base → EventoHabilita sin Parte. Derrame durante TP-02 → EventoHabilita vinculado al movimiento, camión, ubicación y PTW si corresponde.</x:v>
      </x:c>
      <x:c r="B53" s="3206"/>
      <x:c r="C53" s="3206"/>
      <x:c r="D53" s="3206"/>
      <x:c r="E53" s="3206"/>
      <x:c r="F53" s="3206"/>
      <x:c r="G53" s="3206"/>
      <x:c r="H53" s="3206"/>
      <x:c r="I53" s="3206"/>
      <x:c r="J53" s="3206"/>
      <x:c r="K53" s="3206"/>
      <x:c r="L53" s="3206"/>
      <x:c r="M53" s="3206"/>
      <x:c r="N53" s="3206"/>
    </x:row>
    <x:row r="54">
      <x:c r="A54" s="3206"/>
      <x:c r="B54" s="3206"/>
      <x:c r="C54" s="3206"/>
      <x:c r="D54" s="3206"/>
      <x:c r="E54" s="3206"/>
      <x:c r="F54" s="3206"/>
      <x:c r="G54" s="3206"/>
      <x:c r="H54" s="3206"/>
      <x:c r="I54" s="3206"/>
      <x:c r="J54" s="3206"/>
      <x:c r="K54" s="3206"/>
      <x:c r="L54" s="3206"/>
      <x:c r="M54" s="3206"/>
      <x:c r="N54" s="3206"/>
    </x:row>
    <x:row r="55">
      <x:c r="A55" s="3206"/>
      <x:c r="B55" s="3206"/>
      <x:c r="C55" s="3206"/>
      <x:c r="D55" s="3206"/>
      <x:c r="E55" s="3206"/>
      <x:c r="F55" s="3206"/>
      <x:c r="G55" s="3206"/>
      <x:c r="H55" s="3206"/>
      <x:c r="I55" s="3206"/>
      <x:c r="J55" s="3206"/>
      <x:c r="K55" s="3206"/>
      <x:c r="L55" s="3206"/>
      <x:c r="M55" s="3206"/>
      <x:c r="N55" s="3206"/>
    </x:row>
    <x:row r="56">
      <x:c r="A56" s="3206"/>
      <x:c r="B56" s="3206"/>
      <x:c r="C56" s="3206"/>
      <x:c r="D56" s="3206"/>
      <x:c r="E56" s="3206"/>
      <x:c r="F56" s="3206"/>
      <x:c r="G56" s="3206"/>
      <x:c r="H56" s="3206"/>
      <x:c r="I56" s="3206"/>
      <x:c r="J56" s="3206"/>
      <x:c r="K56" s="3206"/>
      <x:c r="L56" s="3206"/>
      <x:c r="M56" s="3206"/>
      <x:c r="N56" s="3206"/>
    </x:row>
    <x:row r="57">
      <x:c r="A57" s="1277"/>
      <x:c r="B57" s="1277"/>
      <x:c r="C57" s="1277"/>
      <x:c r="D57" s="1277"/>
      <x:c r="E57" s="1277"/>
      <x:c r="F57" s="1277"/>
      <x:c r="G57" s="1277"/>
      <x:c r="H57" s="1277"/>
      <x:c r="I57" s="1277"/>
      <x:c r="J57" s="1277"/>
      <x:c r="K57" s="1277"/>
      <x:c r="L57" s="1277"/>
      <x:c r="M57" s="1277"/>
      <x:c r="N57" s="1277"/>
    </x:row>
    <x:row r="58">
      <x:c r="A58" s="3256" t="str">
        <x:v>05 — RESPONSE PATH · EL EVENTO PUEDE CAMBIAR LA OPERACIÓN SIN CONVERTIRSE EN PARTE</x:v>
      </x:c>
      <x:c r="B58" s="3256"/>
      <x:c r="C58" s="3256"/>
      <x:c r="D58" s="3256"/>
      <x:c r="E58" s="3256"/>
      <x:c r="F58" s="3256"/>
      <x:c r="G58" s="3256"/>
      <x:c r="H58" s="3657" t="str">
        <x:v>PATCH REV E v2 · ESCALAMIENTO
EventoHabilita
→ ReglaEscalamientoHabilita
→ EvaluacionEscalamientoHabilita (snapshot auditable)
→ acciones requeridas usando mecanismos existentes:
• DirectivaOperativa (p.ej. SUSPENDER)
• PTW suspend/review
• Crear CasoHabilita
• Crear NotificacionHabilita
NO crear 'DirectivaHabilita' paralela.
NO fijar RAM 5×5 ni thresholds genéricos: Q-06 requiere matriz VDS.</x:v>
      </x:c>
      <x:c r="I58" s="3657"/>
      <x:c r="J58" s="3657"/>
      <x:c r="K58" s="3657"/>
      <x:c r="L58" s="3657"/>
      <x:c r="M58" s="3657"/>
      <x:c r="N58" s="3657"/>
    </x:row>
    <x:row r="59">
      <x:c r="A59" s="1277"/>
      <x:c r="B59" s="1277"/>
      <x:c r="C59" s="1277"/>
      <x:c r="D59" s="1277"/>
      <x:c r="E59" s="1277"/>
      <x:c r="F59" s="1277"/>
      <x:c r="G59" s="1277"/>
      <x:c r="H59" s="3657"/>
      <x:c r="I59" s="3657"/>
      <x:c r="J59" s="3657"/>
      <x:c r="K59" s="3657"/>
      <x:c r="L59" s="3657"/>
      <x:c r="M59" s="3657"/>
      <x:c r="N59" s="3657"/>
    </x:row>
    <x:row r="60">
      <x:c r="A60" s="3245" t="str">
        <x:v>EVENTO Habilita
REPORTADO</x:v>
      </x:c>
      <x:c r="B60" s="3246"/>
      <x:c r="C60" s="3247"/>
      <x:c r="D60" s="1277"/>
      <x:c r="E60" s="3210" t="str">
        <x:v>ƒ REGLA
ESCALAMIENTO
Habilita</x:v>
      </x:c>
      <x:c r="F60" s="3211"/>
      <x:c r="G60" s="3212"/>
      <x:c r="H60" s="3657"/>
      <x:c r="I60" s="3661" t="str">
        <x:v>RESPUESTA
continuar · suspender
escalar · investigar</x:v>
      </x:c>
      <x:c r="J60" s="3661"/>
      <x:c r="K60" s="3661"/>
      <x:c r="L60" s="3657"/>
      <x:c r="M60" s="3661" t="str">
        <x:v>CONTROL /
HABILITA
PLANE</x:v>
      </x:c>
      <x:c r="N60" s="3661"/>
    </x:row>
    <x:row r="61">
      <x:c r="A61" s="3248"/>
      <x:c r="B61" s="3240"/>
      <x:c r="C61" s="3249"/>
      <x:c r="D61" s="1277"/>
      <x:c r="E61" s="3219"/>
      <x:c r="F61" s="3220"/>
      <x:c r="G61" s="3221"/>
      <x:c r="H61" s="3657"/>
      <x:c r="I61" s="3661"/>
      <x:c r="J61" s="3662"/>
      <x:c r="K61" s="3661"/>
      <x:c r="L61" s="3657"/>
      <x:c r="M61" s="3661"/>
      <x:c r="N61" s="3661"/>
    </x:row>
    <x:row r="62">
      <x:c r="A62" s="3248"/>
      <x:c r="B62" s="3240"/>
      <x:c r="C62" s="3249"/>
      <x:c r="D62" s="1297" t="str">
        <x:v>→</x:v>
      </x:c>
      <x:c r="E62" s="3219"/>
      <x:c r="F62" s="3220"/>
      <x:c r="G62" s="3221"/>
      <x:c r="H62" s="3661" t="str">
        <x:v>→</x:v>
      </x:c>
      <x:c r="I62" s="3661"/>
      <x:c r="J62" s="3662"/>
      <x:c r="K62" s="3661"/>
      <x:c r="L62" s="3661" t="str">
        <x:v>→</x:v>
      </x:c>
      <x:c r="M62" s="3661"/>
      <x:c r="N62" s="3661"/>
    </x:row>
    <x:row r="63">
      <x:c r="A63" s="3248"/>
      <x:c r="B63" s="3240"/>
      <x:c r="C63" s="3249"/>
      <x:c r="D63" s="1277"/>
      <x:c r="E63" s="3219"/>
      <x:c r="F63" s="3220"/>
      <x:c r="G63" s="3221"/>
      <x:c r="H63" s="3657"/>
      <x:c r="I63" s="3661"/>
      <x:c r="J63" s="3662"/>
      <x:c r="K63" s="3661"/>
      <x:c r="L63" s="3657"/>
      <x:c r="M63" s="3661"/>
      <x:c r="N63" s="3661"/>
    </x:row>
    <x:row r="64">
      <x:c r="A64" s="3250"/>
      <x:c r="B64" s="3251"/>
      <x:c r="C64" s="3252"/>
      <x:c r="D64" s="1277"/>
      <x:c r="E64" s="3228"/>
      <x:c r="F64" s="3229"/>
      <x:c r="G64" s="3230"/>
      <x:c r="H64" s="3657"/>
      <x:c r="I64" s="3661"/>
      <x:c r="J64" s="3661"/>
      <x:c r="K64" s="3661"/>
      <x:c r="L64" s="3657"/>
      <x:c r="M64" s="3661"/>
      <x:c r="N64" s="3661"/>
    </x:row>
    <x:row r="65">
      <x:c r="A65" s="1277"/>
      <x:c r="B65" s="1277"/>
      <x:c r="C65" s="1277"/>
      <x:c r="D65" s="1277"/>
      <x:c r="E65" s="1277"/>
      <x:c r="F65" s="1277"/>
      <x:c r="G65" s="1277"/>
      <x:c r="H65" s="3657"/>
      <x:c r="I65" s="3657"/>
      <x:c r="J65" s="3657"/>
      <x:c r="K65" s="3657"/>
      <x:c r="L65" s="3657"/>
      <x:c r="M65" s="3657"/>
      <x:c r="N65" s="3657"/>
    </x:row>
    <x:row r="66">
      <x:c r="A66" s="3235" t="str">
        <x:v>Resultado escalamiento</x:v>
      </x:c>
      <x:c r="B66" s="3235" t="str">
        <x:v>Efecto ejecución</x:v>
      </x:c>
      <x:c r="C66" s="3235" t="str">
        <x:v>Efecto PTW</x:v>
      </x:c>
      <x:c r="D66" s="3235" t="str">
        <x:v>CasoHabilita</x:v>
      </x:c>
      <x:c r="E66" s="3235" t="str">
        <x:v>Notificación</x:v>
      </x:c>
      <x:c r="F66" s="3235" t="str">
        <x:v>Nota</x:v>
      </x:c>
      <x:c r="G66" s="1277"/>
      <x:c r="H66" s="3657"/>
      <x:c r="I66" s="3657"/>
      <x:c r="J66" s="3657"/>
      <x:c r="K66" s="3657"/>
      <x:c r="L66" s="3657"/>
      <x:c r="M66" s="3657"/>
      <x:c r="N66" s="3657"/>
    </x:row>
    <x:row r="67" ht="50" customHeight="1">
      <x:c r="A67" s="1327" t="str">
        <x:v>Registro/triage</x:v>
      </x:c>
      <x:c r="B67" s="1327" t="str">
        <x:v>sin cambio</x:v>
      </x:c>
      <x:c r="C67" s="1327" t="str">
        <x:v>sin cambio</x:v>
      </x:c>
      <x:c r="D67" s="1327" t="str">
        <x:v>No necesariamente</x:v>
      </x:c>
      <x:c r="E67" s="1327" t="str">
        <x:v>No necesariamente</x:v>
      </x:c>
      <x:c r="F67" s="1327" t="str">
        <x:v>evento queda trazado</x:v>
      </x:c>
      <x:c r="G67" s="1277"/>
      <x:c r="H67" s="3657"/>
      <x:c r="I67" s="3657"/>
      <x:c r="J67" s="3657"/>
      <x:c r="K67" s="3657"/>
      <x:c r="L67" s="3657"/>
      <x:c r="M67" s="3657"/>
      <x:c r="N67" s="3657"/>
    </x:row>
    <x:row r="68" ht="50" customHeight="1">
      <x:c r="A68" s="1327" t="str">
        <x:v>Continuar con controles</x:v>
      </x:c>
      <x:c r="B68" s="1327" t="str">
        <x:v>puede continuar + acción local</x:v>
      </x:c>
      <x:c r="C68" s="1327" t="str">
        <x:v>revalidar si aplica</x:v>
      </x:c>
      <x:c r="D68" s="1327" t="str">
        <x:v>Condicional</x:v>
      </x:c>
      <x:c r="E68" s="1327" t="str">
        <x:v>Condicional</x:v>
      </x:c>
      <x:c r="F68" s="1327" t="str">
        <x:v>no es override automático</x:v>
      </x:c>
      <x:c r="G68" s="1277"/>
      <x:c r="H68" s="3657"/>
      <x:c r="I68" s="3657"/>
      <x:c r="J68" s="3657"/>
      <x:c r="K68" s="3657"/>
      <x:c r="L68" s="3657"/>
      <x:c r="M68" s="3657"/>
      <x:c r="N68" s="3657"/>
    </x:row>
    <x:row r="69" ht="50" customHeight="1">
      <x:c r="A69" s="1327" t="str">
        <x:v>Suspender trabajo</x:v>
      </x:c>
      <x:c r="B69" s="1327" t="str">
        <x:v>DirectivaOperativa SUSPENDER</x:v>
      </x:c>
      <x:c r="C69" s="1327" t="str">
        <x:v>suspender PTW asociado</x:v>
      </x:c>
      <x:c r="D69" s="1327" t="str">
        <x:v>Sí probable</x:v>
      </x:c>
      <x:c r="E69" s="1327" t="str">
        <x:v>según regla</x:v>
      </x:c>
      <x:c r="F69" s="1327" t="str">
        <x:v>Habilita domina ejecución</x:v>
      </x:c>
      <x:c r="G69" s="1277"/>
      <x:c r="H69" s="3657"/>
      <x:c r="I69" s="3657"/>
      <x:c r="J69" s="3657"/>
      <x:c r="K69" s="3657"/>
      <x:c r="L69" s="3657"/>
      <x:c r="M69" s="3657"/>
      <x:c r="N69" s="3657"/>
    </x:row>
    <x:row r="70" ht="50" customHeight="1">
      <x:c r="A70" s="1327" t="str">
        <x:v>Respuesta emergente</x:v>
      </x:c>
      <x:c r="B70" s="1327" t="str">
        <x:v>detener/aislar/activar respuesta según procedimientos</x:v>
      </x:c>
      <x:c r="C70" s="1327" t="str">
        <x:v>PTW suspendidos/cerrados según autoridad</x:v>
      </x:c>
      <x:c r="D70" s="1327" t="str">
        <x:v>Sí</x:v>
      </x:c>
      <x:c r="E70" s="1327" t="str">
        <x:v>según regla</x:v>
      </x:c>
      <x:c r="F70" s="1327" t="str">
        <x:v>detalle de emergencia fuera del alcance actual</x:v>
      </x:c>
      <x:c r="G70" s="1277"/>
      <x:c r="H70" s="3657"/>
      <x:c r="I70" s="3657"/>
      <x:c r="J70" s="3657"/>
      <x:c r="K70" s="3657"/>
      <x:c r="L70" s="3657"/>
      <x:c r="M70" s="3657"/>
      <x:c r="N70" s="3657"/>
    </x:row>
    <x:row r="71" ht="50" customHeight="1">
      <x:c r="A71" s="1327" t="str">
        <x:v>Investigación</x:v>
      </x:c>
      <x:c r="B71" s="1327" t="str">
        <x:v>puede operación estar ya normalizada</x:v>
      </x:c>
      <x:c r="C71" s="1327" t="str">
        <x:v>independiente</x:v>
      </x:c>
      <x:c r="D71" s="1327" t="str">
        <x:v>Sí</x:v>
      </x:c>
      <x:c r="E71" s="1327" t="str">
        <x:v>según regla</x:v>
      </x:c>
      <x:c r="F71" s="1327" t="str">
        <x:v>Caso sigue abierto aunque Parte cierre</x:v>
      </x:c>
      <x:c r="G71" s="1277"/>
      <x:c r="H71" s="3657"/>
      <x:c r="I71" s="3657"/>
      <x:c r="J71" s="3657"/>
      <x:c r="K71" s="3657"/>
      <x:c r="L71" s="3657"/>
      <x:c r="M71" s="3657"/>
      <x:c r="N71" s="3657"/>
    </x:row>
    <x:row r="72">
      <x:c r="A72" s="1277"/>
      <x:c r="B72" s="1277"/>
      <x:c r="C72" s="1277"/>
      <x:c r="D72" s="1277"/>
      <x:c r="E72" s="1277"/>
      <x:c r="F72" s="1277"/>
      <x:c r="G72" s="1277"/>
      <x:c r="H72" s="1277"/>
      <x:c r="I72" s="1277"/>
      <x:c r="J72" s="1277"/>
      <x:c r="K72" s="1277"/>
      <x:c r="L72" s="1277"/>
      <x:c r="M72" s="1277"/>
      <x:c r="N72" s="1277"/>
    </x:row>
    <x:row r="73">
      <x:c r="A73" s="3256" t="str">
        <x:v>06 — CASO Habilita · TRIAGE → INVESTIGACIÓN → ACCIONES → APRENDIZAJE</x:v>
      </x:c>
      <x:c r="B73" s="3256"/>
      <x:c r="C73" s="3256"/>
      <x:c r="D73" s="3256"/>
      <x:c r="E73" s="3256"/>
      <x:c r="F73" s="3256"/>
      <x:c r="G73" s="3256"/>
      <x:c r="H73" s="3256"/>
      <x:c r="I73" s="3256"/>
      <x:c r="J73" s="3256"/>
      <x:c r="K73" s="3256"/>
      <x:c r="L73" s="3256"/>
      <x:c r="M73" s="3256"/>
      <x:c r="N73" s="3256"/>
    </x:row>
    <x:row r="74">
      <x:c r="A74" s="1277"/>
      <x:c r="B74" s="1277"/>
      <x:c r="C74" s="1277"/>
      <x:c r="D74" s="1277"/>
      <x:c r="E74" s="1277"/>
      <x:c r="F74" s="1277"/>
      <x:c r="G74" s="1277"/>
      <x:c r="H74" s="1277"/>
      <x:c r="I74" s="1277"/>
      <x:c r="J74" s="1277"/>
      <x:c r="K74" s="1277"/>
      <x:c r="L74" s="1277"/>
      <x:c r="M74" s="1277"/>
      <x:c r="N74" s="1277"/>
    </x:row>
    <x:row r="75">
      <x:c r="A75" s="3213" t="str">
        <x:v>TRIAGE</x:v>
      </x:c>
      <x:c r="B75" s="3215"/>
      <x:c r="C75" s="1277"/>
      <x:c r="D75" s="3213" t="str">
        <x:v>INVESTIGACIÓN</x:v>
      </x:c>
      <x:c r="E75" s="3215"/>
      <x:c r="F75" s="1277"/>
      <x:c r="G75" s="3213" t="str">
        <x:v>ACCIONES</x:v>
      </x:c>
      <x:c r="H75" s="3215"/>
      <x:c r="I75" s="1277"/>
      <x:c r="J75" s="3213" t="str">
        <x:v>VERIFICACIÓN</x:v>
      </x:c>
      <x:c r="K75" s="3215"/>
      <x:c r="L75" s="1277"/>
      <x:c r="M75" s="3213" t="str">
        <x:v>CERRADO</x:v>
      </x:c>
      <x:c r="N75" s="3215"/>
    </x:row>
    <x:row r="76">
      <x:c r="A76" s="3222"/>
      <x:c r="B76" s="3224"/>
      <x:c r="C76" s="1277"/>
      <x:c r="D76" s="3222"/>
      <x:c r="E76" s="3224"/>
      <x:c r="F76" s="1277"/>
      <x:c r="G76" s="3222"/>
      <x:c r="H76" s="3224"/>
      <x:c r="I76" s="1277"/>
      <x:c r="J76" s="3222"/>
      <x:c r="K76" s="3224"/>
      <x:c r="L76" s="1277"/>
      <x:c r="M76" s="3222"/>
      <x:c r="N76" s="3224"/>
    </x:row>
    <x:row r="77">
      <x:c r="A77" s="3222"/>
      <x:c r="B77" s="3224"/>
      <x:c r="C77" s="1297" t="str">
        <x:v>→</x:v>
      </x:c>
      <x:c r="D77" s="3222"/>
      <x:c r="E77" s="3224"/>
      <x:c r="F77" s="1297" t="str">
        <x:v>→</x:v>
      </x:c>
      <x:c r="G77" s="3222"/>
      <x:c r="H77" s="3224"/>
      <x:c r="I77" s="1297" t="str">
        <x:v>→</x:v>
      </x:c>
      <x:c r="J77" s="3222"/>
      <x:c r="K77" s="3224"/>
      <x:c r="L77" s="1297" t="str">
        <x:v>→</x:v>
      </x:c>
      <x:c r="M77" s="3222"/>
      <x:c r="N77" s="3224"/>
    </x:row>
    <x:row r="78">
      <x:c r="A78" s="3222"/>
      <x:c r="B78" s="3224"/>
      <x:c r="C78" s="1277"/>
      <x:c r="D78" s="3222"/>
      <x:c r="E78" s="3224"/>
      <x:c r="F78" s="1277"/>
      <x:c r="G78" s="3222"/>
      <x:c r="H78" s="3224"/>
      <x:c r="I78" s="1277"/>
      <x:c r="J78" s="3222"/>
      <x:c r="K78" s="3224"/>
      <x:c r="L78" s="1277"/>
      <x:c r="M78" s="3222"/>
      <x:c r="N78" s="3224"/>
    </x:row>
    <x:row r="79">
      <x:c r="A79" s="3231"/>
      <x:c r="B79" s="3233"/>
      <x:c r="C79" s="1277"/>
      <x:c r="D79" s="3231"/>
      <x:c r="E79" s="3233"/>
      <x:c r="F79" s="1277"/>
      <x:c r="G79" s="3231"/>
      <x:c r="H79" s="3233"/>
      <x:c r="I79" s="1277"/>
      <x:c r="J79" s="3231"/>
      <x:c r="K79" s="3233"/>
      <x:c r="L79" s="1277"/>
      <x:c r="M79" s="3231"/>
      <x:c r="N79" s="3233"/>
    </x:row>
    <x:row r="80">
      <x:c r="A80" s="1277"/>
      <x:c r="B80" s="1277"/>
      <x:c r="C80" s="1277"/>
      <x:c r="D80" s="1277"/>
      <x:c r="E80" s="1277"/>
      <x:c r="F80" s="1277"/>
      <x:c r="G80" s="1277"/>
      <x:c r="H80" s="1277"/>
      <x:c r="I80" s="1277"/>
      <x:c r="J80" s="1277"/>
      <x:c r="K80" s="1277"/>
      <x:c r="L80" s="1277"/>
      <x:c r="M80" s="1277"/>
      <x:c r="N80" s="1277"/>
    </x:row>
    <x:row r="81">
      <x:c r="A81" s="3234" t="str">
        <x:v>REV E v2: separar tres lifecycles. estado_investigacion_habilita puede llegar a FINALIZADA aunque existan AccionesCorrectivas abiertas; estado_accion_correctiva_habilita continúa de forma independiente; estado_caso_habilita determina seguimiento/cierre global. El gate exacto de CERRADO (acciones asignadas vs verificadas) queda para Q-09/Habilita.</x:v>
      </x:c>
      <x:c r="B81" s="3234"/>
      <x:c r="C81" s="3234"/>
      <x:c r="D81" s="3234"/>
      <x:c r="E81" s="3234"/>
      <x:c r="F81" s="3234"/>
      <x:c r="G81" s="3234"/>
      <x:c r="H81" s="3234"/>
      <x:c r="I81" s="3234"/>
      <x:c r="J81" s="3234"/>
      <x:c r="K81" s="3234"/>
      <x:c r="L81" s="3234"/>
      <x:c r="M81" s="3234"/>
      <x:c r="N81" s="3234"/>
    </x:row>
    <x:row r="82">
      <x:c r="A82" s="3234"/>
      <x:c r="B82" s="3234"/>
      <x:c r="C82" s="3234"/>
      <x:c r="D82" s="3234"/>
      <x:c r="E82" s="3234"/>
      <x:c r="F82" s="3234"/>
      <x:c r="G82" s="3234"/>
      <x:c r="H82" s="3234"/>
      <x:c r="I82" s="3234"/>
      <x:c r="J82" s="3234"/>
      <x:c r="K82" s="3234"/>
      <x:c r="L82" s="3234"/>
      <x:c r="M82" s="3234"/>
      <x:c r="N82" s="3234"/>
    </x:row>
    <x:row r="83">
      <x:c r="A83" s="3234"/>
      <x:c r="B83" s="3234"/>
      <x:c r="C83" s="3234"/>
      <x:c r="D83" s="3234"/>
      <x:c r="E83" s="3234"/>
      <x:c r="F83" s="3234"/>
      <x:c r="G83" s="3234"/>
      <x:c r="H83" s="3234"/>
      <x:c r="I83" s="3234"/>
      <x:c r="J83" s="3234"/>
      <x:c r="K83" s="3234"/>
      <x:c r="L83" s="3234"/>
      <x:c r="M83" s="3234"/>
      <x:c r="N83" s="3234"/>
    </x:row>
    <x:row r="84">
      <x:c r="A84" s="3234"/>
      <x:c r="B84" s="3234"/>
      <x:c r="C84" s="3234"/>
      <x:c r="D84" s="3234"/>
      <x:c r="E84" s="3234"/>
      <x:c r="F84" s="3234"/>
      <x:c r="G84" s="3234"/>
      <x:c r="H84" s="3234"/>
      <x:c r="I84" s="3234"/>
      <x:c r="J84" s="3234"/>
      <x:c r="K84" s="3234"/>
      <x:c r="L84" s="3234"/>
      <x:c r="M84" s="3234"/>
      <x:c r="N84" s="3234"/>
    </x:row>
    <x:row r="85">
      <x:c r="A85" s="1277"/>
      <x:c r="B85" s="1277"/>
      <x:c r="C85" s="1277"/>
      <x:c r="D85" s="1277"/>
      <x:c r="E85" s="1277"/>
      <x:c r="F85" s="1277"/>
      <x:c r="G85" s="1277"/>
      <x:c r="H85" s="1277"/>
      <x:c r="I85" s="1277"/>
      <x:c r="J85" s="1277"/>
      <x:c r="K85" s="1277"/>
      <x:c r="L85" s="1277"/>
      <x:c r="M85" s="1277"/>
      <x:c r="N85" s="1277"/>
    </x:row>
    <x:row r="86">
      <x:c r="A86" s="3256" t="str">
        <x:v>07 — AMBIENTAL COMO EXTENSIÓN · NO CONTAMINAR EL CORE Habilita</x:v>
      </x:c>
      <x:c r="B86" s="3256"/>
      <x:c r="C86" s="3256"/>
      <x:c r="D86" s="3256"/>
      <x:c r="E86" s="3256"/>
      <x:c r="F86" s="3256"/>
      <x:c r="G86" s="3256"/>
      <x:c r="H86" s="3256"/>
      <x:c r="I86" s="3256"/>
      <x:c r="J86" s="3256"/>
      <x:c r="K86" s="3256"/>
      <x:c r="L86" s="3256"/>
      <x:c r="M86" s="3256"/>
      <x:c r="N86" s="3256"/>
    </x:row>
    <x:row r="87">
      <x:c r="A87" s="3235" t="str">
        <x:v>Base EventoHabilita</x:v>
      </x:c>
      <x:c r="B87" s="3235" t="str">
        <x:v>Extensión ambiental probable</x:v>
      </x:c>
      <x:c r="C87" s="3235" t="str">
        <x:v>Momento</x:v>
      </x:c>
      <x:c r="D87" s="3235" t="str">
        <x:v>Versionado</x:v>
      </x:c>
      <x:c r="E87" s="3235" t="str">
        <x:v>Manual?</x:v>
      </x:c>
      <x:c r="F87" s="3235" t="str">
        <x:v>Estado</x:v>
      </x:c>
      <x:c r="G87" s="1277"/>
      <x:c r="H87" s="3204" t="str">
        <x:v>La arquitectura usa componentes por tipo de evento:
EventoHabilita (core común)
  ├─ Detalle/Mediciones ambientales
  ├─ Detalle lesión/health [futuro]
  ├─ Detalle vehicular [futuro]
  └─ Detalle process safety [futuro]
No creamos cuatro sistemas distintos ni llenamos el evento base de columnas irrelevantes.</x:v>
      </x:c>
      <x:c r="I87" s="3204"/>
      <x:c r="J87" s="3204"/>
      <x:c r="K87" s="3204"/>
      <x:c r="L87" s="3204"/>
      <x:c r="M87" s="3204"/>
      <x:c r="N87" s="3204"/>
    </x:row>
    <x:row r="88" ht="50" customHeight="1">
      <x:c r="A88" s="1327" t="str">
        <x:v>tipo + ubicación + tiempos</x:v>
      </x:c>
      <x:c r="B88" s="1327" t="str">
        <x:v>material/sustancia</x:v>
      </x:c>
      <x:c r="C88" s="1327" t="str">
        <x:v>inicial/triage</x:v>
      </x:c>
      <x:c r="D88" s="1327" t="str">
        <x:v>catálogo</x:v>
      </x:c>
      <x:c r="E88" s="1327" t="str">
        <x:v>selección</x:v>
      </x:c>
      <x:c r="F88" s="1327" t="str">
        <x:v>Validar V80</x:v>
      </x:c>
      <x:c r="G88" s="1277"/>
      <x:c r="H88" s="3204"/>
      <x:c r="I88" s="3204"/>
      <x:c r="J88" s="3204"/>
      <x:c r="K88" s="3204"/>
      <x:c r="L88" s="3204"/>
      <x:c r="M88" s="3204"/>
      <x:c r="N88" s="3204"/>
    </x:row>
    <x:row r="89" ht="50" customHeight="1">
      <x:c r="A89" s="1327" t="str">
        <x:v>contexto operativo</x:v>
      </x:c>
      <x:c r="B89" s="1327" t="str">
        <x:v>cantidad estimada</x:v>
      </x:c>
      <x:c r="C89" s="1327" t="str">
        <x:v>inicial</x:v>
      </x:c>
      <x:c r="D89" s="1327" t="str">
        <x:v>MedicionEventoHabilita</x:v>
      </x:c>
      <x:c r="E89" s="1327" t="str">
        <x:v>sí/estimación</x:v>
      </x:c>
      <x:c r="F89" s="1327" t="str">
        <x:v>Puede refinarse</x:v>
      </x:c>
      <x:c r="G89" s="1277"/>
      <x:c r="H89" s="3204"/>
      <x:c r="I89" s="3204"/>
      <x:c r="J89" s="3204"/>
      <x:c r="K89" s="3204"/>
      <x:c r="L89" s="3204"/>
      <x:c r="M89" s="3204"/>
      <x:c r="N89" s="3204"/>
    </x:row>
    <x:row r="90" ht="50" customHeight="1">
      <x:c r="A90" s="1327" t="str">
        <x:v>evidencia</x:v>
      </x:c>
      <x:c r="B90" s="1327" t="str">
        <x:v>cantidad final/confirmada</x:v>
      </x:c>
      <x:c r="C90" s="1327" t="str">
        <x:v>posterior</x:v>
      </x:c>
      <x:c r="D90" s="1327" t="str">
        <x:v>nueva medición, no overwrite</x:v>
      </x:c>
      <x:c r="E90" s="1327" t="str">
        <x:v>Habilita/medición</x:v>
      </x:c>
      <x:c r="F90" s="1327" t="str">
        <x:v>Patrón v1.1</x:v>
      </x:c>
      <x:c r="G90" s="1277"/>
      <x:c r="H90" s="3204"/>
      <x:c r="I90" s="3204"/>
      <x:c r="J90" s="3204"/>
      <x:c r="K90" s="3204"/>
      <x:c r="L90" s="3204"/>
      <x:c r="M90" s="3204"/>
      <x:c r="N90" s="3204"/>
    </x:row>
    <x:row r="91" ht="50" customHeight="1">
      <x:c r="A91" s="1327" t="str">
        <x:v>severidad real/potencial</x:v>
      </x:c>
      <x:c r="B91" s="1327" t="str">
        <x:v>medio afectado / alcance</x:v>
      </x:c>
      <x:c r="C91" s="1327" t="str">
        <x:v>triage/investigación</x:v>
      </x:c>
      <x:c r="D91" s="1327" t="str">
        <x:v>histórico</x:v>
      </x:c>
      <x:c r="E91" s="1327" t="str">
        <x:v>Habilita</x:v>
      </x:c>
      <x:c r="F91" s="1327" t="str">
        <x:v>Pendiente taxonomía</x:v>
      </x:c>
      <x:c r="G91" s="1277"/>
      <x:c r="H91" s="3204"/>
      <x:c r="I91" s="3204"/>
      <x:c r="J91" s="3204"/>
      <x:c r="K91" s="3204"/>
      <x:c r="L91" s="3204"/>
      <x:c r="M91" s="3204"/>
      <x:c r="N91" s="3204"/>
    </x:row>
    <x:row r="92" ht="50" customHeight="1">
      <x:c r="A92" s="1327" t="str">
        <x:v>acción inmediata</x:v>
      </x:c>
      <x:c r="B92" s="1327" t="str">
        <x:v>cantidad recuperada / respuesta</x:v>
      </x:c>
      <x:c r="C92" s="1327" t="str">
        <x:v>durante/posterior</x:v>
      </x:c>
      <x:c r="D92" s="1327" t="str">
        <x:v>eventos/mediciones</x:v>
      </x:c>
      <x:c r="E92" s="1327" t="str">
        <x:v>Habilita/Ops</x:v>
      </x:c>
      <x:c r="F92" s="1327" t="str">
        <x:v>No fijar hasta validar</x:v>
      </x:c>
      <x:c r="G92" s="1277"/>
      <x:c r="H92" s="3204"/>
      <x:c r="I92" s="3204"/>
      <x:c r="J92" s="3204"/>
      <x:c r="K92" s="3204"/>
      <x:c r="L92" s="3204"/>
      <x:c r="M92" s="3204"/>
      <x:c r="N92" s="3204"/>
    </x:row>
    <x:row r="93">
      <x:c r="A93" s="1277"/>
      <x:c r="B93" s="1277"/>
      <x:c r="C93" s="1277"/>
      <x:c r="D93" s="1277"/>
      <x:c r="E93" s="1277"/>
      <x:c r="F93" s="1277"/>
      <x:c r="G93" s="1277"/>
      <x:c r="H93" s="1277"/>
      <x:c r="I93" s="1277"/>
      <x:c r="J93" s="1277"/>
      <x:c r="K93" s="1277"/>
      <x:c r="L93" s="1277"/>
      <x:c r="M93" s="1277"/>
      <x:c r="N93" s="1277"/>
    </x:row>
    <x:row r="94">
      <x:c r="A94" s="3256" t="str">
        <x:v>08 — INTERACCIÓN CON CERTIFICACIÓN · REFERENCIA, NO FUENTE COMERCIAL DIRECTA</x:v>
      </x:c>
      <x:c r="B94" s="3256"/>
      <x:c r="C94" s="3256"/>
      <x:c r="D94" s="3256"/>
      <x:c r="E94" s="3256"/>
      <x:c r="F94" s="3256"/>
      <x:c r="G94" s="3256"/>
      <x:c r="H94" s="3256"/>
      <x:c r="I94" s="3256"/>
      <x:c r="J94" s="3256"/>
      <x:c r="K94" s="3256"/>
      <x:c r="L94" s="3256"/>
      <x:c r="M94" s="3256"/>
      <x:c r="N94" s="3256"/>
    </x:row>
    <x:row r="95">
      <x:c r="A95" s="1277"/>
      <x:c r="B95" s="1277"/>
      <x:c r="C95" s="1277"/>
      <x:c r="D95" s="1277"/>
      <x:c r="E95" s="1277"/>
      <x:c r="F95" s="1277"/>
      <x:c r="G95" s="1277"/>
      <x:c r="H95" s="1277"/>
      <x:c r="I95" s="1277"/>
      <x:c r="J95" s="1277"/>
      <x:c r="K95" s="1277"/>
      <x:c r="L95" s="1277"/>
      <x:c r="M95" s="1277"/>
      <x:c r="N95" s="1277"/>
    </x:row>
    <x:row r="96">
      <x:c r="A96" s="3253" t="str">
        <x:v>NO HACER
EventoHabilita → UnidadComercial directa
Incidente → editar horas del Parte
CasoHabilita abierto → mantener Parte operativo abierto
Severity Habilita → inventar descuento/penalidad comercial</x:v>
      </x:c>
      <x:c r="B96" s="3253"/>
      <x:c r="C96" s="3253"/>
      <x:c r="D96" s="3253"/>
      <x:c r="E96" s="3253"/>
      <x:c r="F96" s="3253"/>
      <x:c r="G96" s="1277"/>
      <x:c r="H96" s="3254" t="str">
        <x:v>HACER
EventoHabilita → puede generar EventoTiempo / suspensión / cambio de ejecución
Esos hechos operativos → Interface B
Contrato → decide tratamiento comercial
Si existe penalidad/regla Habilita contractual futura → modelarla explícitamente, no inferirla.</x:v>
      </x:c>
      <x:c r="I96" s="3254"/>
      <x:c r="J96" s="3254"/>
      <x:c r="K96" s="3254"/>
      <x:c r="L96" s="3254"/>
      <x:c r="M96" s="3254"/>
      <x:c r="N96" s="3254"/>
    </x:row>
    <x:row r="97">
      <x:c r="A97" s="3253"/>
      <x:c r="B97" s="3253"/>
      <x:c r="C97" s="3253"/>
      <x:c r="D97" s="3253"/>
      <x:c r="E97" s="3253"/>
      <x:c r="F97" s="3253"/>
      <x:c r="G97" s="1277"/>
      <x:c r="H97" s="3254"/>
      <x:c r="I97" s="3254"/>
      <x:c r="J97" s="3254"/>
      <x:c r="K97" s="3254"/>
      <x:c r="L97" s="3254"/>
      <x:c r="M97" s="3254"/>
      <x:c r="N97" s="3254"/>
    </x:row>
    <x:row r="98">
      <x:c r="A98" s="3253"/>
      <x:c r="B98" s="3253"/>
      <x:c r="C98" s="3253"/>
      <x:c r="D98" s="3253"/>
      <x:c r="E98" s="3253"/>
      <x:c r="F98" s="3253"/>
      <x:c r="G98" s="1277"/>
      <x:c r="H98" s="3254"/>
      <x:c r="I98" s="3254"/>
      <x:c r="J98" s="3254"/>
      <x:c r="K98" s="3254"/>
      <x:c r="L98" s="3254"/>
      <x:c r="M98" s="3254"/>
      <x:c r="N98" s="3254"/>
    </x:row>
    <x:row r="99">
      <x:c r="A99" s="3253"/>
      <x:c r="B99" s="3253"/>
      <x:c r="C99" s="3253"/>
      <x:c r="D99" s="3253"/>
      <x:c r="E99" s="3253"/>
      <x:c r="F99" s="3253"/>
      <x:c r="G99" s="1277"/>
      <x:c r="H99" s="3254"/>
      <x:c r="I99" s="3254"/>
      <x:c r="J99" s="3254"/>
      <x:c r="K99" s="3254"/>
      <x:c r="L99" s="3254"/>
      <x:c r="M99" s="3254"/>
      <x:c r="N99" s="3254"/>
    </x:row>
    <x:row r="100">
      <x:c r="A100" s="3253"/>
      <x:c r="B100" s="3253"/>
      <x:c r="C100" s="3253"/>
      <x:c r="D100" s="3253"/>
      <x:c r="E100" s="3253"/>
      <x:c r="F100" s="3253"/>
      <x:c r="G100" s="1277"/>
      <x:c r="H100" s="3254"/>
      <x:c r="I100" s="3254"/>
      <x:c r="J100" s="3254"/>
      <x:c r="K100" s="3254"/>
      <x:c r="L100" s="3254"/>
      <x:c r="M100" s="3254"/>
      <x:c r="N100" s="3254"/>
    </x:row>
    <x:row r="101">
      <x:c r="A101" s="3253"/>
      <x:c r="B101" s="3253"/>
      <x:c r="C101" s="3253"/>
      <x:c r="D101" s="3253"/>
      <x:c r="E101" s="3253"/>
      <x:c r="F101" s="3253"/>
      <x:c r="G101" s="1277"/>
      <x:c r="H101" s="3254"/>
      <x:c r="I101" s="3254"/>
      <x:c r="J101" s="3254"/>
      <x:c r="K101" s="3254"/>
      <x:c r="L101" s="3254"/>
      <x:c r="M101" s="3254"/>
      <x:c r="N101" s="3254"/>
    </x:row>
    <x:row r="102">
      <x:c r="A102" s="1277"/>
      <x:c r="B102" s="1277"/>
      <x:c r="C102" s="1277"/>
      <x:c r="D102" s="1277"/>
      <x:c r="E102" s="1277"/>
      <x:c r="F102" s="1277"/>
      <x:c r="G102" s="1277"/>
      <x:c r="H102" s="1277"/>
      <x:c r="I102" s="1277"/>
      <x:c r="J102" s="1277"/>
      <x:c r="K102" s="1277"/>
      <x:c r="L102" s="1277"/>
      <x:c r="M102" s="1277"/>
      <x:c r="N102" s="1277"/>
    </x:row>
    <x:row r="103">
      <x:c r="A103" s="3256" t="str">
        <x:v>09 — BENCHMARK EXTERNO · QUÉ CONFIRMA NUESTRA DECISIÓN</x:v>
      </x:c>
      <x:c r="B103" s="3256"/>
      <x:c r="C103" s="3256"/>
      <x:c r="D103" s="3256"/>
      <x:c r="E103" s="3256"/>
      <x:c r="F103" s="3256"/>
      <x:c r="G103" s="3256"/>
      <x:c r="H103" s="3256"/>
      <x:c r="I103" s="3256"/>
      <x:c r="J103" s="3256"/>
      <x:c r="K103" s="3256"/>
      <x:c r="L103" s="3256"/>
      <x:c r="M103" s="3256"/>
      <x:c r="N103" s="3256"/>
    </x:row>
    <x:row r="104">
      <x:c r="A104" s="3235" t="str">
        <x:v>Fuente</x:v>
      </x:c>
      <x:c r="B104" s="3235" t="str">
        <x:v>Práctica relevante</x:v>
      </x:c>
      <x:c r="C104" s="3235" t="str">
        <x:v>Qué valida</x:v>
      </x:c>
      <x:c r="D104" s="3235" t="str">
        <x:v>Qué NO copiamos</x:v>
      </x:c>
      <x:c r="E104" s="3235" t="str">
        <x:v>URL</x:v>
      </x:c>
      <x:c r="F104" s="3235" t="str">
        <x:v>Uso</x:v>
      </x:c>
      <x:c r="G104" s="1277"/>
      <x:c r="H104" s="1277"/>
      <x:c r="I104" s="1277"/>
      <x:c r="J104" s="1277"/>
      <x:c r="K104" s="1277"/>
      <x:c r="L104" s="1277"/>
      <x:c r="M104" s="1277"/>
      <x:c r="N104" s="1277"/>
    </x:row>
    <x:row r="105" ht="70" customHeight="1">
      <x:c r="A105" s="1327" t="str">
        <x:v>Energy Institute · PSM Elements 17/19</x:v>
      </x:c>
      <x:c r="B105" s="1327" t="str">
        <x:v>Separa Work Control/PTW (elemento 17) de Incident Reporting &amp; Investigation (elemento 19).</x:v>
      </x:c>
      <x:c r="C105" s="1327" t="str">
        <x:v>PTW y EventoHabilita son workflows distintos que se conectan.</x:v>
      </x:c>
      <x:c r="D105" s="1327" t="str">
        <x:v>Workflow exacto del EI.</x:v>
      </x:c>
      <x:c r="E105" s="1327" t="str">
        <x:v>https://www.energyinst.org/industry/publications/topics/process-safety/guidance-on-meeting-expectations-of-ei-process-safety-management-framework-element-19-incident-reporting-and-investigation</x:v>
      </x:c>
      <x:c r="F105" s="1327" t="str">
        <x:v>Benchmark arquitectura</x:v>
      </x:c>
      <x:c r="G105" s="1277"/>
      <x:c r="H105" s="1277"/>
      <x:c r="I105" s="1277"/>
      <x:c r="J105" s="1277"/>
      <x:c r="K105" s="1277"/>
      <x:c r="L105" s="1277"/>
      <x:c r="M105" s="1277"/>
      <x:c r="N105" s="1277"/>
    </x:row>
    <x:row r="106" ht="70" customHeight="1">
      <x:c r="A106" s="1327" t="str">
        <x:v>IOGP · Health &amp; Safety</x:v>
      </x:c>
      <x:c r="B106" s="1327" t="str">
        <x:v>Promueve reportar/documentar/investigar incidentes, near misses, unsafe acts/conditions y safety observations.</x:v>
      </x:c>
      <x:c r="C106" s="1327" t="str">
        <x:v>EventoHabilita debe ser más amplio que 'Incidente Ambiental'.</x:v>
      </x:c>
      <x:c r="D106" s="1327" t="str">
        <x:v>Taxonomía exacta hasta validación VDS.</x:v>
      </x:c>
      <x:c r="E106" s="1327" t="str">
        <x:v>https://www.iogp.org/key-topics/health-safety/</x:v>
      </x:c>
      <x:c r="F106" s="1327" t="str">
        <x:v>Benchmark scope</x:v>
      </x:c>
      <x:c r="G106" s="1277"/>
      <x:c r="H106" s="1277"/>
      <x:c r="I106" s="1277"/>
      <x:c r="J106" s="1277"/>
      <x:c r="K106" s="1277"/>
      <x:c r="L106" s="1277"/>
      <x:c r="M106" s="1277"/>
      <x:c r="N106" s="1277"/>
    </x:row>
    <x:row r="107" ht="70" customHeight="1">
      <x:c r="A107" s="1327" t="str">
        <x:v>IOGP · Safety data reporting</x:v>
      </x:c>
      <x:c r="B107" s="1327" t="str">
        <x:v>Distingue y analiza eventos de occupational safety, process safety y motor vehicle safety.</x:v>
      </x:c>
      <x:c r="C107" s="1327" t="str">
        <x:v>Clasificación Habilita es dominio analítico propio, no TipoParte.</x:v>
      </x:c>
      <x:c r="D107" s="1327" t="str">
        <x:v>Definiciones exactas como catálogo VDS.</x:v>
      </x:c>
      <x:c r="E107" s="1327" t="str">
        <x:v>https://www.iogp.org/bookstore/product/safety-data-reporting-user-guide-scope-and-definitions-2025-data/</x:v>
      </x:c>
      <x:c r="F107" s="1327" t="str">
        <x:v>Benchmark taxonomy</x:v>
      </x:c>
      <x:c r="G107" s="1277"/>
      <x:c r="H107" s="1277"/>
      <x:c r="I107" s="1277"/>
      <x:c r="J107" s="1277"/>
      <x:c r="K107" s="1277"/>
      <x:c r="L107" s="1277"/>
      <x:c r="M107" s="1277"/>
      <x:c r="N107" s="1277"/>
    </x:row>
    <x:row r="108" ht="70" customHeight="1">
      <x:c r="A108" s="1327" t="str">
        <x:v>IOGP · Environmental performance</x:v>
      </x:c>
      <x:c r="B108" s="1327" t="str">
        <x:v>Spills son una categoría ambiental propia; material/volumen son datos relevantes y pueden ser refinados.</x:v>
      </x:c>
      <x:c r="C108" s="1327" t="str">
        <x:v>Extensión ambiental + MedicionEventoHabilita.</x:v>
      </x:c>
      <x:c r="D108" s="1327" t="str">
        <x:v>Umbrales/reporting exactos.</x:v>
      </x:c>
      <x:c r="E108" s="1327" t="str">
        <x:v>https://www.iogp.org/blog/data-series/environmental-performance-six-ways-iogp-is-increasing-transparency/</x:v>
      </x:c>
      <x:c r="F108" s="1327" t="str">
        <x:v>Benchmark ambiental</x:v>
      </x:c>
      <x:c r="G108" s="1277"/>
      <x:c r="H108" s="1277"/>
      <x:c r="I108" s="1277"/>
      <x:c r="J108" s="1277"/>
      <x:c r="K108" s="1277"/>
      <x:c r="L108" s="1277"/>
      <x:c r="M108" s="1277"/>
      <x:c r="N108" s="1277"/>
    </x:row>
    <x:row r="109" ht="70" customHeight="1">
      <x:c r="A109" s="1327" t="str">
        <x:v>OSHA · Incident Investigation</x:v>
      </x:c>
      <x:c r="B109" s="1327" t="str">
        <x:v>Incidentes y near misses se investigan para identificar causas subyacentes y acciones preventivas.</x:v>
      </x:c>
      <x:c r="C109" s="1327" t="str">
        <x:v>Separar reporte inmediato de investigación/root cause/acciones.</x:v>
      </x:c>
      <x:c r="D109" s="1327" t="str">
        <x:v>Reglas regulatorias de EE.UU.</x:v>
      </x:c>
      <x:c r="E109" s="1327" t="str">
        <x:v>https://www.osha.gov/incident-investigation</x:v>
      </x:c>
      <x:c r="F109" s="1327" t="str">
        <x:v>Benchmark learning</x:v>
      </x:c>
      <x:c r="G109" s="1277"/>
      <x:c r="H109" s="1277"/>
      <x:c r="I109" s="1277"/>
      <x:c r="J109" s="1277"/>
      <x:c r="K109" s="1277"/>
      <x:c r="L109" s="1277"/>
      <x:c r="M109" s="1277"/>
      <x:c r="N109" s="1277"/>
    </x:row>
    <x:row r="110">
      <x:c r="A110" s="1277"/>
      <x:c r="B110" s="1277"/>
      <x:c r="C110" s="1277"/>
      <x:c r="D110" s="1277"/>
      <x:c r="E110" s="1277"/>
      <x:c r="F110" s="1277"/>
      <x:c r="G110" s="1277"/>
      <x:c r="H110" s="1277"/>
      <x:c r="I110" s="1277"/>
      <x:c r="J110" s="1277"/>
      <x:c r="K110" s="1277"/>
      <x:c r="L110" s="1277"/>
      <x:c r="M110" s="1277"/>
      <x:c r="N110" s="1277"/>
    </x:row>
    <x:row r="111">
      <x:c r="A111" s="3256" t="str">
        <x:v>10 — DECISIONES Habilita QUE AÚN NO CONVIENE INVENTAR</x:v>
      </x:c>
      <x:c r="B111" s="3256"/>
      <x:c r="C111" s="3256"/>
      <x:c r="D111" s="3256"/>
      <x:c r="E111" s="3256"/>
      <x:c r="F111" s="3256"/>
      <x:c r="G111" s="3256"/>
      <x:c r="H111" s="3256"/>
      <x:c r="I111" s="3256"/>
      <x:c r="J111" s="3256"/>
      <x:c r="K111" s="3256"/>
      <x:c r="L111" s="3256"/>
      <x:c r="M111" s="3256"/>
      <x:c r="N111" s="3256"/>
    </x:row>
    <x:row r="112">
      <x:c r="A112" s="3235" t="str">
        <x:v>ID</x:v>
      </x:c>
      <x:c r="B112" s="3235" t="str">
        <x:v>Decisión</x:v>
      </x:c>
      <x:c r="C112" s="3235" t="str">
        <x:v>Por qué importa</x:v>
      </x:c>
      <x:c r="D112" s="3235" t="str">
        <x:v>Quién</x:v>
      </x:c>
      <x:c r="E112" s="3235" t="str">
        <x:v>Prioridad</x:v>
      </x:c>
      <x:c r="F112" s="3235" t="str">
        <x:v>Arquitectura ya soporta</x:v>
      </x:c>
      <x:c r="G112" s="1277"/>
      <x:c r="H112" s="1277"/>
      <x:c r="I112" s="1277"/>
      <x:c r="J112" s="1277"/>
      <x:c r="K112" s="1277"/>
      <x:c r="L112" s="1277"/>
      <x:c r="M112" s="1277"/>
      <x:c r="N112" s="1277"/>
    </x:row>
    <x:row r="113" ht="48" customHeight="1">
      <x:c r="A113" s="1327" t="str">
        <x:v>V76</x:v>
      </x:c>
      <x:c r="B113" s="1327" t="str">
        <x:v>Scope de EventoHabilita</x:v>
      </x:c>
      <x:c r="C113" s="1327" t="str">
        <x:v>Define taxonomía y qué se reporta en módulo.</x:v>
      </x:c>
      <x:c r="D113" s="1327" t="str">
        <x:v>Habilita/Ops</x:v>
      </x:c>
      <x:c r="E113" s="1327" t="str">
        <x:v>Crítica</x:v>
      </x:c>
      <x:c r="F113" s="1327" t="str">
        <x:v>Tipos configurables</x:v>
      </x:c>
      <x:c r="G113" s="1277"/>
      <x:c r="H113" s="1277"/>
      <x:c r="I113" s="1277"/>
      <x:c r="J113" s="1277"/>
      <x:c r="K113" s="1277"/>
      <x:c r="L113" s="1277"/>
      <x:c r="M113" s="1277"/>
      <x:c r="N113" s="1277"/>
    </x:row>
    <x:row r="114" ht="48" customHeight="1">
      <x:c r="A114" s="1327" t="str">
        <x:v>V77</x:v>
      </x:c>
      <x:c r="B114" s="1327" t="str">
        <x:v>Matriz real/potencial</x:v>
      </x:c>
      <x:c r="C114" s="1327" t="str">
        <x:v>Define investigación/escalamiento.</x:v>
      </x:c>
      <x:c r="D114" s="1327" t="str">
        <x:v>Habilita</x:v>
      </x:c>
      <x:c r="E114" s="1327" t="str">
        <x:v>Crítica</x:v>
      </x:c>
      <x:c r="F114" s="1327" t="str">
        <x:v>dos severidades separadas</x:v>
      </x:c>
      <x:c r="G114" s="1277"/>
      <x:c r="H114" s="1277"/>
      <x:c r="I114" s="1277"/>
      <x:c r="J114" s="1277"/>
      <x:c r="K114" s="1277"/>
      <x:c r="L114" s="1277"/>
      <x:c r="M114" s="1277"/>
      <x:c r="N114" s="1277"/>
    </x:row>
    <x:row r="115" ht="48" customHeight="1">
      <x:c r="A115" s="1327" t="str">
        <x:v>V78</x:v>
      </x:c>
      <x:c r="B115" s="1327" t="str">
        <x:v>Auto-suspensión</x:v>
      </x:c>
      <x:c r="C115" s="1327" t="str">
        <x:v>Define cuándo Habilita dispara Directiva/PTW suspendido.</x:v>
      </x:c>
      <x:c r="D115" s="1327" t="str">
        <x:v>Habilita/Ops</x:v>
      </x:c>
      <x:c r="E115" s="1327" t="str">
        <x:v>Crítica</x:v>
      </x:c>
      <x:c r="F115" s="1327" t="str">
        <x:v>Control/Habilita</x:v>
      </x:c>
      <x:c r="G115" s="1277"/>
      <x:c r="H115" s="1277"/>
      <x:c r="I115" s="1277"/>
      <x:c r="J115" s="1277"/>
      <x:c r="K115" s="1277"/>
      <x:c r="L115" s="1277"/>
      <x:c r="M115" s="1277"/>
      <x:c r="N115" s="1277"/>
    </x:row>
    <x:row r="116" ht="48" customHeight="1">
      <x:c r="A116" s="1327" t="str">
        <x:v>V79</x:v>
      </x:c>
      <x:c r="B116" s="1327" t="str">
        <x:v>Flash report mínimo</x:v>
      </x:c>
      <x:c r="C116" s="1327" t="str">
        <x:v>Define UX real de campo.</x:v>
      </x:c>
      <x:c r="D116" s="1327" t="str">
        <x:v>Habilita/Ops</x:v>
      </x:c>
      <x:c r="E116" s="1327" t="str">
        <x:v>Crítica</x:v>
      </x:c>
      <x:c r="F116" s="1327" t="str">
        <x:v>captura inicial separada</x:v>
      </x:c>
      <x:c r="G116" s="1277"/>
      <x:c r="H116" s="1277"/>
      <x:c r="I116" s="1277"/>
      <x:c r="J116" s="1277"/>
      <x:c r="K116" s="1277"/>
      <x:c r="L116" s="1277"/>
      <x:c r="M116" s="1277"/>
      <x:c r="N116" s="1277"/>
    </x:row>
    <x:row r="117" ht="48" customHeight="1">
      <x:c r="A117" s="1327" t="str">
        <x:v>V80</x:v>
      </x:c>
      <x:c r="B117" s="1327" t="str">
        <x:v>Datos ambientales</x:v>
      </x:c>
      <x:c r="C117" s="1327" t="str">
        <x:v>Define mediciones/materiales obligatorios.</x:v>
      </x:c>
      <x:c r="D117" s="1327" t="str">
        <x:v>Habilita/Ambiente</x:v>
      </x:c>
      <x:c r="E117" s="1327" t="str">
        <x:v>Alta</x:v>
      </x:c>
      <x:c r="F117" s="1327" t="str">
        <x:v>extensiones Habilita</x:v>
      </x:c>
      <x:c r="G117" s="1277"/>
      <x:c r="H117" s="1277"/>
      <x:c r="I117" s="1277"/>
      <x:c r="J117" s="1277"/>
      <x:c r="K117" s="1277"/>
      <x:c r="L117" s="1277"/>
      <x:c r="M117" s="1277"/>
      <x:c r="N117" s="1277"/>
    </x:row>
    <x:row r="118" ht="48" customHeight="1">
      <x:c r="A118" s="1327" t="str">
        <x:v>V81</x:v>
      </x:c>
      <x:c r="B118" s="1327" t="str">
        <x:v>Notificaciones/plazos</x:v>
      </x:c>
      <x:c r="C118" s="1327" t="str">
        <x:v>Define compliance y comunicaciones.</x:v>
      </x:c>
      <x:c r="D118" s="1327" t="str">
        <x:v>Habilita/Legal/Cliente</x:v>
      </x:c>
      <x:c r="E118" s="1327" t="str">
        <x:v>Crítica</x:v>
      </x:c>
      <x:c r="F118" s="1327" t="str">
        <x:v>NotificacionHabilita</x:v>
      </x:c>
      <x:c r="G118" s="1277"/>
      <x:c r="H118" s="1277"/>
      <x:c r="I118" s="1277"/>
      <x:c r="J118" s="1277"/>
      <x:c r="K118" s="1277"/>
      <x:c r="L118" s="1277"/>
      <x:c r="M118" s="1277"/>
      <x:c r="N118" s="1277"/>
    </x:row>
    <x:row r="119" ht="48" customHeight="1">
      <x:c r="A119" s="1327" t="str">
        <x:v>V82</x:v>
      </x:c>
      <x:c r="B119" s="1327" t="str">
        <x:v>Gate de cierre Caso</x:v>
      </x:c>
      <x:c r="C119" s="1327" t="str">
        <x:v>Define cuándo el aprendizaje se considera completado.</x:v>
      </x:c>
      <x:c r="D119" s="1327" t="str">
        <x:v>Habilita</x:v>
      </x:c>
      <x:c r="E119" s="1327" t="str">
        <x:v>Alta</x:v>
      </x:c>
      <x:c r="F119" s="1327" t="str">
        <x:v>CasoHabilita separado</x:v>
      </x:c>
      <x:c r="G119" s="1277"/>
      <x:c r="H119" s="1277"/>
      <x:c r="I119" s="1277"/>
      <x:c r="J119" s="1277"/>
      <x:c r="K119" s="1277"/>
      <x:c r="L119" s="1277"/>
      <x:c r="M119" s="1277"/>
      <x:c r="N119" s="1277"/>
    </x:row>
    <x:row r="120" ht="48" customHeight="1">
      <x:c r="A120" s="1327" t="str">
        <x:v>V83</x:v>
      </x:c>
      <x:c r="B120" s="1327" t="str">
        <x:v>Evento multi-operación</x:v>
      </x:c>
      <x:c r="C120" s="1327" t="str">
        <x:v>Confirma N:M con ejecuciones.</x:v>
      </x:c>
      <x:c r="D120" s="1327" t="str">
        <x:v>Habilita/Ops</x:v>
      </x:c>
      <x:c r="E120" s="1327" t="str">
        <x:v>Alta</x:v>
      </x:c>
      <x:c r="F120" s="1327" t="str">
        <x:v>modelo N:M</x:v>
      </x:c>
      <x:c r="G120" s="1277"/>
      <x:c r="H120" s="1277"/>
      <x:c r="I120" s="1277"/>
      <x:c r="J120" s="1277"/>
      <x:c r="K120" s="1277"/>
      <x:c r="L120" s="1277"/>
      <x:c r="M120" s="1277"/>
      <x:c r="N120" s="1277"/>
    </x:row>
  </x:sheetData>
  <x:mergeCells>
    <x:mergeCell ref="A1:N1"/>
    <x:mergeCell ref="A2:N2"/>
    <x:mergeCell ref="A4:N4"/>
    <x:mergeCell ref="A6:F12"/>
    <x:mergeCell ref="H6:N12"/>
    <x:mergeCell ref="A14:N17"/>
    <x:mergeCell ref="A19:N19"/>
    <x:mergeCell ref="A21:D25"/>
    <x:mergeCell ref="F21:I25"/>
    <x:mergeCell ref="K21:N25"/>
    <x:mergeCell ref="A27:N30"/>
    <x:mergeCell ref="A32:N32"/>
    <x:mergeCell ref="A45:N45"/>
    <x:mergeCell ref="A47:C51"/>
    <x:mergeCell ref="E47:G51"/>
    <x:mergeCell ref="I47:K51"/>
    <x:mergeCell ref="M47:N51"/>
    <x:mergeCell ref="A53:N56"/>
    <x:mergeCell ref="A58:N58"/>
    <x:mergeCell ref="A60:C64"/>
    <x:mergeCell ref="E60:G64"/>
    <x:mergeCell ref="I60:K64"/>
    <x:mergeCell ref="M60:N64"/>
    <x:mergeCell ref="A73:N73"/>
    <x:mergeCell ref="A75:B79"/>
    <x:mergeCell ref="D75:E79"/>
    <x:mergeCell ref="G75:H79"/>
    <x:mergeCell ref="J75:K79"/>
    <x:mergeCell ref="M75:N79"/>
    <x:mergeCell ref="A81:N84"/>
    <x:mergeCell ref="A86:N86"/>
    <x:mergeCell ref="H87:N92"/>
    <x:mergeCell ref="A94:N94"/>
    <x:mergeCell ref="A96:F101"/>
    <x:mergeCell ref="H96:N101"/>
    <x:mergeCell ref="A103:N103"/>
    <x:mergeCell ref="A111:N111"/>
    <x:mergeCell ref="H58:N71"/>
  </x:mergeCells>
  <x:pageMargins left="0.7" right="0.7" top="0.75" bottom="0.75" header="0.3" footer="0.3"/>
</x:worksheet>
</file>

<file path=xl/worksheets/sheet33.xml><?xml version="1.0" encoding="utf-8"?>
<x:worksheet xmlns:x="http://schemas.openxmlformats.org/spreadsheetml/2006/main">
  <x:sheetFormatPr defaultRowHeight="15"/>
  <x:cols>
    <x:col min="1" max="1" width="9" hidden="0" customWidth="1"/>
    <x:col min="2" max="2" width="31" hidden="0" customWidth="1"/>
    <x:col min="3" max="3" width="26" hidden="0" customWidth="1"/>
    <x:col min="4" max="4" width="40" hidden="0" customWidth="1"/>
    <x:col min="5" max="5" width="30" hidden="0" customWidth="1"/>
    <x:col min="6" max="6" width="28" hidden="0" customWidth="1"/>
    <x:col min="7" max="7" width="28" hidden="0" customWidth="1"/>
    <x:col min="8" max="8" width="24" hidden="0" customWidth="1"/>
    <x:col min="9" max="9" width="18" hidden="0" customWidth="1"/>
    <x:col min="10" max="10" width="38" hidden="0" customWidth="1"/>
  </x:cols>
  <x:sheetData>
    <x:row r="1">
      <x:c r="A1" s="3255" t="str">
        <x:v>STRESS TEST HABILITA-01 · ¿MÓDULO TRANSVERSAL O TP-04?</x:v>
      </x:c>
      <x:c r="B1" s="3255"/>
      <x:c r="C1" s="3255"/>
      <x:c r="D1" s="3255"/>
      <x:c r="E1" s="3255"/>
      <x:c r="F1" s="3255"/>
      <x:c r="G1" s="3255"/>
      <x:c r="H1" s="3255"/>
      <x:c r="I1" s="3255"/>
      <x:c r="J1" s="3255"/>
    </x:row>
    <x:row r="2">
      <x:c r="A2" s="3202" t="str">
        <x:v>Resultado: los escenarios requieren identidad/event lifecycle Habilita independiente, relaciones N:M y continuidad después del cierre operativo. Ninguno necesita que 'Incidente' sea un TipoParte para funcionar.</x:v>
      </x:c>
      <x:c r="B2" s="3202"/>
      <x:c r="C2" s="3202"/>
      <x:c r="D2" s="3202"/>
      <x:c r="E2" s="3202"/>
      <x:c r="F2" s="3202"/>
      <x:c r="G2" s="3202"/>
      <x:c r="H2" s="3202"/>
      <x:c r="I2" s="3202"/>
      <x:c r="J2" s="3202"/>
    </x:row>
    <x:row r="3">
      <x:c r="A3" s="1277"/>
      <x:c r="B3" s="1277"/>
      <x:c r="C3" s="1277"/>
      <x:c r="D3" s="1277"/>
      <x:c r="E3" s="1277"/>
      <x:c r="F3" s="1277"/>
      <x:c r="G3" s="1277"/>
      <x:c r="H3" s="1277"/>
      <x:c r="I3" s="1277"/>
      <x:c r="J3" s="1277"/>
    </x:row>
    <x:row r="4">
      <x:c r="A4" s="3265" t="str">
        <x:v>Escenarios</x:v>
      </x:c>
      <x:c r="B4" s="3265" t="str">
        <x:v>10</x:v>
      </x:c>
      <x:c r="C4" s="3265" t="str">
        <x:v>Resueltos como EventoHabilita</x:v>
      </x:c>
      <x:c r="D4" s="3265" t="str">
        <x:v>10</x:v>
      </x:c>
      <x:c r="E4" s="3265" t="str">
        <x:v>Requieren TP-04</x:v>
      </x:c>
      <x:c r="F4" s="3265" t="str">
        <x:v>0</x:v>
      </x:c>
      <x:c r="G4" s="3265" t="str">
        <x:v>Patches estructurales</x:v>
      </x:c>
      <x:c r="H4" s="3265" t="str">
        <x:v>3</x:v>
      </x:c>
      <x:c r="I4" s="3265" t="str">
        <x:v>Decisión</x:v>
      </x:c>
      <x:c r="J4" s="3265" t="str">
        <x:v>Habilita transversal</x:v>
      </x:c>
    </x:row>
    <x:row r="5">
      <x:c r="A5" s="3266" t="str">
        <x:v>ID</x:v>
      </x:c>
      <x:c r="B5" s="3266" t="str">
        <x:v>Escenario</x:v>
      </x:c>
      <x:c r="C5" s="3266" t="str">
        <x:v>Origen/contexto</x:v>
      </x:c>
      <x:c r="D5" s="3266" t="str">
        <x:v>Recorrido</x:v>
      </x:c>
      <x:c r="E5" s="3266" t="str">
        <x:v>¿Corta Parte?</x:v>
      </x:c>
      <x:c r="F5" s="3266" t="str">
        <x:v>Relaciones</x:v>
      </x:c>
      <x:c r="G5" s="3266" t="str">
        <x:v>Caso/acciones</x:v>
      </x:c>
      <x:c r="H5" s="3266" t="str">
        <x:v>Impacto comercial</x:v>
      </x:c>
      <x:c r="I5" s="3266" t="str">
        <x:v>Resultado</x:v>
      </x:c>
      <x:c r="J5" s="3266" t="str">
        <x:v>Hallazgo</x:v>
      </x:c>
    </x:row>
    <x:row r="6" ht="82" customHeight="1">
      <x:c r="A6" s="1327" t="str">
        <x:v>H01</x:v>
      </x:c>
      <x:c r="B6" s="1327" t="str">
        <x:v>Derrame durante un movimiento TP-02</x:v>
      </x:c>
      <x:c r="C6" s="1327" t="str">
        <x:v>TP-02 Movimiento + camión + ubicación</x:v>
      </x:c>
      <x:c r="D6" s="1327" t="str">
        <x:v>Crear EventoHabilita → autovincular UE/recurso/ubicación → flash report → ReglaEscalamiento → continuar/suspender → CasoHabilita si aplica</x:v>
      </x:c>
      <x:c r="E6" s="1327" t="str">
        <x:v>No automático</x:v>
      </x:c>
      <x:c r="F6" s="1327" t="str">
        <x:v>EventoHabilita↔UE/Recurso/PTW</x:v>
      </x:c>
      <x:c r="G6" s="1327" t="str">
        <x:v>Según severidad real/potencial</x:v>
      </x:c>
      <x:c r="H6" s="1327" t="str">
        <x:v>Solo por EventoTiempo/medición/regla contractual</x:v>
      </x:c>
      <x:c r="I6" s="3267" t="str">
        <x:v>PASS</x:v>
      </x:c>
      <x:c r="J6" s="1327" t="str">
        <x:v>El evento necesita identidad paralela; crear TP-04 duplicaría el contexto del transporte.</x:v>
      </x:c>
    </x:row>
    <x:row r="7" ht="82" customHeight="1">
      <x:c r="A7" s="1327" t="str">
        <x:v>H02</x:v>
      </x:c>
      <x:c r="B7" s="1327" t="str">
        <x:v>Dos incidentes ambientales con el mismo equipo en dos lugares</x:v>
      </x:c>
      <x:c r="C7" s="1327" t="str">
        <x:v>Mismo Recurso; pueden ocurrir dentro del mismo día/Parte</x:v>
      </x:c>
      <x:c r="D7" s="1327" t="str">
        <x:v>EventoHabilita-1(location A) + EventoHabilita-2(location B); ambos vinculan el mismo recurso</x:v>
      </x:c>
      <x:c r="E7" s="1327" t="str">
        <x:v>No por existencia del evento</x:v>
      </x:c>
      <x:c r="F7" s="1327" t="str">
        <x:v>2 eventos → 1 recurso</x:v>
      </x:c>
      <x:c r="G7" s="1327" t="str">
        <x:v>Cada evento triagea/escalona independiente</x:v>
      </x:c>
      <x:c r="H7" s="1327" t="str">
        <x:v>Independiente por efectos reales</x:v>
      </x:c>
      <x:c r="I7" s="3267" t="str">
        <x:v>PASS</x:v>
      </x:c>
      <x:c r="J7" s="1327" t="str">
        <x:v>Confirma regla solicitada por Operaciones: 2 incidentes = 2 identidades, sin necesitar 2 Partes.</x:v>
      </x:c>
    </x:row>
    <x:row r="8" ht="82" customHeight="1">
      <x:c r="A8" s="1327" t="str">
        <x:v>H03</x:v>
      </x:c>
      <x:c r="B8" s="1327" t="str">
        <x:v>Near miss sin lesión pero alto potencial</x:v>
      </x:c>
      <x:c r="C8" s="1327" t="str">
        <x:v>Puede ocurrir en TP-01/03 o standalone</x:v>
      </x:c>
      <x:c r="D8" s="1327" t="str">
        <x:v>EventoHabilita → severidad_real baja/nula + severidad_potencial alta → ReglaEscalamiento → Caso/investigación</x:v>
      </x:c>
      <x:c r="E8" s="1327" t="str">
        <x:v>No</x:v>
      </x:c>
      <x:c r="F8" s="1327" t="str">
        <x:v>Contexto operativo opcional</x:v>
      </x:c>
      <x:c r="G8" s="1327" t="str">
        <x:v>Sí probable</x:v>
      </x:c>
      <x:c r="H8" s="1327" t="str">
        <x:v>Ninguno directo</x:v>
      </x:c>
      <x:c r="I8" s="3268" t="str">
        <x:v>PATCH</x:v>
      </x:c>
      <x:c r="J8" s="1327" t="str">
        <x:v>Obliga a separar severidad real y potencial; ya agregado V0-159/160.</x:v>
      </x:c>
    </x:row>
    <x:row r="9" ht="82" customHeight="1">
      <x:c r="A9" s="1327" t="str">
        <x:v>H04</x:v>
      </x:c>
      <x:c r="B9" s="1327" t="str">
        <x:v>Condición insegura detectada en base sin Parte activo</x:v>
      </x:c>
      <x:c r="C9" s="1327" t="str">
        <x:v>Sin ejecución activa</x:v>
      </x:c>
      <x:c r="D9" s="1327" t="str">
        <x:v>EventoHabilita standalone → ubicación → evidencia → triage → acción correctiva</x:v>
      </x:c>
      <x:c r="E9" s="1327" t="str">
        <x:v>N/A</x:v>
      </x:c>
      <x:c r="F9" s="1327" t="str">
        <x:v>No requiere Parte/UE</x:v>
      </x:c>
      <x:c r="G9" s="1327" t="str">
        <x:v>Condicional</x:v>
      </x:c>
      <x:c r="H9" s="1327" t="str">
        <x:v>Ninguno directo</x:v>
      </x:c>
      <x:c r="I9" s="3267" t="str">
        <x:v>PASS</x:v>
      </x:c>
      <x:c r="J9" s="1327" t="str">
        <x:v>Un TP-04 sería conceptualmente incorrecto porque no existe ejecución que documentar.</x:v>
      </x:c>
    </x:row>
    <x:row r="10" ht="82" customHeight="1">
      <x:c r="A10" s="1327" t="str">
        <x:v>H05</x:v>
      </x:c>
      <x:c r="B10" s="1327" t="str">
        <x:v>Choque entre dos vehículos que estaban en trabajos distintos</x:v>
      </x:c>
      <x:c r="C10" s="1327" t="str">
        <x:v>2 Partes/UE + 2 recursos</x:v>
      </x:c>
      <x:c r="D10" s="1327" t="str">
        <x:v>1 EventoHabilita → relaciones N:M con ambas UE/recursos/personas → suspensión de ambas si regla</x:v>
      </x:c>
      <x:c r="E10" s="1327" t="str">
        <x:v>Condicional por Directiva</x:v>
      </x:c>
      <x:c r="F10" s="1327" t="str">
        <x:v>N:M Evento↔UE/Recurso</x:v>
      </x:c>
      <x:c r="G10" s="1327" t="str">
        <x:v>Sí según severidad</x:v>
      </x:c>
      <x:c r="H10" s="1327" t="str">
        <x:v>Efectos en cada ejecución por separado</x:v>
      </x:c>
      <x:c r="I10" s="3268" t="str">
        <x:v>PATCH</x:v>
      </x:c>
      <x:c r="J10" s="1327" t="str">
        <x:v>Confirma necesidad de N:M EventoHabilita↔UnidadEjecución, ya agregado V0-162.</x:v>
      </x:c>
    </x:row>
    <x:row r="11" ht="82" customHeight="1">
      <x:c r="A11" s="1327" t="str">
        <x:v>H06</x:v>
      </x:c>
      <x:c r="B11" s="1327" t="str">
        <x:v>Incidente durante tarea con PTW abierto</x:v>
      </x:c>
      <x:c r="C11" s="1327" t="str">
        <x:v>TP-01 + PermisoTrabajo</x:v>
      </x:c>
      <x:c r="D11" s="1327" t="str">
        <x:v>EventoHabilita → vínculo PTW → ReglaEscalamiento → suspender PTW/ejecución → respuesta → investigación</x:v>
      </x:c>
      <x:c r="E11" s="1327" t="str">
        <x:v>No por evento; puede suspender</x:v>
      </x:c>
      <x:c r="F11" s="1327" t="str">
        <x:v>Evento↔PTW↔UE</x:v>
      </x:c>
      <x:c r="G11" s="1327" t="str">
        <x:v>Condicional</x:v>
      </x:c>
      <x:c r="H11" s="1327" t="str">
        <x:v>Tiempo suspendido tratado por contrato</x:v>
      </x:c>
      <x:c r="I11" s="3267" t="str">
        <x:v>PASS</x:v>
      </x:c>
      <x:c r="J11" s="1327" t="str">
        <x:v>PTW e incidente son dos lifecycles conectados; no deben fusionarse.</x:v>
      </x:c>
    </x:row>
    <x:row r="12" ht="82" customHeight="1">
      <x:c r="A12" s="1327" t="str">
        <x:v>H07</x:v>
      </x:c>
      <x:c r="B12" s="1327" t="str">
        <x:v>Cantidad estimada de derrame cambia tras medición posterior</x:v>
      </x:c>
      <x:c r="C12" s="1327" t="str">
        <x:v>Evento ambiental</x:v>
      </x:c>
      <x:c r="D12" s="1327" t="str">
        <x:v>Reporte inicial qty estimada → MedicionEventoHabilita #1 → medición confirmada #2 → conservar ambas</x:v>
      </x:c>
      <x:c r="E12" s="1327" t="str">
        <x:v>No</x:v>
      </x:c>
      <x:c r="F12" s="1327" t="str">
        <x:v>Evento↔Mediciones</x:v>
      </x:c>
      <x:c r="G12" s="1327" t="str">
        <x:v>Caso puede seguir abierto</x:v>
      </x:c>
      <x:c r="H12" s="1327" t="str">
        <x:v>Solo si contrato/regla explícita usa el dato</x:v>
      </x:c>
      <x:c r="I12" s="3268" t="str">
        <x:v>PATCH</x:v>
      </x:c>
      <x:c r="J12" s="1327" t="str">
        <x:v>No sobrescribir la estimación original; MedicionEventoHabilita resuelve evolución.</x:v>
      </x:c>
    </x:row>
    <x:row r="13" ht="82" customHeight="1">
      <x:c r="A13" s="1327" t="str">
        <x:v>H08</x:v>
      </x:c>
      <x:c r="B13" s="1327" t="str">
        <x:v>Trabajo reinicia pero investigación continúa varios días</x:v>
      </x:c>
      <x:c r="C13" s="1327" t="str">
        <x:v>Parte suspendido y luego normalizado</x:v>
      </x:c>
      <x:c r="D13" s="1327" t="str">
        <x:v>EventoHabilita → CasoHabilita abierto → controles permiten restart → Parte continúa/cierra → Caso investiga/acciones → cierre posterior</x:v>
      </x:c>
      <x:c r="E13" s="1327" t="str">
        <x:v>No necesariamente</x:v>
      </x:c>
      <x:c r="F13" s="1327" t="str">
        <x:v>Caso separado del Parte</x:v>
      </x:c>
      <x:c r="G13" s="1327" t="str">
        <x:v>Sí, continúa después del cierre operativo</x:v>
      </x:c>
      <x:c r="H13" s="1327" t="str">
        <x:v>No mantiene Parte abierto</x:v>
      </x:c>
      <x:c r="I13" s="3267" t="str">
        <x:v>PASS</x:v>
      </x:c>
      <x:c r="J13" s="1327" t="str">
        <x:v>Prueba fuerte de que CasoHabilita no puede ser un estado del Parte.</x:v>
      </x:c>
    </x:row>
    <x:row r="14" ht="82" customHeight="1">
      <x:c r="A14" s="1327" t="str">
        <x:v>H09</x:v>
      </x:c>
      <x:c r="B14" s="1327" t="str">
        <x:v>Evento exige comunicación al cliente/autoridad</x:v>
      </x:c>
      <x:c r="C14" s="1327" t="str">
        <x:v>Evento severo/ambiental</x:v>
      </x:c>
      <x:c r="D14" s="1327" t="str">
        <x:v>ReglaEscalamiento → NotificacionHabilita con destinatario/plazo/estado → evidencia de envío</x:v>
      </x:c>
      <x:c r="E14" s="1327" t="str">
        <x:v>No</x:v>
      </x:c>
      <x:c r="F14" s="1327" t="str">
        <x:v>Evento/Caso↔Notificación</x:v>
      </x:c>
      <x:c r="G14" s="1327" t="str">
        <x:v>Sí</x:v>
      </x:c>
      <x:c r="H14" s="1327" t="str">
        <x:v>Ninguno directo salvo cláusula contractual futura</x:v>
      </x:c>
      <x:c r="I14" s="3267" t="str">
        <x:v>PASS</x:v>
      </x:c>
      <x:c r="J14" s="1327" t="str">
        <x:v>Notificación es downstream de Habilita, no un campo del Parte.</x:v>
      </x:c>
    </x:row>
    <x:row r="15" ht="82" customHeight="1">
      <x:c r="A15" s="1327" t="str">
        <x:v>H10</x:v>
      </x:c>
      <x:c r="B15" s="1327" t="str">
        <x:v>Acción correctiva vence después de normalizada la operación</x:v>
      </x:c>
      <x:c r="C15" s="1327" t="str">
        <x:v>CasoHabilita</x:v>
      </x:c>
      <x:c r="D15" s="1327" t="str">
        <x:v>Investigación → AccionCorrectivaHabilita owner/due/status → verificación → cierre según política</x:v>
      </x:c>
      <x:c r="E15" s="1327" t="str">
        <x:v>No</x:v>
      </x:c>
      <x:c r="F15" s="1327" t="str">
        <x:v>Caso↔Acciones</x:v>
      </x:c>
      <x:c r="G15" s="1327" t="str">
        <x:v>Sí</x:v>
      </x:c>
      <x:c r="H15" s="1327" t="str">
        <x:v>Ninguno directo</x:v>
      </x:c>
      <x:c r="I15" s="3267" t="str">
        <x:v>PASS</x:v>
      </x:c>
      <x:c r="J15" s="1327" t="str">
        <x:v>El sistema necesita seguir aprendizaje aun cuando la ejecución terminó.</x:v>
      </x:c>
    </x:row>
    <x:row r="16">
      <x:c r="A16" s="1277"/>
      <x:c r="B16" s="1277"/>
      <x:c r="C16" s="1277"/>
      <x:c r="D16" s="1277"/>
      <x:c r="E16" s="1277"/>
      <x:c r="F16" s="1277"/>
      <x:c r="G16" s="1277"/>
      <x:c r="H16" s="1277"/>
      <x:c r="I16" s="1277"/>
      <x:c r="J16" s="1277"/>
    </x:row>
    <x:row r="17">
      <x:c r="A17" s="1277"/>
      <x:c r="B17" s="1277"/>
      <x:c r="C17" s="1277"/>
      <x:c r="D17" s="1277"/>
      <x:c r="E17" s="1277"/>
      <x:c r="F17" s="1277"/>
      <x:c r="G17" s="1277"/>
      <x:c r="H17" s="1277"/>
      <x:c r="I17" s="1277"/>
      <x:c r="J17" s="1277"/>
    </x:row>
    <x:row r="18">
      <x:c r="A18" s="3256" t="str">
        <x:v>DECISIÓN POST-STRESS TEST</x:v>
      </x:c>
      <x:c r="B18" s="3256"/>
      <x:c r="C18" s="3256"/>
      <x:c r="D18" s="3256"/>
      <x:c r="E18" s="3256"/>
      <x:c r="F18" s="3256"/>
      <x:c r="G18" s="3256"/>
      <x:c r="H18" s="3256"/>
      <x:c r="I18" s="3256"/>
      <x:c r="J18" s="3256"/>
    </x:row>
    <x:row r="19">
      <x:c r="A19" s="3269" t="str">
        <x:v>TP-04 se RETIRA del catálogo de TiposParte.
Razón estructural:
• TipoParte modela una forma de ejecución.
• EventoHabilita modela una ocurrencia transversal y puede existir sin ejecución.
• Un evento puede vincular múltiples Partes/UE/recursos/personas.
• Su investigación/acciones sobreviven al cierre operativo.
• Puede modificar la operación mediante DirectivaOperativa/PTW sin convertirse en la ejecución.
Conservar 'Incidente Ambiental' como TipoEventoHabilita / extensión ambiental, no como Parte.</x:v>
      </x:c>
      <x:c r="B19" s="3269"/>
      <x:c r="C19" s="3269"/>
      <x:c r="D19" s="3269"/>
      <x:c r="E19" s="3269"/>
      <x:c r="F19" s="3269"/>
      <x:c r="G19" s="3269"/>
      <x:c r="H19" s="3269"/>
      <x:c r="I19" s="3269"/>
      <x:c r="J19" s="3269"/>
    </x:row>
    <x:row r="20">
      <x:c r="A20" s="3269"/>
      <x:c r="B20" s="3269"/>
      <x:c r="C20" s="3269"/>
      <x:c r="D20" s="3269"/>
      <x:c r="E20" s="3269"/>
      <x:c r="F20" s="3269"/>
      <x:c r="G20" s="3269"/>
      <x:c r="H20" s="3269"/>
      <x:c r="I20" s="3269"/>
      <x:c r="J20" s="3269"/>
    </x:row>
    <x:row r="21">
      <x:c r="A21" s="3269"/>
      <x:c r="B21" s="3269"/>
      <x:c r="C21" s="3269"/>
      <x:c r="D21" s="3269"/>
      <x:c r="E21" s="3269"/>
      <x:c r="F21" s="3269"/>
      <x:c r="G21" s="3269"/>
      <x:c r="H21" s="3269"/>
      <x:c r="I21" s="3269"/>
      <x:c r="J21" s="3269"/>
    </x:row>
    <x:row r="22">
      <x:c r="A22" s="3269"/>
      <x:c r="B22" s="3269"/>
      <x:c r="C22" s="3269"/>
      <x:c r="D22" s="3269"/>
      <x:c r="E22" s="3269"/>
      <x:c r="F22" s="3269"/>
      <x:c r="G22" s="3269"/>
      <x:c r="H22" s="3269"/>
      <x:c r="I22" s="3269"/>
      <x:c r="J22" s="3269"/>
    </x:row>
    <x:row r="23">
      <x:c r="A23" s="3269"/>
      <x:c r="B23" s="3269"/>
      <x:c r="C23" s="3269"/>
      <x:c r="D23" s="3269"/>
      <x:c r="E23" s="3269"/>
      <x:c r="F23" s="3269"/>
      <x:c r="G23" s="3269"/>
      <x:c r="H23" s="3269"/>
      <x:c r="I23" s="3269"/>
      <x:c r="J23" s="3269"/>
    </x:row>
    <x:row r="24">
      <x:c r="A24" s="3269"/>
      <x:c r="B24" s="3269"/>
      <x:c r="C24" s="3269"/>
      <x:c r="D24" s="3269"/>
      <x:c r="E24" s="3269"/>
      <x:c r="F24" s="3269"/>
      <x:c r="G24" s="3269"/>
      <x:c r="H24" s="3269"/>
      <x:c r="I24" s="3269"/>
      <x:c r="J24" s="3269"/>
    </x:row>
  </x:sheetData>
  <x:mergeCells>
    <x:mergeCell ref="A1:J1"/>
    <x:mergeCell ref="A2:J2"/>
    <x:mergeCell ref="A18:J18"/>
    <x:mergeCell ref="A19:J24"/>
  </x:mergeCells>
  <x:pageMargins left="0.7" right="0.7" top="0.75" bottom="0.75" header="0.3" footer="0.3"/>
</x:worksheet>
</file>

<file path=xl/worksheets/sheet34.xml><?xml version="1.0" encoding="utf-8"?>
<x:worksheet xmlns:x="http://schemas.openxmlformats.org/spreadsheetml/2006/main">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s>
  <x:sheetData>
    <x:row r="1">
      <x:c r="A1" s="3255" t="str">
        <x:v>ARQUITECTURA INTEGRAL VDS · REV D.6 · PARTES + Habilita TRANSVERSAL</x:v>
      </x:c>
      <x:c r="B1" s="3255"/>
      <x:c r="C1" s="3255"/>
      <x:c r="D1" s="3255"/>
      <x:c r="E1" s="3255"/>
      <x:c r="F1" s="3255"/>
      <x:c r="G1" s="3255"/>
      <x:c r="H1" s="3255"/>
      <x:c r="I1" s="3255"/>
      <x:c r="J1" s="3255"/>
      <x:c r="K1" s="3255"/>
      <x:c r="L1" s="3255"/>
      <x:c r="M1" s="3255"/>
      <x:c r="N1" s="3255"/>
      <x:c r="O1" s="3255"/>
      <x:c r="P1" s="3255"/>
      <x:c r="Q1" s="3255"/>
      <x:c r="R1" s="3255"/>
      <x:c r="S1" s="3255"/>
      <x:c r="T1" s="3255"/>
      <x:c r="U1" s="3255"/>
      <x:c r="V1" s="3255"/>
      <x:c r="W1" s="3255"/>
      <x:c r="X1" s="3255"/>
      <x:c r="Y1" s="3255"/>
      <x:c r="Z1" s="3255"/>
    </x:row>
    <x:row r="2">
      <x:c r="A2" s="3202" t="str">
        <x:v>v1.1 · Tres TiposParte de ejecución + HABILITA Plane separado: PREVENT (Readiness/PTW) y RESPOND &amp; LEARN (EventoHabilita/CasoHabilita). Incidente Ambiental deja de ser TP-04 y pasa a ser TipoEventoHabilita.</x:v>
      </x:c>
      <x:c r="B2" s="3202"/>
      <x:c r="C2" s="3202"/>
      <x:c r="D2" s="3202"/>
      <x:c r="E2" s="3202"/>
      <x:c r="F2" s="3202"/>
      <x:c r="G2" s="3202"/>
      <x:c r="H2" s="3202"/>
      <x:c r="I2" s="3202"/>
      <x:c r="J2" s="3202"/>
      <x:c r="K2" s="3202"/>
      <x:c r="L2" s="3202"/>
      <x:c r="M2" s="3202"/>
      <x:c r="N2" s="3202"/>
      <x:c r="O2" s="3202"/>
      <x:c r="P2" s="3202"/>
      <x:c r="Q2" s="3202"/>
      <x:c r="R2" s="3202"/>
      <x:c r="S2" s="3202"/>
      <x:c r="T2" s="3202"/>
      <x:c r="U2" s="3202"/>
      <x:c r="V2" s="3202"/>
      <x:c r="W2" s="3202"/>
      <x:c r="X2" s="3202"/>
      <x:c r="Y2" s="3202"/>
      <x:c r="Z2" s="3202"/>
    </x:row>
    <x:row r="3">
      <x:c r="A3" s="1277"/>
      <x:c r="B3" s="1277"/>
      <x:c r="C3" s="1277"/>
      <x:c r="D3" s="1277"/>
      <x:c r="E3" s="1277"/>
      <x:c r="F3" s="1277"/>
      <x:c r="G3" s="1277"/>
      <x:c r="H3" s="1277"/>
      <x:c r="I3" s="1277"/>
      <x:c r="J3" s="1277"/>
      <x:c r="K3" s="1277"/>
      <x:c r="L3" s="1277"/>
      <x:c r="M3" s="1277"/>
      <x:c r="N3" s="1277"/>
      <x:c r="O3" s="1277"/>
      <x:c r="P3" s="1277"/>
      <x:c r="Q3" s="1277"/>
      <x:c r="R3" s="1277"/>
      <x:c r="S3" s="1277"/>
      <x:c r="T3" s="1277"/>
      <x:c r="U3" s="1277"/>
      <x:c r="V3" s="1277"/>
      <x:c r="W3" s="1277"/>
      <x:c r="X3" s="1277"/>
      <x:c r="Y3" s="1277"/>
      <x:c r="Z3" s="1277"/>
    </x:row>
    <x:row r="4">
      <x:c r="A4" s="3256" t="str">
        <x:v>00 — CONFIGURATION PLANE · REGLAS VERSIONADAS</x:v>
      </x:c>
      <x:c r="B4" s="3256"/>
      <x:c r="C4" s="3256"/>
      <x:c r="D4" s="3256"/>
      <x:c r="E4" s="3256"/>
      <x:c r="F4" s="3256"/>
      <x:c r="G4" s="3256"/>
      <x:c r="H4" s="3256"/>
      <x:c r="I4" s="3256"/>
      <x:c r="J4" s="3256"/>
      <x:c r="K4" s="3256"/>
      <x:c r="L4" s="3256"/>
      <x:c r="M4" s="3256"/>
      <x:c r="N4" s="3256"/>
      <x:c r="O4" s="3256"/>
      <x:c r="P4" s="3256"/>
      <x:c r="Q4" s="3256"/>
      <x:c r="R4" s="3256"/>
      <x:c r="S4" s="3256"/>
      <x:c r="T4" s="3256"/>
      <x:c r="U4" s="3256"/>
      <x:c r="V4" s="3256"/>
      <x:c r="W4" s="3256"/>
      <x:c r="X4" s="3256"/>
      <x:c r="Y4" s="3256"/>
      <x:c r="Z4" s="3256"/>
    </x:row>
    <x:row r="5">
      <x:c r="A5" s="1277"/>
      <x:c r="B5" s="1277"/>
      <x:c r="C5" s="1277"/>
      <x:c r="D5" s="1277"/>
      <x:c r="E5" s="1277"/>
      <x:c r="F5" s="1277"/>
      <x:c r="G5" s="1277"/>
      <x:c r="H5" s="1277"/>
      <x:c r="I5" s="1277"/>
      <x:c r="J5" s="1277"/>
      <x:c r="K5" s="1277"/>
      <x:c r="L5" s="1277"/>
      <x:c r="M5" s="1277"/>
      <x:c r="N5" s="1277"/>
      <x:c r="O5" s="1277"/>
      <x:c r="P5" s="1277"/>
      <x:c r="Q5" s="1277"/>
      <x:c r="R5" s="1277"/>
      <x:c r="S5" s="1277"/>
      <x:c r="T5" s="1277"/>
      <x:c r="U5" s="1277"/>
      <x:c r="V5" s="1277"/>
      <x:c r="W5" s="1277"/>
      <x:c r="X5" s="1277"/>
      <x:c r="Y5" s="1277"/>
      <x:c r="Z5" s="1277"/>
    </x:row>
    <x:row r="6">
      <x:c r="A6" s="3245" t="str">
        <x:v>CLIENTE
CONTRATO
VERSIÓN</x:v>
      </x:c>
      <x:c r="B6" s="3246"/>
      <x:c r="C6" s="3246"/>
      <x:c r="D6" s="3247"/>
      <x:c r="E6" s="1277"/>
      <x:c r="F6" s="3210" t="str">
        <x:v>CONTRATO
SERVICIO</x:v>
      </x:c>
      <x:c r="G6" s="3211"/>
      <x:c r="H6" s="3211"/>
      <x:c r="I6" s="3212"/>
      <x:c r="J6" s="1277"/>
      <x:c r="K6" s="3213" t="str">
        <x:v>CC · ITEM · UM
MEDICIÓN / TIEMPO</x:v>
      </x:c>
      <x:c r="L6" s="3214"/>
      <x:c r="M6" s="3214"/>
      <x:c r="N6" s="3215"/>
      <x:c r="O6" s="1277"/>
      <x:c r="P6" s="3213" t="str">
        <x:v>REGLAS OPERATIVAS
TipoParte · corte · readiness
PTW · offline · solapamiento</x:v>
      </x:c>
      <x:c r="Q6" s="3214"/>
      <x:c r="R6" s="3214"/>
      <x:c r="S6" s="3214"/>
      <x:c r="T6" s="3215"/>
      <x:c r="U6" s="1277"/>
      <x:c r="V6" s="3213" t="str">
        <x:v>REGLAS Habilita + COMERCIALES
escalamiento Habilita · severidad
grano UC · parcialidad · factura</x:v>
      </x:c>
      <x:c r="W6" s="3214"/>
      <x:c r="X6" s="3214"/>
      <x:c r="Y6" s="3214"/>
      <x:c r="Z6" s="3215"/>
    </x:row>
    <x:row r="7">
      <x:c r="A7" s="3248"/>
      <x:c r="B7" s="3240"/>
      <x:c r="C7" s="3240"/>
      <x:c r="D7" s="3249"/>
      <x:c r="E7" s="1297" t="str">
        <x:v>→</x:v>
      </x:c>
      <x:c r="F7" s="3219"/>
      <x:c r="G7" s="3220"/>
      <x:c r="H7" s="3220"/>
      <x:c r="I7" s="3221"/>
      <x:c r="J7" s="1297" t="str">
        <x:v>→</x:v>
      </x:c>
      <x:c r="K7" s="3222"/>
      <x:c r="L7" s="3223"/>
      <x:c r="M7" s="3223"/>
      <x:c r="N7" s="3224"/>
      <x:c r="O7" s="1297" t="str">
        <x:v>→</x:v>
      </x:c>
      <x:c r="P7" s="3222"/>
      <x:c r="Q7" s="3223"/>
      <x:c r="R7" s="3223"/>
      <x:c r="S7" s="3223"/>
      <x:c r="T7" s="3224"/>
      <x:c r="U7" s="1297" t="str">
        <x:v>→</x:v>
      </x:c>
      <x:c r="V7" s="3222"/>
      <x:c r="W7" s="3223"/>
      <x:c r="X7" s="3223"/>
      <x:c r="Y7" s="3223"/>
      <x:c r="Z7" s="3224"/>
    </x:row>
    <x:row r="8">
      <x:c r="A8" s="3248"/>
      <x:c r="B8" s="3240"/>
      <x:c r="C8" s="3240"/>
      <x:c r="D8" s="3249"/>
      <x:c r="E8" s="1277"/>
      <x:c r="F8" s="3219"/>
      <x:c r="G8" s="3220"/>
      <x:c r="H8" s="3220"/>
      <x:c r="I8" s="3221"/>
      <x:c r="J8" s="1277"/>
      <x:c r="K8" s="3222"/>
      <x:c r="L8" s="3223"/>
      <x:c r="M8" s="3223"/>
      <x:c r="N8" s="3224"/>
      <x:c r="O8" s="1277"/>
      <x:c r="P8" s="3222"/>
      <x:c r="Q8" s="3223"/>
      <x:c r="R8" s="3223"/>
      <x:c r="S8" s="3223"/>
      <x:c r="T8" s="3224"/>
      <x:c r="U8" s="1277"/>
      <x:c r="V8" s="3222"/>
      <x:c r="W8" s="3223"/>
      <x:c r="X8" s="3223"/>
      <x:c r="Y8" s="3223"/>
      <x:c r="Z8" s="3224"/>
    </x:row>
    <x:row r="9">
      <x:c r="A9" s="3250"/>
      <x:c r="B9" s="3251"/>
      <x:c r="C9" s="3251"/>
      <x:c r="D9" s="3252"/>
      <x:c r="E9" s="1277"/>
      <x:c r="F9" s="3228"/>
      <x:c r="G9" s="3229"/>
      <x:c r="H9" s="3229"/>
      <x:c r="I9" s="3230"/>
      <x:c r="J9" s="1277"/>
      <x:c r="K9" s="3231"/>
      <x:c r="L9" s="3232"/>
      <x:c r="M9" s="3232"/>
      <x:c r="N9" s="3233"/>
      <x:c r="O9" s="1277"/>
      <x:c r="P9" s="3231"/>
      <x:c r="Q9" s="3232"/>
      <x:c r="R9" s="3232"/>
      <x:c r="S9" s="3232"/>
      <x:c r="T9" s="3233"/>
      <x:c r="U9" s="1277"/>
      <x:c r="V9" s="3231"/>
      <x:c r="W9" s="3232"/>
      <x:c r="X9" s="3232"/>
      <x:c r="Y9" s="3232"/>
      <x:c r="Z9" s="3233"/>
    </x:row>
    <x:row r="10">
      <x:c r="A10" s="1277"/>
      <x:c r="B10" s="1277"/>
      <x:c r="C10" s="1277"/>
      <x:c r="D10" s="1277"/>
      <x:c r="E10" s="1277"/>
      <x:c r="F10" s="1277"/>
      <x:c r="G10" s="1277"/>
      <x:c r="H10" s="1277"/>
      <x:c r="I10" s="1277"/>
      <x:c r="J10" s="1277"/>
      <x:c r="K10" s="1277"/>
      <x:c r="L10" s="1277"/>
      <x:c r="M10" s="1277"/>
      <x:c r="N10" s="1277"/>
      <x:c r="O10" s="1277"/>
      <x:c r="P10" s="1277"/>
      <x:c r="Q10" s="1277"/>
      <x:c r="R10" s="1277"/>
      <x:c r="S10" s="1277"/>
      <x:c r="T10" s="1277"/>
      <x:c r="U10" s="1277"/>
      <x:c r="V10" s="1277"/>
      <x:c r="W10" s="1277"/>
      <x:c r="X10" s="1277"/>
      <x:c r="Y10" s="1277"/>
      <x:c r="Z10" s="1277"/>
    </x:row>
    <x:row r="11">
      <x:c r="A11" s="1277"/>
      <x:c r="B11" s="1277"/>
      <x:c r="C11" s="1277"/>
      <x:c r="D11" s="1277"/>
      <x:c r="E11" s="1277"/>
      <x:c r="F11" s="1277"/>
      <x:c r="G11" s="1277"/>
      <x:c r="H11" s="1277"/>
      <x:c r="I11" s="1277"/>
      <x:c r="J11" s="1277"/>
      <x:c r="K11" s="1277"/>
      <x:c r="L11" s="1277"/>
      <x:c r="M11" s="1277"/>
      <x:c r="N11" s="1277"/>
      <x:c r="O11" s="1277"/>
      <x:c r="P11" s="1277"/>
      <x:c r="Q11" s="1277"/>
      <x:c r="R11" s="1277"/>
      <x:c r="S11" s="1277"/>
      <x:c r="T11" s="1277"/>
      <x:c r="U11" s="1277"/>
      <x:c r="V11" s="1277"/>
      <x:c r="W11" s="1277"/>
      <x:c r="X11" s="1277"/>
      <x:c r="Y11" s="1277"/>
      <x:c r="Z11" s="1277"/>
    </x:row>
    <x:row r="12">
      <x:c r="A12" s="3256" t="str">
        <x:v>01 — DATA PLANE · PLANIFICAR → EJECUTAR → CERTIFICAR</x:v>
      </x:c>
      <x:c r="B12" s="3256"/>
      <x:c r="C12" s="3256"/>
      <x:c r="D12" s="3256"/>
      <x:c r="E12" s="3256"/>
      <x:c r="F12" s="3256"/>
      <x:c r="G12" s="3256"/>
      <x:c r="H12" s="3256"/>
      <x:c r="I12" s="3256"/>
      <x:c r="J12" s="3256"/>
      <x:c r="K12" s="3256"/>
      <x:c r="L12" s="3256"/>
      <x:c r="M12" s="3256"/>
      <x:c r="N12" s="3256"/>
      <x:c r="O12" s="3256"/>
      <x:c r="P12" s="3256"/>
      <x:c r="Q12" s="3256"/>
      <x:c r="R12" s="3256"/>
      <x:c r="S12" s="3256"/>
      <x:c r="T12" s="3256"/>
      <x:c r="U12" s="3256"/>
      <x:c r="V12" s="3256"/>
      <x:c r="W12" s="3256"/>
      <x:c r="X12" s="3256"/>
      <x:c r="Y12" s="3256"/>
      <x:c r="Z12" s="3256"/>
    </x:row>
    <x:row r="13">
      <x:c r="A13" s="1277"/>
      <x:c r="B13" s="1277"/>
      <x:c r="C13" s="1277"/>
      <x:c r="D13" s="1277"/>
      <x:c r="E13" s="1277"/>
      <x:c r="F13" s="1277"/>
      <x:c r="G13" s="1277"/>
      <x:c r="H13" s="1277"/>
      <x:c r="I13" s="1277"/>
      <x:c r="J13" s="1277"/>
      <x:c r="K13" s="1277"/>
      <x:c r="L13" s="1277"/>
      <x:c r="M13" s="1277"/>
      <x:c r="N13" s="1277"/>
      <x:c r="O13" s="1277"/>
      <x:c r="P13" s="1277"/>
      <x:c r="Q13" s="1277"/>
      <x:c r="R13" s="1277"/>
      <x:c r="S13" s="1277"/>
      <x:c r="T13" s="1277"/>
      <x:c r="U13" s="1277"/>
      <x:c r="V13" s="1277"/>
      <x:c r="W13" s="1277"/>
      <x:c r="X13" s="1277"/>
      <x:c r="Y13" s="1277"/>
      <x:c r="Z13" s="1277"/>
    </x:row>
    <x:row r="14">
      <x:c r="A14" s="3319" t="str">
        <x:v>PLANIFICACIÓN</x:v>
      </x:c>
      <x:c r="B14" s="3319"/>
      <x:c r="C14" s="3319"/>
      <x:c r="D14" s="3319"/>
      <x:c r="E14" s="3319"/>
      <x:c r="F14" s="3319"/>
      <x:c r="G14" s="3319"/>
      <x:c r="H14" s="3319"/>
      <x:c r="I14" s="3256" t="str">
        <x:v>EJECUCIÓN / PARTES</x:v>
      </x:c>
      <x:c r="J14" s="3256"/>
      <x:c r="K14" s="3256"/>
      <x:c r="L14" s="3256"/>
      <x:c r="M14" s="3256"/>
      <x:c r="N14" s="3256"/>
      <x:c r="O14" s="3256"/>
      <x:c r="P14" s="3256"/>
      <x:c r="Q14" s="3256"/>
      <x:c r="R14" s="3319" t="str">
        <x:v>CERTIFICACIÓN / FACTURACIÓN</x:v>
      </x:c>
      <x:c r="S14" s="3319"/>
      <x:c r="T14" s="3319"/>
      <x:c r="U14" s="3319"/>
      <x:c r="V14" s="3319"/>
      <x:c r="W14" s="3319"/>
      <x:c r="X14" s="3319"/>
      <x:c r="Y14" s="3319"/>
      <x:c r="Z14" s="3319"/>
    </x:row>
    <x:row r="15">
      <x:c r="A15" s="1277"/>
      <x:c r="B15" s="1277"/>
      <x:c r="C15" s="1277"/>
      <x:c r="D15" s="1277"/>
      <x:c r="E15" s="1277"/>
      <x:c r="F15" s="1277"/>
      <x:c r="G15" s="1277"/>
      <x:c r="H15" s="1277"/>
      <x:c r="I15" s="1277"/>
      <x:c r="J15" s="1277"/>
      <x:c r="K15" s="1277"/>
      <x:c r="L15" s="1277"/>
      <x:c r="M15" s="1277"/>
      <x:c r="N15" s="1277"/>
      <x:c r="O15" s="1277"/>
      <x:c r="P15" s="1277"/>
      <x:c r="Q15" s="1277"/>
      <x:c r="R15" s="1277"/>
      <x:c r="S15" s="1277"/>
      <x:c r="T15" s="1277"/>
      <x:c r="U15" s="1277"/>
      <x:c r="V15" s="1277"/>
      <x:c r="W15" s="1277"/>
      <x:c r="X15" s="1277"/>
      <x:c r="Y15" s="1277"/>
      <x:c r="Z15" s="1277"/>
    </x:row>
    <x:row r="16">
      <x:c r="A16" s="3213" t="str">
        <x:v>DEMANDA → ALCANCE → CAPACIDAD</x:v>
      </x:c>
      <x:c r="B16" s="3214"/>
      <x:c r="C16" s="3214"/>
      <x:c r="D16" s="3214"/>
      <x:c r="E16" s="3214"/>
      <x:c r="F16" s="3214"/>
      <x:c r="G16" s="3214"/>
      <x:c r="H16" s="3215"/>
      <x:c r="I16" s="3210" t="str">
        <x:v>ƒ MOTOR DE RUTEO REAL
perfil + plan/bundle + contexto</x:v>
      </x:c>
      <x:c r="J16" s="3211"/>
      <x:c r="K16" s="3211"/>
      <x:c r="L16" s="3211"/>
      <x:c r="M16" s="3211"/>
      <x:c r="N16" s="3211"/>
      <x:c r="O16" s="3211"/>
      <x:c r="P16" s="3211"/>
      <x:c r="Q16" s="3212"/>
      <x:c r="R16" s="3210" t="str">
        <x:v>INGESTA · VERSIÓN FUENTE</x:v>
      </x:c>
      <x:c r="S16" s="3211"/>
      <x:c r="T16" s="3211"/>
      <x:c r="U16" s="3211"/>
      <x:c r="V16" s="3211"/>
      <x:c r="W16" s="3211"/>
      <x:c r="X16" s="3211"/>
      <x:c r="Y16" s="3211"/>
      <x:c r="Z16" s="3212"/>
    </x:row>
    <x:row r="17">
      <x:c r="A17" s="3222"/>
      <x:c r="B17" s="3223"/>
      <x:c r="C17" s="3223"/>
      <x:c r="D17" s="3223"/>
      <x:c r="E17" s="3223"/>
      <x:c r="F17" s="3223"/>
      <x:c r="G17" s="3223"/>
      <x:c r="H17" s="3224"/>
      <x:c r="I17" s="3219"/>
      <x:c r="J17" s="3220"/>
      <x:c r="K17" s="3220"/>
      <x:c r="L17" s="3220"/>
      <x:c r="M17" s="3220"/>
      <x:c r="N17" s="3220"/>
      <x:c r="O17" s="3220"/>
      <x:c r="P17" s="3220"/>
      <x:c r="Q17" s="3221"/>
      <x:c r="R17" s="3219"/>
      <x:c r="S17" s="3220"/>
      <x:c r="T17" s="3220"/>
      <x:c r="U17" s="3220"/>
      <x:c r="V17" s="3220"/>
      <x:c r="W17" s="3220"/>
      <x:c r="X17" s="3220"/>
      <x:c r="Y17" s="3220"/>
      <x:c r="Z17" s="3221"/>
    </x:row>
    <x:row r="18">
      <x:c r="A18" s="3222"/>
      <x:c r="B18" s="3223"/>
      <x:c r="C18" s="3223"/>
      <x:c r="D18" s="3223"/>
      <x:c r="E18" s="3223"/>
      <x:c r="F18" s="3223"/>
      <x:c r="G18" s="3223"/>
      <x:c r="H18" s="3224"/>
      <x:c r="I18" s="3219"/>
      <x:c r="J18" s="3220"/>
      <x:c r="K18" s="3220"/>
      <x:c r="L18" s="3220"/>
      <x:c r="M18" s="3220"/>
      <x:c r="N18" s="3220"/>
      <x:c r="O18" s="3220"/>
      <x:c r="P18" s="3220"/>
      <x:c r="Q18" s="3221"/>
      <x:c r="R18" s="3219"/>
      <x:c r="S18" s="3220"/>
      <x:c r="T18" s="3220"/>
      <x:c r="U18" s="3220"/>
      <x:c r="V18" s="3220"/>
      <x:c r="W18" s="3220"/>
      <x:c r="X18" s="3220"/>
      <x:c r="Y18" s="3220"/>
      <x:c r="Z18" s="3221"/>
    </x:row>
    <x:row r="19">
      <x:c r="A19" s="3231"/>
      <x:c r="B19" s="3232"/>
      <x:c r="C19" s="3232"/>
      <x:c r="D19" s="3232"/>
      <x:c r="E19" s="3232"/>
      <x:c r="F19" s="3232"/>
      <x:c r="G19" s="3232"/>
      <x:c r="H19" s="3233"/>
      <x:c r="I19" s="3228"/>
      <x:c r="J19" s="3229"/>
      <x:c r="K19" s="3229"/>
      <x:c r="L19" s="3229"/>
      <x:c r="M19" s="3229"/>
      <x:c r="N19" s="3229"/>
      <x:c r="O19" s="3229"/>
      <x:c r="P19" s="3229"/>
      <x:c r="Q19" s="3230"/>
      <x:c r="R19" s="3228"/>
      <x:c r="S19" s="3229"/>
      <x:c r="T19" s="3229"/>
      <x:c r="U19" s="3229"/>
      <x:c r="V19" s="3229"/>
      <x:c r="W19" s="3229"/>
      <x:c r="X19" s="3229"/>
      <x:c r="Y19" s="3229"/>
      <x:c r="Z19" s="3230"/>
    </x:row>
    <x:row r="20">
      <x:c r="A20" s="1277"/>
      <x:c r="B20" s="1277"/>
      <x:c r="C20" s="1277"/>
      <x:c r="D20" s="1385" t="str">
        <x:v>↓</x:v>
      </x:c>
      <x:c r="E20" s="1277"/>
      <x:c r="F20" s="1277"/>
      <x:c r="G20" s="1277"/>
      <x:c r="H20" s="1277"/>
      <x:c r="I20" s="1277"/>
      <x:c r="J20" s="1277"/>
      <x:c r="K20" s="1277"/>
      <x:c r="L20" s="1277"/>
      <x:c r="M20" s="1277"/>
      <x:c r="N20" s="1277"/>
      <x:c r="O20" s="1277"/>
      <x:c r="P20" s="1277"/>
      <x:c r="Q20" s="1277"/>
      <x:c r="R20" s="1277"/>
      <x:c r="S20" s="1277"/>
      <x:c r="T20" s="1277"/>
      <x:c r="U20" s="1277"/>
      <x:c r="V20" s="1385" t="str">
        <x:v>↓</x:v>
      </x:c>
      <x:c r="W20" s="1277"/>
      <x:c r="X20" s="1277"/>
      <x:c r="Y20" s="1277"/>
      <x:c r="Z20" s="1277"/>
    </x:row>
    <x:row r="21">
      <x:c r="A21" s="3207" t="str">
        <x:v>MATCHING / DISPONIBILIDAD
+ CONFLICTO TEMPORAL</x:v>
      </x:c>
      <x:c r="B21" s="3208"/>
      <x:c r="C21" s="3208"/>
      <x:c r="D21" s="3208"/>
      <x:c r="E21" s="3208"/>
      <x:c r="F21" s="3208"/>
      <x:c r="G21" s="3208"/>
      <x:c r="H21" s="3209"/>
      <x:c r="I21" s="3308" t="str">
        <x:v>CATÁLOGO DE EJECUCIÓN · SOLO 3 TIPOSPARTE</x:v>
      </x:c>
      <x:c r="J21" s="3308"/>
      <x:c r="K21" s="3308"/>
      <x:c r="L21" s="3308"/>
      <x:c r="M21" s="3308"/>
      <x:c r="N21" s="3308"/>
      <x:c r="O21" s="3308"/>
      <x:c r="P21" s="3308"/>
      <x:c r="Q21" s="3308"/>
      <x:c r="R21" s="3210" t="str">
        <x:v>NORMALIZAR
Item/CC · medición · tratamiento tiempo</x:v>
      </x:c>
      <x:c r="S21" s="3211"/>
      <x:c r="T21" s="3211"/>
      <x:c r="U21" s="3211"/>
      <x:c r="V21" s="3211"/>
      <x:c r="W21" s="3211"/>
      <x:c r="X21" s="3211"/>
      <x:c r="Y21" s="3211"/>
      <x:c r="Z21" s="3212"/>
    </x:row>
    <x:row r="22">
      <x:c r="A22" s="3216"/>
      <x:c r="B22" s="3217"/>
      <x:c r="C22" s="3217"/>
      <x:c r="D22" s="3217"/>
      <x:c r="E22" s="3217"/>
      <x:c r="F22" s="3217"/>
      <x:c r="G22" s="3217"/>
      <x:c r="H22" s="3218"/>
      <x:c r="I22" s="1277"/>
      <x:c r="J22" s="1277"/>
      <x:c r="K22" s="1277"/>
      <x:c r="L22" s="1277"/>
      <x:c r="M22" s="1277"/>
      <x:c r="N22" s="1277"/>
      <x:c r="O22" s="1277"/>
      <x:c r="P22" s="1277"/>
      <x:c r="Q22" s="1277"/>
      <x:c r="R22" s="3219"/>
      <x:c r="S22" s="3220"/>
      <x:c r="T22" s="3220"/>
      <x:c r="U22" s="3220"/>
      <x:c r="V22" s="3220"/>
      <x:c r="W22" s="3220"/>
      <x:c r="X22" s="3220"/>
      <x:c r="Y22" s="3220"/>
      <x:c r="Z22" s="3221"/>
    </x:row>
    <x:row r="23">
      <x:c r="A23" s="3216"/>
      <x:c r="B23" s="3217"/>
      <x:c r="C23" s="3217"/>
      <x:c r="D23" s="3217"/>
      <x:c r="E23" s="3217"/>
      <x:c r="F23" s="3217"/>
      <x:c r="G23" s="3217"/>
      <x:c r="H23" s="3218"/>
      <x:c r="I23" s="3207" t="str">
        <x:v>TP-01
INTERVENCIÓN /
WORK PACKAGE
1..N UE</x:v>
      </x:c>
      <x:c r="J23" s="3208"/>
      <x:c r="K23" s="3209"/>
      <x:c r="L23" s="3207" t="str">
        <x:v>TP-02
TRANSPORTE
N MOVIMIENTOS</x:v>
      </x:c>
      <x:c r="M23" s="3208"/>
      <x:c r="N23" s="3209"/>
      <x:c r="O23" s="3207" t="str">
        <x:v>TP-03
REPORTE CUADRILLA
N UE / TURNO</x:v>
      </x:c>
      <x:c r="P23" s="3208"/>
      <x:c r="Q23" s="3209"/>
      <x:c r="R23" s="3219"/>
      <x:c r="S23" s="3220"/>
      <x:c r="T23" s="3220"/>
      <x:c r="U23" s="3220"/>
      <x:c r="V23" s="3220"/>
      <x:c r="W23" s="3220"/>
      <x:c r="X23" s="3220"/>
      <x:c r="Y23" s="3220"/>
      <x:c r="Z23" s="3221"/>
    </x:row>
    <x:row r="24">
      <x:c r="A24" s="3225"/>
      <x:c r="B24" s="3226"/>
      <x:c r="C24" s="3226"/>
      <x:c r="D24" s="3226"/>
      <x:c r="E24" s="3226"/>
      <x:c r="F24" s="3226"/>
      <x:c r="G24" s="3226"/>
      <x:c r="H24" s="3227"/>
      <x:c r="I24" s="3216"/>
      <x:c r="J24" s="3217"/>
      <x:c r="K24" s="3218"/>
      <x:c r="L24" s="3216"/>
      <x:c r="M24" s="3217"/>
      <x:c r="N24" s="3218"/>
      <x:c r="O24" s="3216"/>
      <x:c r="P24" s="3217"/>
      <x:c r="Q24" s="3218"/>
      <x:c r="R24" s="3228"/>
      <x:c r="S24" s="3229"/>
      <x:c r="T24" s="3229"/>
      <x:c r="U24" s="3229"/>
      <x:c r="V24" s="3229"/>
      <x:c r="W24" s="3229"/>
      <x:c r="X24" s="3229"/>
      <x:c r="Y24" s="3229"/>
      <x:c r="Z24" s="3230"/>
    </x:row>
    <x:row r="25">
      <x:c r="A25" s="1277"/>
      <x:c r="B25" s="1277"/>
      <x:c r="C25" s="1277"/>
      <x:c r="D25" s="1385" t="str">
        <x:v>↓</x:v>
      </x:c>
      <x:c r="E25" s="1277"/>
      <x:c r="F25" s="1277"/>
      <x:c r="G25" s="1277"/>
      <x:c r="H25" s="1277"/>
      <x:c r="I25" s="3216"/>
      <x:c r="J25" s="3217"/>
      <x:c r="K25" s="3218"/>
      <x:c r="L25" s="3216"/>
      <x:c r="M25" s="3217"/>
      <x:c r="N25" s="3218"/>
      <x:c r="O25" s="3216"/>
      <x:c r="P25" s="3217"/>
      <x:c r="Q25" s="3218"/>
      <x:c r="R25" s="1277"/>
      <x:c r="S25" s="1277"/>
      <x:c r="T25" s="1277"/>
      <x:c r="U25" s="1277"/>
      <x:c r="V25" s="1385" t="str">
        <x:v>↓</x:v>
      </x:c>
      <x:c r="W25" s="1277"/>
      <x:c r="X25" s="1277"/>
      <x:c r="Y25" s="1277"/>
      <x:c r="Z25" s="1277"/>
    </x:row>
    <x:row r="26">
      <x:c r="A26" s="3210" t="str">
        <x:v>PROGRAMAR → READINESS TEMPORAL
→ CONFIRMAR PlanificacionVersion</x:v>
      </x:c>
      <x:c r="B26" s="3211"/>
      <x:c r="C26" s="3211"/>
      <x:c r="D26" s="3211"/>
      <x:c r="E26" s="3211"/>
      <x:c r="F26" s="3211"/>
      <x:c r="G26" s="3211"/>
      <x:c r="H26" s="3212"/>
      <x:c r="I26" s="3216"/>
      <x:c r="J26" s="3217"/>
      <x:c r="K26" s="3218"/>
      <x:c r="L26" s="3216"/>
      <x:c r="M26" s="3217"/>
      <x:c r="N26" s="3218"/>
      <x:c r="O26" s="3216"/>
      <x:c r="P26" s="3217"/>
      <x:c r="Q26" s="3218"/>
      <x:c r="R26" s="3207" t="str">
        <x:v>ƒ GRANO UNIDAD COMERCIAL
UE · movimiento · intervención · período · ítem</x:v>
      </x:c>
      <x:c r="S26" s="3208"/>
      <x:c r="T26" s="3208"/>
      <x:c r="U26" s="3208"/>
      <x:c r="V26" s="3208"/>
      <x:c r="W26" s="3208"/>
      <x:c r="X26" s="3208"/>
      <x:c r="Y26" s="3208"/>
      <x:c r="Z26" s="3209"/>
    </x:row>
    <x:row r="27">
      <x:c r="A27" s="3219"/>
      <x:c r="B27" s="3220"/>
      <x:c r="C27" s="3220"/>
      <x:c r="D27" s="3220"/>
      <x:c r="E27" s="3220"/>
      <x:c r="F27" s="3220"/>
      <x:c r="G27" s="3220"/>
      <x:c r="H27" s="3221"/>
      <x:c r="I27" s="3216"/>
      <x:c r="J27" s="3217"/>
      <x:c r="K27" s="3218"/>
      <x:c r="L27" s="3216"/>
      <x:c r="M27" s="3217"/>
      <x:c r="N27" s="3218"/>
      <x:c r="O27" s="3216"/>
      <x:c r="P27" s="3217"/>
      <x:c r="Q27" s="3218"/>
      <x:c r="R27" s="3216"/>
      <x:c r="S27" s="3217"/>
      <x:c r="T27" s="3217"/>
      <x:c r="U27" s="3217"/>
      <x:c r="V27" s="3217"/>
      <x:c r="W27" s="3217"/>
      <x:c r="X27" s="3217"/>
      <x:c r="Y27" s="3217"/>
      <x:c r="Z27" s="3218"/>
    </x:row>
    <x:row r="28">
      <x:c r="A28" s="3219"/>
      <x:c r="B28" s="3220"/>
      <x:c r="C28" s="3220"/>
      <x:c r="D28" s="3220"/>
      <x:c r="E28" s="3220"/>
      <x:c r="F28" s="3220"/>
      <x:c r="G28" s="3220"/>
      <x:c r="H28" s="3221"/>
      <x:c r="I28" s="3225"/>
      <x:c r="J28" s="3226"/>
      <x:c r="K28" s="3227"/>
      <x:c r="L28" s="3225"/>
      <x:c r="M28" s="3226"/>
      <x:c r="N28" s="3227"/>
      <x:c r="O28" s="3225"/>
      <x:c r="P28" s="3226"/>
      <x:c r="Q28" s="3227"/>
      <x:c r="R28" s="3216"/>
      <x:c r="S28" s="3217"/>
      <x:c r="T28" s="3217"/>
      <x:c r="U28" s="3217"/>
      <x:c r="V28" s="3217"/>
      <x:c r="W28" s="3217"/>
      <x:c r="X28" s="3217"/>
      <x:c r="Y28" s="3217"/>
      <x:c r="Z28" s="3218"/>
    </x:row>
    <x:row r="29">
      <x:c r="A29" s="3219"/>
      <x:c r="B29" s="3220"/>
      <x:c r="C29" s="3220"/>
      <x:c r="D29" s="3220"/>
      <x:c r="E29" s="3220"/>
      <x:c r="F29" s="3220"/>
      <x:c r="G29" s="3220"/>
      <x:c r="H29" s="3221"/>
      <x:c r="I29" s="1277"/>
      <x:c r="J29" s="1277"/>
      <x:c r="K29" s="1277"/>
      <x:c r="L29" s="1277"/>
      <x:c r="M29" s="1277"/>
      <x:c r="N29" s="1277"/>
      <x:c r="O29" s="1277"/>
      <x:c r="P29" s="1277"/>
      <x:c r="Q29" s="1277"/>
      <x:c r="R29" s="3225"/>
      <x:c r="S29" s="3226"/>
      <x:c r="T29" s="3226"/>
      <x:c r="U29" s="3226"/>
      <x:c r="V29" s="3226"/>
      <x:c r="W29" s="3226"/>
      <x:c r="X29" s="3226"/>
      <x:c r="Y29" s="3226"/>
      <x:c r="Z29" s="3227"/>
    </x:row>
    <x:row r="30">
      <x:c r="A30" s="3228"/>
      <x:c r="B30" s="3229"/>
      <x:c r="C30" s="3229"/>
      <x:c r="D30" s="3229"/>
      <x:c r="E30" s="3229"/>
      <x:c r="F30" s="3229"/>
      <x:c r="G30" s="3229"/>
      <x:c r="H30" s="3230"/>
      <x:c r="I30" s="3309" t="str">
        <x:v>Incidente/Habilita NO entra en este router. Cualquier TP puede emitir/vincular EventoHabilita en paralelo.</x:v>
      </x:c>
      <x:c r="J30" s="3309"/>
      <x:c r="K30" s="3309"/>
      <x:c r="L30" s="3309"/>
      <x:c r="M30" s="3309"/>
      <x:c r="N30" s="3309"/>
      <x:c r="O30" s="3309"/>
      <x:c r="P30" s="3309"/>
      <x:c r="Q30" s="3309"/>
      <x:c r="R30" s="1277"/>
      <x:c r="S30" s="1277"/>
      <x:c r="T30" s="1277"/>
      <x:c r="U30" s="1277"/>
      <x:c r="V30" s="1385" t="str">
        <x:v>↓</x:v>
      </x:c>
      <x:c r="W30" s="1277"/>
      <x:c r="X30" s="1277"/>
      <x:c r="Y30" s="1277"/>
      <x:c r="Z30" s="1277"/>
    </x:row>
    <x:row r="31">
      <x:c r="A31" s="1277"/>
      <x:c r="B31" s="1277"/>
      <x:c r="C31" s="1277"/>
      <x:c r="D31" s="1277"/>
      <x:c r="E31" s="1277"/>
      <x:c r="F31" s="1277"/>
      <x:c r="G31" s="1277"/>
      <x:c r="H31" s="1277"/>
      <x:c r="I31" s="3309"/>
      <x:c r="J31" s="3309"/>
      <x:c r="K31" s="3309"/>
      <x:c r="L31" s="3309"/>
      <x:c r="M31" s="3309"/>
      <x:c r="N31" s="3309"/>
      <x:c r="O31" s="3309"/>
      <x:c r="P31" s="3309"/>
      <x:c r="Q31" s="3309"/>
      <x:c r="R31" s="3213" t="str">
        <x:v>UC → AGRUPAR / PARCIALIDAD
→ CERTIFICAR / AJUSTAR
→ FACTURAR</x:v>
      </x:c>
      <x:c r="S31" s="3214"/>
      <x:c r="T31" s="3214"/>
      <x:c r="U31" s="3214"/>
      <x:c r="V31" s="3214"/>
      <x:c r="W31" s="3214"/>
      <x:c r="X31" s="3214"/>
      <x:c r="Y31" s="3214"/>
      <x:c r="Z31" s="3215"/>
    </x:row>
    <x:row r="32">
      <x:c r="A32" s="1277"/>
      <x:c r="B32" s="1277"/>
      <x:c r="C32" s="1277"/>
      <x:c r="D32" s="1277"/>
      <x:c r="E32" s="1277"/>
      <x:c r="F32" s="1277"/>
      <x:c r="G32" s="1277"/>
      <x:c r="H32" s="1277"/>
      <x:c r="I32" s="1277"/>
      <x:c r="J32" s="1277"/>
      <x:c r="K32" s="1277"/>
      <x:c r="L32" s="1277"/>
      <x:c r="M32" s="1277"/>
      <x:c r="N32" s="1277"/>
      <x:c r="O32" s="1277"/>
      <x:c r="P32" s="1277"/>
      <x:c r="Q32" s="1277"/>
      <x:c r="R32" s="3222"/>
      <x:c r="S32" s="3223"/>
      <x:c r="T32" s="3223"/>
      <x:c r="U32" s="3223"/>
      <x:c r="V32" s="3223"/>
      <x:c r="W32" s="3223"/>
      <x:c r="X32" s="3223"/>
      <x:c r="Y32" s="3223"/>
      <x:c r="Z32" s="3224"/>
    </x:row>
    <x:row r="33">
      <x:c r="A33" s="3310" t="str">
        <x:v>I-A · PLANIFICACIÓN → EJECUCIÓN · VERSIÓN APROBADA + CONTEXTO OFFLINE</x:v>
      </x:c>
      <x:c r="B33" s="3310"/>
      <x:c r="C33" s="3310"/>
      <x:c r="D33" s="3310"/>
      <x:c r="E33" s="3310"/>
      <x:c r="F33" s="3310"/>
      <x:c r="G33" s="3310"/>
      <x:c r="H33" s="3310"/>
      <x:c r="I33" s="3310"/>
      <x:c r="J33" s="3310"/>
      <x:c r="K33" s="3310"/>
      <x:c r="L33" s="3310"/>
      <x:c r="M33" s="3310"/>
      <x:c r="N33" s="3310"/>
      <x:c r="O33" s="3310"/>
      <x:c r="P33" s="3310"/>
      <x:c r="Q33" s="3310"/>
      <x:c r="R33" s="3222"/>
      <x:c r="S33" s="3223"/>
      <x:c r="T33" s="3223"/>
      <x:c r="U33" s="3223"/>
      <x:c r="V33" s="3223"/>
      <x:c r="W33" s="3223"/>
      <x:c r="X33" s="3223"/>
      <x:c r="Y33" s="3223"/>
      <x:c r="Z33" s="3224"/>
    </x:row>
    <x:row r="34">
      <x:c r="A34" s="3311" t="str">
        <x:v>Asignaciones/UE planificadas + contexto + recursos/personas + pre-check + TipoParte previsto + ExecutionContextBundle versionado/validez.</x:v>
      </x:c>
      <x:c r="B34" s="3311"/>
      <x:c r="C34" s="3311"/>
      <x:c r="D34" s="3311"/>
      <x:c r="E34" s="3311"/>
      <x:c r="F34" s="3311"/>
      <x:c r="G34" s="3311"/>
      <x:c r="H34" s="3311"/>
      <x:c r="I34" s="3311"/>
      <x:c r="J34" s="3311"/>
      <x:c r="K34" s="3311"/>
      <x:c r="L34" s="3311"/>
      <x:c r="M34" s="3311"/>
      <x:c r="N34" s="3311"/>
      <x:c r="O34" s="3311"/>
      <x:c r="P34" s="3311"/>
      <x:c r="Q34" s="3311"/>
      <x:c r="R34" s="3222"/>
      <x:c r="S34" s="3223"/>
      <x:c r="T34" s="3223"/>
      <x:c r="U34" s="3223"/>
      <x:c r="V34" s="3223"/>
      <x:c r="W34" s="3223"/>
      <x:c r="X34" s="3223"/>
      <x:c r="Y34" s="3223"/>
      <x:c r="Z34" s="3224"/>
    </x:row>
    <x:row r="35">
      <x:c r="A35" s="3311"/>
      <x:c r="B35" s="3311"/>
      <x:c r="C35" s="3311"/>
      <x:c r="D35" s="3311"/>
      <x:c r="E35" s="3311"/>
      <x:c r="F35" s="3311"/>
      <x:c r="G35" s="3311"/>
      <x:c r="H35" s="3311"/>
      <x:c r="I35" s="3311"/>
      <x:c r="J35" s="3311"/>
      <x:c r="K35" s="3311"/>
      <x:c r="L35" s="3311"/>
      <x:c r="M35" s="3311"/>
      <x:c r="N35" s="3311"/>
      <x:c r="O35" s="3311"/>
      <x:c r="P35" s="3311"/>
      <x:c r="Q35" s="3311"/>
      <x:c r="R35" s="3231"/>
      <x:c r="S35" s="3232"/>
      <x:c r="T35" s="3232"/>
      <x:c r="U35" s="3232"/>
      <x:c r="V35" s="3232"/>
      <x:c r="W35" s="3232"/>
      <x:c r="X35" s="3232"/>
      <x:c r="Y35" s="3232"/>
      <x:c r="Z35" s="3233"/>
    </x:row>
    <x:row r="36">
      <x:c r="A36" s="3311"/>
      <x:c r="B36" s="3311"/>
      <x:c r="C36" s="3311"/>
      <x:c r="D36" s="3311"/>
      <x:c r="E36" s="3311"/>
      <x:c r="F36" s="3311"/>
      <x:c r="G36" s="3311"/>
      <x:c r="H36" s="3311"/>
      <x:c r="I36" s="3311"/>
      <x:c r="J36" s="3311"/>
      <x:c r="K36" s="3311"/>
      <x:c r="L36" s="3311"/>
      <x:c r="M36" s="3311"/>
      <x:c r="N36" s="3311"/>
      <x:c r="O36" s="3311"/>
      <x:c r="P36" s="3311"/>
      <x:c r="Q36" s="3311"/>
      <x:c r="R36" s="1277"/>
      <x:c r="S36" s="1277"/>
      <x:c r="T36" s="1277"/>
      <x:c r="U36" s="1277"/>
      <x:c r="V36" s="1277"/>
      <x:c r="W36" s="1277"/>
      <x:c r="X36" s="1277"/>
      <x:c r="Y36" s="1277"/>
      <x:c r="Z36" s="1277"/>
    </x:row>
    <x:row r="37">
      <x:c r="A37" s="1277"/>
      <x:c r="B37" s="1277"/>
      <x:c r="C37" s="1277"/>
      <x:c r="D37" s="1277"/>
      <x:c r="E37" s="1277"/>
      <x:c r="F37" s="1277"/>
      <x:c r="G37" s="1277"/>
      <x:c r="H37" s="1277"/>
      <x:c r="I37" s="1277"/>
      <x:c r="J37" s="1277"/>
      <x:c r="K37" s="1277"/>
      <x:c r="L37" s="1277"/>
      <x:c r="M37" s="1277"/>
      <x:c r="N37" s="1277"/>
      <x:c r="O37" s="1277"/>
      <x:c r="P37" s="1277"/>
      <x:c r="Q37" s="1277"/>
      <x:c r="R37" s="1277"/>
      <x:c r="S37" s="1277"/>
      <x:c r="T37" s="1277"/>
      <x:c r="U37" s="1277"/>
      <x:c r="V37" s="1277"/>
      <x:c r="W37" s="1277"/>
      <x:c r="X37" s="1277"/>
      <x:c r="Y37" s="1277"/>
      <x:c r="Z37" s="1277"/>
    </x:row>
    <x:row r="38">
      <x:c r="A38" s="1277"/>
      <x:c r="B38" s="1277"/>
      <x:c r="C38" s="1277"/>
      <x:c r="D38" s="1277"/>
      <x:c r="E38" s="1277"/>
      <x:c r="F38" s="1277"/>
      <x:c r="G38" s="1277"/>
      <x:c r="H38" s="1277"/>
      <x:c r="I38" s="3210" t="str">
        <x:v>GATE DOCUMENTAL
+ OverrideGate
solo si regla</x:v>
      </x:c>
      <x:c r="J38" s="3211"/>
      <x:c r="K38" s="3211"/>
      <x:c r="L38" s="3212"/>
      <x:c r="M38" s="1277"/>
      <x:c r="N38" s="3236" t="str">
        <x:v>PTW / START WORK
[0..N]
Habilita PREVENT</x:v>
      </x:c>
      <x:c r="O38" s="3237"/>
      <x:c r="P38" s="3237"/>
      <x:c r="Q38" s="3238"/>
      <x:c r="R38" s="1277"/>
      <x:c r="S38" s="1277"/>
      <x:c r="T38" s="1277"/>
      <x:c r="U38" s="1277"/>
      <x:c r="V38" s="1277"/>
      <x:c r="W38" s="1277"/>
      <x:c r="X38" s="1277"/>
      <x:c r="Y38" s="1277"/>
      <x:c r="Z38" s="1277"/>
    </x:row>
    <x:row r="39">
      <x:c r="A39" s="1277"/>
      <x:c r="B39" s="1277"/>
      <x:c r="C39" s="1277"/>
      <x:c r="D39" s="1277"/>
      <x:c r="E39" s="1277"/>
      <x:c r="F39" s="1277"/>
      <x:c r="G39" s="1277"/>
      <x:c r="H39" s="1277"/>
      <x:c r="I39" s="3219"/>
      <x:c r="J39" s="3220"/>
      <x:c r="K39" s="3220"/>
      <x:c r="L39" s="3221"/>
      <x:c r="M39" s="1277"/>
      <x:c r="N39" s="3239"/>
      <x:c r="O39" s="3240"/>
      <x:c r="P39" s="3240"/>
      <x:c r="Q39" s="3241"/>
      <x:c r="R39" s="1277"/>
      <x:c r="S39" s="1277"/>
      <x:c r="T39" s="1277"/>
      <x:c r="U39" s="1277"/>
      <x:c r="V39" s="1277"/>
      <x:c r="W39" s="1277"/>
      <x:c r="X39" s="1277"/>
      <x:c r="Y39" s="1277"/>
      <x:c r="Z39" s="1277"/>
    </x:row>
    <x:row r="40">
      <x:c r="A40" s="1277"/>
      <x:c r="B40" s="1277"/>
      <x:c r="C40" s="1277"/>
      <x:c r="D40" s="1277"/>
      <x:c r="E40" s="1277"/>
      <x:c r="F40" s="1277"/>
      <x:c r="G40" s="1277"/>
      <x:c r="H40" s="1277"/>
      <x:c r="I40" s="3219"/>
      <x:c r="J40" s="3220"/>
      <x:c r="K40" s="3220"/>
      <x:c r="L40" s="3221"/>
      <x:c r="M40" s="1297" t="str">
        <x:v>→</x:v>
      </x:c>
      <x:c r="N40" s="3239"/>
      <x:c r="O40" s="3240"/>
      <x:c r="P40" s="3240"/>
      <x:c r="Q40" s="3241"/>
      <x:c r="R40" s="1277"/>
      <x:c r="S40" s="1277"/>
      <x:c r="T40" s="1277"/>
      <x:c r="U40" s="1277"/>
      <x:c r="V40" s="1277"/>
      <x:c r="W40" s="1277"/>
      <x:c r="X40" s="1277"/>
      <x:c r="Y40" s="1277"/>
      <x:c r="Z40" s="1277"/>
    </x:row>
    <x:row r="41">
      <x:c r="A41" s="1277"/>
      <x:c r="B41" s="1277"/>
      <x:c r="C41" s="1277"/>
      <x:c r="D41" s="1277"/>
      <x:c r="E41" s="1277"/>
      <x:c r="F41" s="1277"/>
      <x:c r="G41" s="1277"/>
      <x:c r="H41" s="1277"/>
      <x:c r="I41" s="3219"/>
      <x:c r="J41" s="3220"/>
      <x:c r="K41" s="3220"/>
      <x:c r="L41" s="3221"/>
      <x:c r="M41" s="1277"/>
      <x:c r="N41" s="3239"/>
      <x:c r="O41" s="3240"/>
      <x:c r="P41" s="3240"/>
      <x:c r="Q41" s="3241"/>
      <x:c r="R41" s="1277"/>
      <x:c r="S41" s="1277"/>
      <x:c r="T41" s="1277"/>
      <x:c r="U41" s="1277"/>
      <x:c r="V41" s="1277"/>
      <x:c r="W41" s="1277"/>
      <x:c r="X41" s="1277"/>
      <x:c r="Y41" s="1277"/>
      <x:c r="Z41" s="1277"/>
    </x:row>
    <x:row r="42">
      <x:c r="A42" s="1277"/>
      <x:c r="B42" s="1277"/>
      <x:c r="C42" s="1277"/>
      <x:c r="D42" s="1277"/>
      <x:c r="E42" s="1277"/>
      <x:c r="F42" s="1277"/>
      <x:c r="G42" s="1277"/>
      <x:c r="H42" s="1277"/>
      <x:c r="I42" s="3228"/>
      <x:c r="J42" s="3229"/>
      <x:c r="K42" s="3229"/>
      <x:c r="L42" s="3230"/>
      <x:c r="M42" s="1277"/>
      <x:c r="N42" s="3242"/>
      <x:c r="O42" s="3243"/>
      <x:c r="P42" s="3243"/>
      <x:c r="Q42" s="3244"/>
      <x:c r="R42" s="1277"/>
      <x:c r="S42" s="1277"/>
      <x:c r="T42" s="1277"/>
      <x:c r="U42" s="1277"/>
      <x:c r="V42" s="1277"/>
      <x:c r="W42" s="1277"/>
      <x:c r="X42" s="1277"/>
      <x:c r="Y42" s="1277"/>
      <x:c r="Z42" s="1277"/>
    </x:row>
    <x:row r="43">
      <x:c r="A43" s="1277"/>
      <x:c r="B43" s="1277"/>
      <x:c r="C43" s="1277"/>
      <x:c r="D43" s="1277"/>
      <x:c r="E43" s="1277"/>
      <x:c r="F43" s="1277"/>
      <x:c r="G43" s="1277"/>
      <x:c r="H43" s="1277"/>
      <x:c r="I43" s="1277"/>
      <x:c r="J43" s="1277"/>
      <x:c r="K43" s="1277"/>
      <x:c r="L43" s="1277"/>
      <x:c r="M43" s="1385" t="str">
        <x:v>↓</x:v>
      </x:c>
      <x:c r="N43" s="1277"/>
      <x:c r="O43" s="1277"/>
      <x:c r="P43" s="1277"/>
      <x:c r="Q43" s="1277"/>
      <x:c r="R43" s="1277"/>
      <x:c r="S43" s="1277"/>
      <x:c r="T43" s="1277"/>
      <x:c r="U43" s="1277"/>
      <x:c r="V43" s="1277"/>
      <x:c r="W43" s="1277"/>
      <x:c r="X43" s="1277"/>
      <x:c r="Y43" s="1277"/>
      <x:c r="Z43" s="1277"/>
    </x:row>
    <x:row r="44">
      <x:c r="A44" s="1277"/>
      <x:c r="B44" s="1277"/>
      <x:c r="C44" s="1277"/>
      <x:c r="D44" s="1277"/>
      <x:c r="E44" s="1277"/>
      <x:c r="F44" s="1277"/>
      <x:c r="G44" s="1277"/>
      <x:c r="H44" s="1277"/>
      <x:c r="I44" s="3213" t="str">
        <x:v>PARTE + UE [1..N]
personas/recursos por intervalo · ubicación · tiempo/transiciones
medición · imputación · evidencia · desvíos</x:v>
      </x:c>
      <x:c r="J44" s="3214"/>
      <x:c r="K44" s="3214"/>
      <x:c r="L44" s="3214"/>
      <x:c r="M44" s="3214"/>
      <x:c r="N44" s="3214"/>
      <x:c r="O44" s="3214"/>
      <x:c r="P44" s="3214"/>
      <x:c r="Q44" s="3215"/>
      <x:c r="R44" s="1277"/>
      <x:c r="S44" s="1277"/>
      <x:c r="T44" s="1277"/>
      <x:c r="U44" s="1277"/>
      <x:c r="V44" s="1277"/>
      <x:c r="W44" s="1277"/>
      <x:c r="X44" s="1277"/>
      <x:c r="Y44" s="1277"/>
      <x:c r="Z44" s="1277"/>
    </x:row>
    <x:row r="45">
      <x:c r="A45" s="1277"/>
      <x:c r="B45" s="1277"/>
      <x:c r="C45" s="1277"/>
      <x:c r="D45" s="1277"/>
      <x:c r="E45" s="1277"/>
      <x:c r="F45" s="1277"/>
      <x:c r="G45" s="1277"/>
      <x:c r="H45" s="1277"/>
      <x:c r="I45" s="3222"/>
      <x:c r="J45" s="3223"/>
      <x:c r="K45" s="3223"/>
      <x:c r="L45" s="3223"/>
      <x:c r="M45" s="3223"/>
      <x:c r="N45" s="3223"/>
      <x:c r="O45" s="3223"/>
      <x:c r="P45" s="3223"/>
      <x:c r="Q45" s="3224"/>
      <x:c r="R45" s="1277"/>
      <x:c r="S45" s="1277"/>
      <x:c r="T45" s="1277"/>
      <x:c r="U45" s="1277"/>
      <x:c r="V45" s="1277"/>
      <x:c r="W45" s="1277"/>
      <x:c r="X45" s="1277"/>
      <x:c r="Y45" s="1277"/>
      <x:c r="Z45" s="1277"/>
    </x:row>
    <x:row r="46">
      <x:c r="A46" s="1277"/>
      <x:c r="B46" s="1277"/>
      <x:c r="C46" s="1277"/>
      <x:c r="D46" s="1277"/>
      <x:c r="E46" s="1277"/>
      <x:c r="F46" s="1277"/>
      <x:c r="G46" s="1277"/>
      <x:c r="H46" s="1277"/>
      <x:c r="I46" s="3222"/>
      <x:c r="J46" s="3223"/>
      <x:c r="K46" s="3223"/>
      <x:c r="L46" s="3223"/>
      <x:c r="M46" s="3223"/>
      <x:c r="N46" s="3223"/>
      <x:c r="O46" s="3223"/>
      <x:c r="P46" s="3223"/>
      <x:c r="Q46" s="3224"/>
      <x:c r="R46" s="1277"/>
      <x:c r="S46" s="1277"/>
      <x:c r="T46" s="1277"/>
      <x:c r="U46" s="1277"/>
      <x:c r="V46" s="1277"/>
      <x:c r="W46" s="1277"/>
      <x:c r="X46" s="1277"/>
      <x:c r="Y46" s="1277"/>
      <x:c r="Z46" s="1277"/>
    </x:row>
    <x:row r="47">
      <x:c r="A47" s="1277"/>
      <x:c r="B47" s="1277"/>
      <x:c r="C47" s="1277"/>
      <x:c r="D47" s="1277"/>
      <x:c r="E47" s="1277"/>
      <x:c r="F47" s="1277"/>
      <x:c r="G47" s="1277"/>
      <x:c r="H47" s="1277"/>
      <x:c r="I47" s="3222"/>
      <x:c r="J47" s="3223"/>
      <x:c r="K47" s="3223"/>
      <x:c r="L47" s="3223"/>
      <x:c r="M47" s="3223"/>
      <x:c r="N47" s="3223"/>
      <x:c r="O47" s="3223"/>
      <x:c r="P47" s="3223"/>
      <x:c r="Q47" s="3224"/>
      <x:c r="R47" s="1277"/>
      <x:c r="S47" s="1277"/>
      <x:c r="T47" s="1277"/>
      <x:c r="U47" s="1277"/>
      <x:c r="V47" s="1277"/>
      <x:c r="W47" s="1277"/>
      <x:c r="X47" s="1277"/>
      <x:c r="Y47" s="1277"/>
      <x:c r="Z47" s="1277"/>
    </x:row>
    <x:row r="48">
      <x:c r="A48" s="1277"/>
      <x:c r="B48" s="1277"/>
      <x:c r="C48" s="1277"/>
      <x:c r="D48" s="1277"/>
      <x:c r="E48" s="1277"/>
      <x:c r="F48" s="1277"/>
      <x:c r="G48" s="1277"/>
      <x:c r="H48" s="1277"/>
      <x:c r="I48" s="3231"/>
      <x:c r="J48" s="3232"/>
      <x:c r="K48" s="3232"/>
      <x:c r="L48" s="3232"/>
      <x:c r="M48" s="3232"/>
      <x:c r="N48" s="3232"/>
      <x:c r="O48" s="3232"/>
      <x:c r="P48" s="3232"/>
      <x:c r="Q48" s="3233"/>
      <x:c r="R48" s="1277"/>
      <x:c r="S48" s="1277"/>
      <x:c r="T48" s="1277"/>
      <x:c r="U48" s="1277"/>
      <x:c r="V48" s="1277"/>
      <x:c r="W48" s="1277"/>
      <x:c r="X48" s="1277"/>
      <x:c r="Y48" s="1277"/>
      <x:c r="Z48" s="1277"/>
    </x:row>
    <x:row r="49">
      <x:c r="A49" s="1277"/>
      <x:c r="B49" s="1277"/>
      <x:c r="C49" s="1277"/>
      <x:c r="D49" s="1277"/>
      <x:c r="E49" s="1277"/>
      <x:c r="F49" s="1277"/>
      <x:c r="G49" s="1277"/>
      <x:c r="H49" s="1277"/>
      <x:c r="I49" s="1277"/>
      <x:c r="J49" s="1277"/>
      <x:c r="K49" s="1277"/>
      <x:c r="L49" s="1277"/>
      <x:c r="M49" s="1385" t="str">
        <x:v>↓</x:v>
      </x:c>
      <x:c r="N49" s="1277"/>
      <x:c r="O49" s="1277"/>
      <x:c r="P49" s="1277"/>
      <x:c r="Q49" s="1277"/>
      <x:c r="R49" s="1277"/>
      <x:c r="S49" s="1277"/>
      <x:c r="T49" s="1277"/>
      <x:c r="U49" s="1277"/>
      <x:c r="V49" s="1277"/>
      <x:c r="W49" s="1277"/>
      <x:c r="X49" s="1277"/>
      <x:c r="Y49" s="1277"/>
      <x:c r="Z49" s="1277"/>
    </x:row>
    <x:row r="50">
      <x:c r="A50" s="1277"/>
      <x:c r="B50" s="1277"/>
      <x:c r="C50" s="1277"/>
      <x:c r="D50" s="1277"/>
      <x:c r="E50" s="1277"/>
      <x:c r="F50" s="1277"/>
      <x:c r="G50" s="1277"/>
      <x:c r="H50" s="1277"/>
      <x:c r="I50" s="3210" t="str">
        <x:v>REGLA CORTE + CIERRE OPERATIVO
EnmiendaOperativa si error real</x:v>
      </x:c>
      <x:c r="J50" s="3211"/>
      <x:c r="K50" s="3211"/>
      <x:c r="L50" s="3211"/>
      <x:c r="M50" s="3211"/>
      <x:c r="N50" s="3211"/>
      <x:c r="O50" s="3211"/>
      <x:c r="P50" s="3211"/>
      <x:c r="Q50" s="3212"/>
      <x:c r="R50" s="1277"/>
      <x:c r="S50" s="1277"/>
      <x:c r="T50" s="1277"/>
      <x:c r="U50" s="1277"/>
      <x:c r="V50" s="1277"/>
      <x:c r="W50" s="1277"/>
      <x:c r="X50" s="1277"/>
      <x:c r="Y50" s="1277"/>
      <x:c r="Z50" s="1277"/>
    </x:row>
    <x:row r="51">
      <x:c r="A51" s="1277"/>
      <x:c r="B51" s="1277"/>
      <x:c r="C51" s="1277"/>
      <x:c r="D51" s="1277"/>
      <x:c r="E51" s="1277"/>
      <x:c r="F51" s="1277"/>
      <x:c r="G51" s="1277"/>
      <x:c r="H51" s="1277"/>
      <x:c r="I51" s="3219"/>
      <x:c r="J51" s="3220"/>
      <x:c r="K51" s="3220"/>
      <x:c r="L51" s="3220"/>
      <x:c r="M51" s="3220"/>
      <x:c r="N51" s="3220"/>
      <x:c r="O51" s="3220"/>
      <x:c r="P51" s="3220"/>
      <x:c r="Q51" s="3221"/>
      <x:c r="R51" s="1277"/>
      <x:c r="S51" s="1277"/>
      <x:c r="T51" s="1277"/>
      <x:c r="U51" s="1277"/>
      <x:c r="V51" s="1277"/>
      <x:c r="W51" s="1277"/>
      <x:c r="X51" s="1277"/>
      <x:c r="Y51" s="1277"/>
      <x:c r="Z51" s="1277"/>
    </x:row>
    <x:row r="52">
      <x:c r="A52" s="1277"/>
      <x:c r="B52" s="1277"/>
      <x:c r="C52" s="1277"/>
      <x:c r="D52" s="1277"/>
      <x:c r="E52" s="1277"/>
      <x:c r="F52" s="1277"/>
      <x:c r="G52" s="1277"/>
      <x:c r="H52" s="1277"/>
      <x:c r="I52" s="3219"/>
      <x:c r="J52" s="3220"/>
      <x:c r="K52" s="3220"/>
      <x:c r="L52" s="3220"/>
      <x:c r="M52" s="3220"/>
      <x:c r="N52" s="3220"/>
      <x:c r="O52" s="3220"/>
      <x:c r="P52" s="3220"/>
      <x:c r="Q52" s="3221"/>
      <x:c r="R52" s="1277"/>
      <x:c r="S52" s="1277"/>
      <x:c r="T52" s="1277"/>
      <x:c r="U52" s="1277"/>
      <x:c r="V52" s="1277"/>
      <x:c r="W52" s="1277"/>
      <x:c r="X52" s="1277"/>
      <x:c r="Y52" s="1277"/>
      <x:c r="Z52" s="1277"/>
    </x:row>
    <x:row r="53">
      <x:c r="A53" s="1277"/>
      <x:c r="B53" s="1277"/>
      <x:c r="C53" s="1277"/>
      <x:c r="D53" s="1277"/>
      <x:c r="E53" s="1277"/>
      <x:c r="F53" s="1277"/>
      <x:c r="G53" s="1277"/>
      <x:c r="H53" s="1277"/>
      <x:c r="I53" s="3228"/>
      <x:c r="J53" s="3229"/>
      <x:c r="K53" s="3229"/>
      <x:c r="L53" s="3229"/>
      <x:c r="M53" s="3229"/>
      <x:c r="N53" s="3229"/>
      <x:c r="O53" s="3229"/>
      <x:c r="P53" s="3229"/>
      <x:c r="Q53" s="3230"/>
      <x:c r="R53" s="1277"/>
      <x:c r="S53" s="1277"/>
      <x:c r="T53" s="1277"/>
      <x:c r="U53" s="1277"/>
      <x:c r="V53" s="1277"/>
      <x:c r="W53" s="1277"/>
      <x:c r="X53" s="1277"/>
      <x:c r="Y53" s="1277"/>
      <x:c r="Z53" s="1277"/>
    </x:row>
    <x:row r="54">
      <x:c r="A54" s="1277"/>
      <x:c r="B54" s="1277"/>
      <x:c r="C54" s="1277"/>
      <x:c r="D54" s="1277"/>
      <x:c r="E54" s="1277"/>
      <x:c r="F54" s="1277"/>
      <x:c r="G54" s="1277"/>
      <x:c r="H54" s="1277"/>
      <x:c r="I54" s="1277"/>
      <x:c r="J54" s="1277"/>
      <x:c r="K54" s="1277"/>
      <x:c r="L54" s="1277"/>
      <x:c r="M54" s="1277"/>
      <x:c r="N54" s="1277"/>
      <x:c r="O54" s="1277"/>
      <x:c r="P54" s="1277"/>
      <x:c r="Q54" s="1277"/>
      <x:c r="R54" s="1277"/>
      <x:c r="S54" s="1277"/>
      <x:c r="T54" s="1277"/>
      <x:c r="U54" s="1277"/>
      <x:c r="V54" s="1277"/>
      <x:c r="W54" s="1277"/>
      <x:c r="X54" s="1277"/>
      <x:c r="Y54" s="1277"/>
      <x:c r="Z54" s="1277"/>
    </x:row>
    <x:row r="55">
      <x:c r="A55" s="1277"/>
      <x:c r="B55" s="1277"/>
      <x:c r="C55" s="1277"/>
      <x:c r="D55" s="1277"/>
      <x:c r="E55" s="1277"/>
      <x:c r="F55" s="1277"/>
      <x:c r="G55" s="1277"/>
      <x:c r="H55" s="1277"/>
      <x:c r="I55" s="1277"/>
      <x:c r="J55" s="1277"/>
      <x:c r="K55" s="1277"/>
      <x:c r="L55" s="1277"/>
      <x:c r="M55" s="1277"/>
      <x:c r="N55" s="1277"/>
      <x:c r="O55" s="1277"/>
      <x:c r="P55" s="1277"/>
      <x:c r="Q55" s="1277"/>
      <x:c r="R55" s="1277"/>
      <x:c r="S55" s="1277"/>
      <x:c r="T55" s="1277"/>
      <x:c r="U55" s="1277"/>
      <x:c r="V55" s="1277"/>
      <x:c r="W55" s="1277"/>
      <x:c r="X55" s="1277"/>
      <x:c r="Y55" s="1277"/>
      <x:c r="Z55" s="1277"/>
    </x:row>
    <x:row r="56">
      <x:c r="A56" s="1277"/>
      <x:c r="B56" s="1277"/>
      <x:c r="C56" s="1277"/>
      <x:c r="D56" s="1277"/>
      <x:c r="E56" s="1277"/>
      <x:c r="F56" s="1277"/>
      <x:c r="G56" s="1277"/>
      <x:c r="H56" s="1277"/>
      <x:c r="I56" s="3310" t="str">
        <x:v>I-B · EJECUCIÓN → CERTIFICACIÓN · VERDAD OPERACIONAL + LINEAGE</x:v>
      </x:c>
      <x:c r="J56" s="3310"/>
      <x:c r="K56" s="3310"/>
      <x:c r="L56" s="3310"/>
      <x:c r="M56" s="3310"/>
      <x:c r="N56" s="3310"/>
      <x:c r="O56" s="3310"/>
      <x:c r="P56" s="3310"/>
      <x:c r="Q56" s="3310"/>
      <x:c r="R56" s="3310"/>
      <x:c r="S56" s="3310"/>
      <x:c r="T56" s="3310"/>
      <x:c r="U56" s="3310"/>
      <x:c r="V56" s="3310"/>
      <x:c r="W56" s="3310"/>
      <x:c r="X56" s="3310"/>
      <x:c r="Y56" s="3310"/>
      <x:c r="Z56" s="3310"/>
    </x:row>
    <x:row r="57">
      <x:c r="A57" s="1277"/>
      <x:c r="B57" s="1277"/>
      <x:c r="C57" s="1277"/>
      <x:c r="D57" s="1277"/>
      <x:c r="E57" s="1277"/>
      <x:c r="F57" s="1277"/>
      <x:c r="G57" s="1277"/>
      <x:c r="H57" s="1277"/>
      <x:c r="I57" s="3311" t="str">
        <x:v>UE + intervalos + recursos/personas + ubicación + tiempo/transiciones + Item/CC + mediciones/evidencia + Enmiendas + versión fuente. EventoHabilita NO viaja como UnidadComercial; solo sus efectos operativos/comerciales explícitos.</x:v>
      </x:c>
      <x:c r="J57" s="3311"/>
      <x:c r="K57" s="3311"/>
      <x:c r="L57" s="3311"/>
      <x:c r="M57" s="3311"/>
      <x:c r="N57" s="3311"/>
      <x:c r="O57" s="3311"/>
      <x:c r="P57" s="3311"/>
      <x:c r="Q57" s="3311"/>
      <x:c r="R57" s="3311"/>
      <x:c r="S57" s="3311"/>
      <x:c r="T57" s="3311"/>
      <x:c r="U57" s="3311"/>
      <x:c r="V57" s="3311"/>
      <x:c r="W57" s="3311"/>
      <x:c r="X57" s="3311"/>
      <x:c r="Y57" s="3311"/>
      <x:c r="Z57" s="3311"/>
    </x:row>
    <x:row r="58">
      <x:c r="A58" s="1277"/>
      <x:c r="B58" s="1277"/>
      <x:c r="C58" s="1277"/>
      <x:c r="D58" s="1277"/>
      <x:c r="E58" s="1277"/>
      <x:c r="F58" s="1277"/>
      <x:c r="G58" s="1277"/>
      <x:c r="H58" s="1277"/>
      <x:c r="I58" s="3311"/>
      <x:c r="J58" s="3311"/>
      <x:c r="K58" s="3311"/>
      <x:c r="L58" s="3311"/>
      <x:c r="M58" s="3311"/>
      <x:c r="N58" s="3311"/>
      <x:c r="O58" s="3311"/>
      <x:c r="P58" s="3311"/>
      <x:c r="Q58" s="3311"/>
      <x:c r="R58" s="3311"/>
      <x:c r="S58" s="3311"/>
      <x:c r="T58" s="3311"/>
      <x:c r="U58" s="3311"/>
      <x:c r="V58" s="3311"/>
      <x:c r="W58" s="3311"/>
      <x:c r="X58" s="3311"/>
      <x:c r="Y58" s="3311"/>
      <x:c r="Z58" s="3311"/>
    </x:row>
    <x:row r="59">
      <x:c r="A59" s="1277"/>
      <x:c r="B59" s="1277"/>
      <x:c r="C59" s="1277"/>
      <x:c r="D59" s="1277"/>
      <x:c r="E59" s="1277"/>
      <x:c r="F59" s="1277"/>
      <x:c r="G59" s="1277"/>
      <x:c r="H59" s="1277"/>
      <x:c r="I59" s="3311"/>
      <x:c r="J59" s="3311"/>
      <x:c r="K59" s="3311"/>
      <x:c r="L59" s="3311"/>
      <x:c r="M59" s="3311"/>
      <x:c r="N59" s="3311"/>
      <x:c r="O59" s="3311"/>
      <x:c r="P59" s="3311"/>
      <x:c r="Q59" s="3311"/>
      <x:c r="R59" s="3311"/>
      <x:c r="S59" s="3311"/>
      <x:c r="T59" s="3311"/>
      <x:c r="U59" s="3311"/>
      <x:c r="V59" s="3311"/>
      <x:c r="W59" s="3311"/>
      <x:c r="X59" s="3311"/>
      <x:c r="Y59" s="3311"/>
      <x:c r="Z59" s="3311"/>
    </x:row>
    <x:row r="60">
      <x:c r="A60" s="1277"/>
      <x:c r="B60" s="1277"/>
      <x:c r="C60" s="1277"/>
      <x:c r="D60" s="1277"/>
      <x:c r="E60" s="1277"/>
      <x:c r="F60" s="1277"/>
      <x:c r="G60" s="1277"/>
      <x:c r="H60" s="1277"/>
      <x:c r="I60" s="1277"/>
      <x:c r="J60" s="1277"/>
      <x:c r="K60" s="1277"/>
      <x:c r="L60" s="1277"/>
      <x:c r="M60" s="1277"/>
      <x:c r="N60" s="1277"/>
      <x:c r="O60" s="1277"/>
      <x:c r="P60" s="1277"/>
      <x:c r="Q60" s="1277"/>
      <x:c r="R60" s="1277"/>
      <x:c r="S60" s="1277"/>
      <x:c r="T60" s="1277"/>
      <x:c r="U60" s="1277"/>
      <x:c r="V60" s="1277"/>
      <x:c r="W60" s="1277"/>
      <x:c r="X60" s="1277"/>
      <x:c r="Y60" s="1277"/>
      <x:c r="Z60" s="1277"/>
    </x:row>
    <x:row r="61">
      <x:c r="A61" s="1277"/>
      <x:c r="B61" s="1277"/>
      <x:c r="C61" s="1277"/>
      <x:c r="D61" s="1277"/>
      <x:c r="E61" s="1277"/>
      <x:c r="F61" s="1277"/>
      <x:c r="G61" s="1277"/>
      <x:c r="H61" s="1277"/>
      <x:c r="I61" s="1277"/>
      <x:c r="J61" s="1277"/>
      <x:c r="K61" s="1277"/>
      <x:c r="L61" s="1277"/>
      <x:c r="M61" s="1277"/>
      <x:c r="N61" s="1277"/>
      <x:c r="O61" s="1277"/>
      <x:c r="P61" s="1277"/>
      <x:c r="Q61" s="1277"/>
      <x:c r="R61" s="1277"/>
      <x:c r="S61" s="1277"/>
      <x:c r="T61" s="1277"/>
      <x:c r="U61" s="1277"/>
      <x:c r="V61" s="1277"/>
      <x:c r="W61" s="1277"/>
      <x:c r="X61" s="1277"/>
      <x:c r="Y61" s="1277"/>
      <x:c r="Z61" s="1277"/>
    </x:row>
    <x:row r="62">
      <x:c r="A62" s="3256" t="str">
        <x:v>02 — HABILITA PLANE · PREVENT + RESPOND &amp; LEARN</x:v>
      </x:c>
      <x:c r="B62" s="3256"/>
      <x:c r="C62" s="3256"/>
      <x:c r="D62" s="3256"/>
      <x:c r="E62" s="3256"/>
      <x:c r="F62" s="3256"/>
      <x:c r="G62" s="3256"/>
      <x:c r="H62" s="3256"/>
      <x:c r="I62" s="3256"/>
      <x:c r="J62" s="3256"/>
      <x:c r="K62" s="3256"/>
      <x:c r="L62" s="3256"/>
      <x:c r="M62" s="3256"/>
      <x:c r="N62" s="3256"/>
      <x:c r="O62" s="3256"/>
      <x:c r="P62" s="3256"/>
      <x:c r="Q62" s="3256"/>
      <x:c r="R62" s="3256"/>
      <x:c r="S62" s="3256"/>
      <x:c r="T62" s="3256"/>
      <x:c r="U62" s="3256"/>
      <x:c r="V62" s="3256"/>
      <x:c r="W62" s="3256"/>
      <x:c r="X62" s="3256"/>
      <x:c r="Y62" s="3256"/>
      <x:c r="Z62" s="3256"/>
    </x:row>
    <x:row r="63">
      <x:c r="A63" s="1277"/>
      <x:c r="B63" s="1277"/>
      <x:c r="C63" s="1277"/>
      <x:c r="D63" s="1277"/>
      <x:c r="E63" s="1277"/>
      <x:c r="F63" s="1277"/>
      <x:c r="G63" s="1277"/>
      <x:c r="H63" s="1277"/>
      <x:c r="I63" s="1277"/>
      <x:c r="J63" s="1277"/>
      <x:c r="K63" s="1277"/>
      <x:c r="L63" s="1277"/>
      <x:c r="M63" s="1277"/>
      <x:c r="N63" s="1277"/>
      <x:c r="O63" s="1277"/>
      <x:c r="P63" s="1277"/>
      <x:c r="Q63" s="1277"/>
      <x:c r="R63" s="1277"/>
      <x:c r="S63" s="1277"/>
      <x:c r="T63" s="1277"/>
      <x:c r="U63" s="1277"/>
      <x:c r="V63" s="1277"/>
      <x:c r="W63" s="1277"/>
      <x:c r="X63" s="1277"/>
      <x:c r="Y63" s="1277"/>
      <x:c r="Z63" s="1277"/>
    </x:row>
    <x:row r="64">
      <x:c r="A64" s="3308" t="str">
        <x:v>A · PREVENT / WORK CONTROL</x:v>
      </x:c>
      <x:c r="B64" s="3308"/>
      <x:c r="C64" s="3308"/>
      <x:c r="D64" s="3308"/>
      <x:c r="E64" s="3308"/>
      <x:c r="F64" s="3308"/>
      <x:c r="G64" s="3308"/>
      <x:c r="H64" s="3308"/>
      <x:c r="I64" s="3308"/>
      <x:c r="J64" s="3308"/>
      <x:c r="K64" s="3308"/>
      <x:c r="L64" s="3308"/>
      <x:c r="M64" s="1277"/>
      <x:c r="N64" s="3312" t="str">
        <x:v>B · RESPOND &amp; LEARN / HABILITA EVENTS</x:v>
      </x:c>
      <x:c r="O64" s="3312"/>
      <x:c r="P64" s="3312"/>
      <x:c r="Q64" s="3312"/>
      <x:c r="R64" s="3312"/>
      <x:c r="S64" s="3312"/>
      <x:c r="T64" s="3312"/>
      <x:c r="U64" s="3312"/>
      <x:c r="V64" s="3312"/>
      <x:c r="W64" s="3312"/>
      <x:c r="X64" s="3312"/>
      <x:c r="Y64" s="3312"/>
      <x:c r="Z64" s="3312"/>
    </x:row>
    <x:row r="65">
      <x:c r="A65" s="1277"/>
      <x:c r="B65" s="1277"/>
      <x:c r="C65" s="1277"/>
      <x:c r="D65" s="1277"/>
      <x:c r="E65" s="1277"/>
      <x:c r="F65" s="1277"/>
      <x:c r="G65" s="1277"/>
      <x:c r="H65" s="1277"/>
      <x:c r="I65" s="1277"/>
      <x:c r="J65" s="1277"/>
      <x:c r="K65" s="1277"/>
      <x:c r="L65" s="1277"/>
      <x:c r="M65" s="1277"/>
      <x:c r="N65" s="1277"/>
      <x:c r="O65" s="1277"/>
      <x:c r="P65" s="1277"/>
      <x:c r="Q65" s="1277"/>
      <x:c r="R65" s="1277"/>
      <x:c r="S65" s="1277"/>
      <x:c r="T65" s="1277"/>
      <x:c r="U65" s="1277"/>
      <x:c r="V65" s="1277"/>
      <x:c r="W65" s="1277"/>
      <x:c r="X65" s="1277"/>
      <x:c r="Y65" s="1277"/>
      <x:c r="Z65" s="1277"/>
    </x:row>
    <x:row r="66">
      <x:c r="A66" s="3213" t="str">
        <x:v>READINESS Habilita
requisitos esperables
+ documental</x:v>
      </x:c>
      <x:c r="B66" s="3214"/>
      <x:c r="C66" s="3214"/>
      <x:c r="D66" s="3215"/>
      <x:c r="E66" s="1277"/>
      <x:c r="F66" s="3236" t="str">
        <x:v>PTW
APROBAR · VIGENTE
SUSPENDER · HANDOVER</x:v>
      </x:c>
      <x:c r="G66" s="3237"/>
      <x:c r="H66" s="3237"/>
      <x:c r="I66" s="3238"/>
      <x:c r="J66" s="1277"/>
      <x:c r="K66" s="3313" t="str">
        <x:v>START
WORK</x:v>
      </x:c>
      <x:c r="L66" s="3314"/>
      <x:c r="M66" s="1277"/>
      <x:c r="N66" s="3236" t="str">
        <x:v>EVENTO Habilita
hecho ocurrido/detectado
standalone o vinculado</x:v>
      </x:c>
      <x:c r="O66" s="3237"/>
      <x:c r="P66" s="3237"/>
      <x:c r="Q66" s="3238"/>
      <x:c r="R66" s="1277"/>
      <x:c r="S66" s="3210" t="str">
        <x:v>TRIAGE
Tipo + severidad real
+ potencial</x:v>
      </x:c>
      <x:c r="T66" s="3211"/>
      <x:c r="U66" s="3211"/>
      <x:c r="V66" s="3212"/>
      <x:c r="W66" s="1277"/>
      <x:c r="X66" s="3213" t="str">
        <x:v>CASO Habilita
[0..1]
investigar · actuar
notificar · cerrar</x:v>
      </x:c>
      <x:c r="Y66" s="3214"/>
      <x:c r="Z66" s="3215"/>
    </x:row>
    <x:row r="67">
      <x:c r="A67" s="3222"/>
      <x:c r="B67" s="3223"/>
      <x:c r="C67" s="3223"/>
      <x:c r="D67" s="3224"/>
      <x:c r="E67" s="1277"/>
      <x:c r="F67" s="3239"/>
      <x:c r="G67" s="3240"/>
      <x:c r="H67" s="3240"/>
      <x:c r="I67" s="3241"/>
      <x:c r="J67" s="1277"/>
      <x:c r="K67" s="3315"/>
      <x:c r="L67" s="3316"/>
      <x:c r="M67" s="1277"/>
      <x:c r="N67" s="3239"/>
      <x:c r="O67" s="3240"/>
      <x:c r="P67" s="3240"/>
      <x:c r="Q67" s="3241"/>
      <x:c r="R67" s="1277"/>
      <x:c r="S67" s="3219"/>
      <x:c r="T67" s="3220"/>
      <x:c r="U67" s="3220"/>
      <x:c r="V67" s="3221"/>
      <x:c r="W67" s="1277"/>
      <x:c r="X67" s="3222"/>
      <x:c r="Y67" s="3223"/>
      <x:c r="Z67" s="3224"/>
    </x:row>
    <x:row r="68">
      <x:c r="A68" s="3222"/>
      <x:c r="B68" s="3223"/>
      <x:c r="C68" s="3223"/>
      <x:c r="D68" s="3224"/>
      <x:c r="E68" s="1297" t="str">
        <x:v>→</x:v>
      </x:c>
      <x:c r="F68" s="3239"/>
      <x:c r="G68" s="3240"/>
      <x:c r="H68" s="3240"/>
      <x:c r="I68" s="3241"/>
      <x:c r="J68" s="1297" t="str">
        <x:v>→</x:v>
      </x:c>
      <x:c r="K68" s="3315"/>
      <x:c r="L68" s="3316"/>
      <x:c r="M68" s="1277"/>
      <x:c r="N68" s="3239"/>
      <x:c r="O68" s="3240"/>
      <x:c r="P68" s="3240"/>
      <x:c r="Q68" s="3241"/>
      <x:c r="R68" s="1297" t="str">
        <x:v>→</x:v>
      </x:c>
      <x:c r="S68" s="3219"/>
      <x:c r="T68" s="3220"/>
      <x:c r="U68" s="3220"/>
      <x:c r="V68" s="3221"/>
      <x:c r="W68" s="1297" t="str">
        <x:v>→</x:v>
      </x:c>
      <x:c r="X68" s="3222"/>
      <x:c r="Y68" s="3223"/>
      <x:c r="Z68" s="3224"/>
    </x:row>
    <x:row r="69">
      <x:c r="A69" s="3222"/>
      <x:c r="B69" s="3223"/>
      <x:c r="C69" s="3223"/>
      <x:c r="D69" s="3224"/>
      <x:c r="E69" s="1277"/>
      <x:c r="F69" s="3239"/>
      <x:c r="G69" s="3240"/>
      <x:c r="H69" s="3240"/>
      <x:c r="I69" s="3241"/>
      <x:c r="J69" s="1277"/>
      <x:c r="K69" s="3315"/>
      <x:c r="L69" s="3316"/>
      <x:c r="M69" s="1277"/>
      <x:c r="N69" s="3239"/>
      <x:c r="O69" s="3240"/>
      <x:c r="P69" s="3240"/>
      <x:c r="Q69" s="3241"/>
      <x:c r="R69" s="1277"/>
      <x:c r="S69" s="3219"/>
      <x:c r="T69" s="3220"/>
      <x:c r="U69" s="3220"/>
      <x:c r="V69" s="3221"/>
      <x:c r="W69" s="1277"/>
      <x:c r="X69" s="3222"/>
      <x:c r="Y69" s="3223"/>
      <x:c r="Z69" s="3224"/>
    </x:row>
    <x:row r="70">
      <x:c r="A70" s="3231"/>
      <x:c r="B70" s="3232"/>
      <x:c r="C70" s="3232"/>
      <x:c r="D70" s="3233"/>
      <x:c r="E70" s="1277"/>
      <x:c r="F70" s="3242"/>
      <x:c r="G70" s="3243"/>
      <x:c r="H70" s="3243"/>
      <x:c r="I70" s="3244"/>
      <x:c r="J70" s="1277"/>
      <x:c r="K70" s="3317"/>
      <x:c r="L70" s="3318"/>
      <x:c r="M70" s="1277"/>
      <x:c r="N70" s="3242"/>
      <x:c r="O70" s="3243"/>
      <x:c r="P70" s="3243"/>
      <x:c r="Q70" s="3244"/>
      <x:c r="R70" s="1277"/>
      <x:c r="S70" s="3228"/>
      <x:c r="T70" s="3229"/>
      <x:c r="U70" s="3229"/>
      <x:c r="V70" s="3230"/>
      <x:c r="W70" s="1277"/>
      <x:c r="X70" s="3231"/>
      <x:c r="Y70" s="3232"/>
      <x:c r="Z70" s="3233"/>
    </x:row>
    <x:row r="71">
      <x:c r="A71" s="1277"/>
      <x:c r="B71" s="1277"/>
      <x:c r="C71" s="1277"/>
      <x:c r="D71" s="1277"/>
      <x:c r="E71" s="1277"/>
      <x:c r="F71" s="1277"/>
      <x:c r="G71" s="1277"/>
      <x:c r="H71" s="1277"/>
      <x:c r="I71" s="1277"/>
      <x:c r="J71" s="1277"/>
      <x:c r="K71" s="1277"/>
      <x:c r="L71" s="1277"/>
      <x:c r="M71" s="1277"/>
      <x:c r="N71" s="1277"/>
      <x:c r="O71" s="1277"/>
      <x:c r="P71" s="1277"/>
      <x:c r="Q71" s="1277"/>
      <x:c r="R71" s="1277"/>
      <x:c r="S71" s="1277"/>
      <x:c r="T71" s="1277"/>
      <x:c r="U71" s="1277"/>
      <x:c r="V71" s="1277"/>
      <x:c r="W71" s="1277"/>
      <x:c r="X71" s="1277"/>
      <x:c r="Y71" s="1277"/>
      <x:c r="Z71" s="1277"/>
    </x:row>
    <x:row r="72">
      <x:c r="A72" s="1277"/>
      <x:c r="B72" s="1277"/>
      <x:c r="C72" s="1277"/>
      <x:c r="D72" s="1277"/>
      <x:c r="E72" s="1277"/>
      <x:c r="F72" s="1277"/>
      <x:c r="G72" s="1277"/>
      <x:c r="H72" s="1277"/>
      <x:c r="I72" s="1277"/>
      <x:c r="J72" s="1277"/>
      <x:c r="K72" s="1277"/>
      <x:c r="L72" s="1277"/>
      <x:c r="M72" s="1277"/>
      <x:c r="N72" s="3234" t="str">
        <x:v>ReglaEscalamientoHabilita puede: registrar sin cambio · exigir controles · emitir DirectivaOperativa SUSPENDER · suspender PTW · abrir CasoHabilita · generar NotificacionHabilita. El evento NO corta un Parte automáticamente.</x:v>
      </x:c>
      <x:c r="O72" s="3234"/>
      <x:c r="P72" s="3234"/>
      <x:c r="Q72" s="3234"/>
      <x:c r="R72" s="3234"/>
      <x:c r="S72" s="3234"/>
      <x:c r="T72" s="3234"/>
      <x:c r="U72" s="3234"/>
      <x:c r="V72" s="3234"/>
      <x:c r="W72" s="3234"/>
      <x:c r="X72" s="3234"/>
      <x:c r="Y72" s="3234"/>
      <x:c r="Z72" s="3234"/>
    </x:row>
    <x:row r="73">
      <x:c r="A73" s="1277"/>
      <x:c r="B73" s="1277"/>
      <x:c r="C73" s="1277"/>
      <x:c r="D73" s="1277"/>
      <x:c r="E73" s="1277"/>
      <x:c r="F73" s="1277"/>
      <x:c r="G73" s="1277"/>
      <x:c r="H73" s="1277"/>
      <x:c r="I73" s="1277"/>
      <x:c r="J73" s="1277"/>
      <x:c r="K73" s="1277"/>
      <x:c r="L73" s="1277"/>
      <x:c r="M73" s="1277"/>
      <x:c r="N73" s="3234"/>
      <x:c r="O73" s="3234"/>
      <x:c r="P73" s="3234"/>
      <x:c r="Q73" s="3234"/>
      <x:c r="R73" s="3234"/>
      <x:c r="S73" s="3234"/>
      <x:c r="T73" s="3234"/>
      <x:c r="U73" s="3234"/>
      <x:c r="V73" s="3234"/>
      <x:c r="W73" s="3234"/>
      <x:c r="X73" s="3234"/>
      <x:c r="Y73" s="3234"/>
      <x:c r="Z73" s="3234"/>
    </x:row>
    <x:row r="74">
      <x:c r="A74" s="1277"/>
      <x:c r="B74" s="1277"/>
      <x:c r="C74" s="1277"/>
      <x:c r="D74" s="1277"/>
      <x:c r="E74" s="1277"/>
      <x:c r="F74" s="1277"/>
      <x:c r="G74" s="1277"/>
      <x:c r="H74" s="1277"/>
      <x:c r="I74" s="1277"/>
      <x:c r="J74" s="1277"/>
      <x:c r="K74" s="1277"/>
      <x:c r="L74" s="1277"/>
      <x:c r="M74" s="1277"/>
      <x:c r="N74" s="3234"/>
      <x:c r="O74" s="3234"/>
      <x:c r="P74" s="3234"/>
      <x:c r="Q74" s="3234"/>
      <x:c r="R74" s="3234"/>
      <x:c r="S74" s="3234"/>
      <x:c r="T74" s="3234"/>
      <x:c r="U74" s="3234"/>
      <x:c r="V74" s="3234"/>
      <x:c r="W74" s="3234"/>
      <x:c r="X74" s="3234"/>
      <x:c r="Y74" s="3234"/>
      <x:c r="Z74" s="3234"/>
    </x:row>
    <x:row r="75">
      <x:c r="A75" s="1277"/>
      <x:c r="B75" s="1277"/>
      <x:c r="C75" s="1277"/>
      <x:c r="D75" s="1277"/>
      <x:c r="E75" s="1277"/>
      <x:c r="F75" s="1277"/>
      <x:c r="G75" s="1277"/>
      <x:c r="H75" s="1277"/>
      <x:c r="I75" s="1277"/>
      <x:c r="J75" s="1277"/>
      <x:c r="K75" s="1277"/>
      <x:c r="L75" s="1277"/>
      <x:c r="M75" s="1277"/>
      <x:c r="N75" s="3234"/>
      <x:c r="O75" s="3234"/>
      <x:c r="P75" s="3234"/>
      <x:c r="Q75" s="3234"/>
      <x:c r="R75" s="3234"/>
      <x:c r="S75" s="3234"/>
      <x:c r="T75" s="3234"/>
      <x:c r="U75" s="3234"/>
      <x:c r="V75" s="3234"/>
      <x:c r="W75" s="3234"/>
      <x:c r="X75" s="3234"/>
      <x:c r="Y75" s="3234"/>
      <x:c r="Z75" s="3234"/>
    </x:row>
    <x:row r="76">
      <x:c r="A76" s="1277"/>
      <x:c r="B76" s="1277"/>
      <x:c r="C76" s="1277"/>
      <x:c r="D76" s="1277"/>
      <x:c r="E76" s="1277"/>
      <x:c r="F76" s="1277"/>
      <x:c r="G76" s="1277"/>
      <x:c r="H76" s="1277"/>
      <x:c r="I76" s="1277"/>
      <x:c r="J76" s="1277"/>
      <x:c r="K76" s="1277"/>
      <x:c r="L76" s="1277"/>
      <x:c r="M76" s="1277"/>
      <x:c r="N76" s="1277"/>
      <x:c r="O76" s="1277"/>
      <x:c r="P76" s="1277"/>
      <x:c r="Q76" s="1277"/>
      <x:c r="R76" s="1277"/>
      <x:c r="S76" s="1277"/>
      <x:c r="T76" s="1277"/>
      <x:c r="U76" s="1277"/>
      <x:c r="V76" s="1277"/>
      <x:c r="W76" s="1277"/>
      <x:c r="X76" s="1277"/>
      <x:c r="Y76" s="1277"/>
      <x:c r="Z76" s="1277"/>
    </x:row>
    <x:row r="77">
      <x:c r="A77" s="1277"/>
      <x:c r="B77" s="1277"/>
      <x:c r="C77" s="1277"/>
      <x:c r="D77" s="1277"/>
      <x:c r="E77" s="1277"/>
      <x:c r="F77" s="1277"/>
      <x:c r="G77" s="1277"/>
      <x:c r="H77" s="1277"/>
      <x:c r="I77" s="1277"/>
      <x:c r="J77" s="1277"/>
      <x:c r="K77" s="1277"/>
      <x:c r="L77" s="1277"/>
      <x:c r="M77" s="1277"/>
      <x:c r="N77" s="1277"/>
      <x:c r="O77" s="1277"/>
      <x:c r="P77" s="1277"/>
      <x:c r="Q77" s="1277"/>
      <x:c r="R77" s="1277"/>
      <x:c r="S77" s="1277"/>
      <x:c r="T77" s="1277"/>
      <x:c r="U77" s="1277"/>
      <x:c r="V77" s="1277"/>
      <x:c r="W77" s="1277"/>
      <x:c r="X77" s="1277"/>
      <x:c r="Y77" s="1277"/>
      <x:c r="Z77" s="1277"/>
    </x:row>
    <x:row r="78">
      <x:c r="A78" s="3256" t="str">
        <x:v>03 — CONTROL PLANE · CAMBIOS / SEÑALES POST-DESPACHO</x:v>
      </x:c>
      <x:c r="B78" s="3256"/>
      <x:c r="C78" s="3256"/>
      <x:c r="D78" s="3256"/>
      <x:c r="E78" s="3256"/>
      <x:c r="F78" s="3256"/>
      <x:c r="G78" s="3256"/>
      <x:c r="H78" s="3256"/>
      <x:c r="I78" s="3256"/>
      <x:c r="J78" s="3256"/>
      <x:c r="K78" s="3256"/>
      <x:c r="L78" s="3256"/>
      <x:c r="M78" s="3256"/>
      <x:c r="N78" s="3256"/>
      <x:c r="O78" s="3256"/>
      <x:c r="P78" s="3256"/>
      <x:c r="Q78" s="3256"/>
      <x:c r="R78" s="3256"/>
      <x:c r="S78" s="3256"/>
      <x:c r="T78" s="3256"/>
      <x:c r="U78" s="3256"/>
      <x:c r="V78" s="3256"/>
      <x:c r="W78" s="3256"/>
      <x:c r="X78" s="3256"/>
      <x:c r="Y78" s="3256"/>
      <x:c r="Z78" s="3256"/>
    </x:row>
    <x:row r="79">
      <x:c r="A79" s="1277"/>
      <x:c r="B79" s="1277"/>
      <x:c r="C79" s="1277"/>
      <x:c r="D79" s="1277"/>
      <x:c r="E79" s="1277"/>
      <x:c r="F79" s="1277"/>
      <x:c r="G79" s="1277"/>
      <x:c r="H79" s="1277"/>
      <x:c r="I79" s="1277"/>
      <x:c r="J79" s="1277"/>
      <x:c r="K79" s="1277"/>
      <x:c r="L79" s="1277"/>
      <x:c r="M79" s="1277"/>
      <x:c r="N79" s="1277"/>
      <x:c r="O79" s="1277"/>
      <x:c r="P79" s="1277"/>
      <x:c r="Q79" s="1277"/>
      <x:c r="R79" s="1277"/>
      <x:c r="S79" s="1277"/>
      <x:c r="T79" s="1277"/>
      <x:c r="U79" s="1277"/>
      <x:c r="V79" s="1277"/>
      <x:c r="W79" s="1277"/>
      <x:c r="X79" s="1277"/>
      <x:c r="Y79" s="1277"/>
      <x:c r="Z79" s="1277"/>
    </x:row>
    <x:row r="80">
      <x:c r="A80" s="3213" t="str">
        <x:v>PLANIFICACIÓN /
SUPERVISIÓN /
Habilita</x:v>
      </x:c>
      <x:c r="B80" s="3214"/>
      <x:c r="C80" s="3214"/>
      <x:c r="D80" s="3214"/>
      <x:c r="E80" s="3214"/>
      <x:c r="F80" s="3215"/>
      <x:c r="G80" s="1277"/>
      <x:c r="H80" s="3210" t="str">
        <x:v>DIRECTIVA OPERATIVA
CANCELAR · SUSPENDER
REPROGRAMAR · CAMBIAR ALCANCE</x:v>
      </x:c>
      <x:c r="I80" s="3211"/>
      <x:c r="J80" s="3211"/>
      <x:c r="K80" s="3211"/>
      <x:c r="L80" s="3211"/>
      <x:c r="M80" s="3211"/>
      <x:c r="N80" s="3212"/>
      <x:c r="O80" s="1277"/>
      <x:c r="P80" s="3213" t="str">
        <x:v>EJECUCIÓN
received → ACK
aplicar / rechazar</x:v>
      </x:c>
      <x:c r="Q80" s="3214"/>
      <x:c r="R80" s="3214"/>
      <x:c r="S80" s="3214"/>
      <x:c r="T80" s="3214"/>
      <x:c r="U80" s="3214"/>
      <x:c r="V80" s="3215"/>
      <x:c r="W80" s="1277"/>
      <x:c r="X80" s="3245" t="str">
        <x:v>OFFLINE
frescura
bundle</x:v>
      </x:c>
      <x:c r="Y80" s="3246"/>
      <x:c r="Z80" s="3247"/>
    </x:row>
    <x:row r="81">
      <x:c r="A81" s="3222"/>
      <x:c r="B81" s="3223"/>
      <x:c r="C81" s="3223"/>
      <x:c r="D81" s="3223"/>
      <x:c r="E81" s="3223"/>
      <x:c r="F81" s="3224"/>
      <x:c r="G81" s="1277"/>
      <x:c r="H81" s="3219"/>
      <x:c r="I81" s="3220"/>
      <x:c r="J81" s="3220"/>
      <x:c r="K81" s="3220"/>
      <x:c r="L81" s="3220"/>
      <x:c r="M81" s="3220"/>
      <x:c r="N81" s="3221"/>
      <x:c r="O81" s="1277"/>
      <x:c r="P81" s="3222"/>
      <x:c r="Q81" s="3223"/>
      <x:c r="R81" s="3223"/>
      <x:c r="S81" s="3223"/>
      <x:c r="T81" s="3223"/>
      <x:c r="U81" s="3223"/>
      <x:c r="V81" s="3224"/>
      <x:c r="W81" s="1277"/>
      <x:c r="X81" s="3248"/>
      <x:c r="Y81" s="3240"/>
      <x:c r="Z81" s="3249"/>
    </x:row>
    <x:row r="82">
      <x:c r="A82" s="3222"/>
      <x:c r="B82" s="3223"/>
      <x:c r="C82" s="3223"/>
      <x:c r="D82" s="3223"/>
      <x:c r="E82" s="3223"/>
      <x:c r="F82" s="3224"/>
      <x:c r="G82" s="1297" t="str">
        <x:v>→</x:v>
      </x:c>
      <x:c r="H82" s="3219"/>
      <x:c r="I82" s="3220"/>
      <x:c r="J82" s="3220"/>
      <x:c r="K82" s="3220"/>
      <x:c r="L82" s="3220"/>
      <x:c r="M82" s="3220"/>
      <x:c r="N82" s="3221"/>
      <x:c r="O82" s="1297" t="str">
        <x:v>→</x:v>
      </x:c>
      <x:c r="P82" s="3222"/>
      <x:c r="Q82" s="3223"/>
      <x:c r="R82" s="3223"/>
      <x:c r="S82" s="3223"/>
      <x:c r="T82" s="3223"/>
      <x:c r="U82" s="3223"/>
      <x:c r="V82" s="3224"/>
      <x:c r="W82" s="1277"/>
      <x:c r="X82" s="3248"/>
      <x:c r="Y82" s="3240"/>
      <x:c r="Z82" s="3249"/>
    </x:row>
    <x:row r="83">
      <x:c r="A83" s="3222"/>
      <x:c r="B83" s="3223"/>
      <x:c r="C83" s="3223"/>
      <x:c r="D83" s="3223"/>
      <x:c r="E83" s="3223"/>
      <x:c r="F83" s="3224"/>
      <x:c r="G83" s="1277"/>
      <x:c r="H83" s="3219"/>
      <x:c r="I83" s="3220"/>
      <x:c r="J83" s="3220"/>
      <x:c r="K83" s="3220"/>
      <x:c r="L83" s="3220"/>
      <x:c r="M83" s="3220"/>
      <x:c r="N83" s="3221"/>
      <x:c r="O83" s="1277"/>
      <x:c r="P83" s="3222"/>
      <x:c r="Q83" s="3223"/>
      <x:c r="R83" s="3223"/>
      <x:c r="S83" s="3223"/>
      <x:c r="T83" s="3223"/>
      <x:c r="U83" s="3223"/>
      <x:c r="V83" s="3224"/>
      <x:c r="W83" s="1277"/>
      <x:c r="X83" s="3248"/>
      <x:c r="Y83" s="3240"/>
      <x:c r="Z83" s="3249"/>
    </x:row>
    <x:row r="84">
      <x:c r="A84" s="3231"/>
      <x:c r="B84" s="3232"/>
      <x:c r="C84" s="3232"/>
      <x:c r="D84" s="3232"/>
      <x:c r="E84" s="3232"/>
      <x:c r="F84" s="3233"/>
      <x:c r="G84" s="1277"/>
      <x:c r="H84" s="3228"/>
      <x:c r="I84" s="3229"/>
      <x:c r="J84" s="3229"/>
      <x:c r="K84" s="3229"/>
      <x:c r="L84" s="3229"/>
      <x:c r="M84" s="3229"/>
      <x:c r="N84" s="3230"/>
      <x:c r="O84" s="1277"/>
      <x:c r="P84" s="3231"/>
      <x:c r="Q84" s="3232"/>
      <x:c r="R84" s="3232"/>
      <x:c r="S84" s="3232"/>
      <x:c r="T84" s="3232"/>
      <x:c r="U84" s="3232"/>
      <x:c r="V84" s="3233"/>
      <x:c r="W84" s="1277"/>
      <x:c r="X84" s="3250"/>
      <x:c r="Y84" s="3251"/>
      <x:c r="Z84" s="3252"/>
    </x:row>
    <x:row r="85">
      <x:c r="A85" s="1277"/>
      <x:c r="B85" s="1277"/>
      <x:c r="C85" s="1277"/>
      <x:c r="D85" s="1277"/>
      <x:c r="E85" s="1277"/>
      <x:c r="F85" s="1277"/>
      <x:c r="G85" s="1277"/>
      <x:c r="H85" s="1277"/>
      <x:c r="I85" s="1277"/>
      <x:c r="J85" s="1277"/>
      <x:c r="K85" s="1277"/>
      <x:c r="L85" s="1277"/>
      <x:c r="M85" s="1277"/>
      <x:c r="N85" s="1277"/>
      <x:c r="O85" s="1277"/>
      <x:c r="P85" s="1277"/>
      <x:c r="Q85" s="1277"/>
      <x:c r="R85" s="1277"/>
      <x:c r="S85" s="1277"/>
      <x:c r="T85" s="1277"/>
      <x:c r="U85" s="1277"/>
      <x:c r="V85" s="1277"/>
      <x:c r="W85" s="1277"/>
      <x:c r="X85" s="1277"/>
      <x:c r="Y85" s="1277"/>
      <x:c r="Z85" s="1277"/>
    </x:row>
    <x:row r="86">
      <x:c r="A86" s="1277"/>
      <x:c r="B86" s="1277"/>
      <x:c r="C86" s="1277"/>
      <x:c r="D86" s="1277"/>
      <x:c r="E86" s="1277"/>
      <x:c r="F86" s="1277"/>
      <x:c r="G86" s="1277"/>
      <x:c r="H86" s="1277"/>
      <x:c r="I86" s="1277"/>
      <x:c r="J86" s="1277"/>
      <x:c r="K86" s="1277"/>
      <x:c r="L86" s="1277"/>
      <x:c r="M86" s="1277"/>
      <x:c r="N86" s="1277"/>
      <x:c r="O86" s="1277"/>
      <x:c r="P86" s="1277"/>
      <x:c r="Q86" s="1277"/>
      <x:c r="R86" s="1277"/>
      <x:c r="S86" s="1277"/>
      <x:c r="T86" s="1277"/>
      <x:c r="U86" s="1277"/>
      <x:c r="V86" s="1277"/>
      <x:c r="W86" s="1277"/>
      <x:c r="X86" s="1277"/>
      <x:c r="Y86" s="1277"/>
      <x:c r="Z86" s="1277"/>
    </x:row>
    <x:row r="87">
      <x:c r="A87" s="3256" t="str">
        <x:v>04 — Habilita LIFECYCLE · EL EVENTO SOBREVIVE AL PARTE</x:v>
      </x:c>
      <x:c r="B87" s="3256"/>
      <x:c r="C87" s="3256"/>
      <x:c r="D87" s="3256"/>
      <x:c r="E87" s="3256"/>
      <x:c r="F87" s="3256"/>
      <x:c r="G87" s="3256"/>
      <x:c r="H87" s="3256"/>
      <x:c r="I87" s="3256"/>
      <x:c r="J87" s="3256"/>
      <x:c r="K87" s="3256"/>
      <x:c r="L87" s="3256"/>
      <x:c r="M87" s="3256"/>
      <x:c r="N87" s="3256"/>
      <x:c r="O87" s="3256"/>
      <x:c r="P87" s="3256"/>
      <x:c r="Q87" s="3256"/>
      <x:c r="R87" s="3256"/>
      <x:c r="S87" s="3256"/>
      <x:c r="T87" s="3256"/>
      <x:c r="U87" s="3256"/>
      <x:c r="V87" s="3256"/>
      <x:c r="W87" s="3256"/>
      <x:c r="X87" s="3256"/>
      <x:c r="Y87" s="3256"/>
      <x:c r="Z87" s="3256"/>
    </x:row>
    <x:row r="88">
      <x:c r="A88" s="1277"/>
      <x:c r="B88" s="1277"/>
      <x:c r="C88" s="1277"/>
      <x:c r="D88" s="1277"/>
      <x:c r="E88" s="1277"/>
      <x:c r="F88" s="1277"/>
      <x:c r="G88" s="1277"/>
      <x:c r="H88" s="1277"/>
      <x:c r="I88" s="1277"/>
      <x:c r="J88" s="1277"/>
      <x:c r="K88" s="1277"/>
      <x:c r="L88" s="1277"/>
      <x:c r="M88" s="1277"/>
      <x:c r="N88" s="1277"/>
      <x:c r="O88" s="1277"/>
      <x:c r="P88" s="1277"/>
      <x:c r="Q88" s="1277"/>
      <x:c r="R88" s="1277"/>
      <x:c r="S88" s="1277"/>
      <x:c r="T88" s="1277"/>
      <x:c r="U88" s="1277"/>
      <x:c r="V88" s="1277"/>
      <x:c r="W88" s="1277"/>
      <x:c r="X88" s="1277"/>
      <x:c r="Y88" s="1277"/>
      <x:c r="Z88" s="1277"/>
    </x:row>
    <x:row r="89">
      <x:c r="A89" s="3213" t="str">
        <x:v>PARTE / UE
puede suspenderse
y luego cerrar</x:v>
      </x:c>
      <x:c r="B89" s="3214"/>
      <x:c r="C89" s="3214"/>
      <x:c r="D89" s="3214"/>
      <x:c r="E89" s="3215"/>
      <x:c r="F89" s="1277"/>
      <x:c r="G89" s="3236" t="str">
        <x:v>EVENTO Habilita
se conserva
como hecho</x:v>
      </x:c>
      <x:c r="H89" s="3237"/>
      <x:c r="I89" s="3237"/>
      <x:c r="J89" s="3237"/>
      <x:c r="K89" s="3238"/>
      <x:c r="L89" s="1277"/>
      <x:c r="M89" s="3207" t="str">
        <x:v>CASO Habilita
investigación / acciones
puede seguir abierto</x:v>
      </x:c>
      <x:c r="N89" s="3208"/>
      <x:c r="O89" s="3208"/>
      <x:c r="P89" s="3208"/>
      <x:c r="Q89" s="3208"/>
      <x:c r="R89" s="3209"/>
      <x:c r="S89" s="1277"/>
      <x:c r="T89" s="3213" t="str">
        <x:v>APRENDIZAJE
AccionesCorrectivas
verificación / cierre</x:v>
      </x:c>
      <x:c r="U89" s="3214"/>
      <x:c r="V89" s="3214"/>
      <x:c r="W89" s="3214"/>
      <x:c r="X89" s="3214"/>
      <x:c r="Y89" s="3214"/>
      <x:c r="Z89" s="3215"/>
    </x:row>
    <x:row r="90">
      <x:c r="A90" s="3222"/>
      <x:c r="B90" s="3223"/>
      <x:c r="C90" s="3223"/>
      <x:c r="D90" s="3223"/>
      <x:c r="E90" s="3224"/>
      <x:c r="F90" s="1277"/>
      <x:c r="G90" s="3239"/>
      <x:c r="H90" s="3240"/>
      <x:c r="I90" s="3240"/>
      <x:c r="J90" s="3240"/>
      <x:c r="K90" s="3241"/>
      <x:c r="L90" s="1277"/>
      <x:c r="M90" s="3216"/>
      <x:c r="N90" s="3217"/>
      <x:c r="O90" s="3217"/>
      <x:c r="P90" s="3217"/>
      <x:c r="Q90" s="3217"/>
      <x:c r="R90" s="3218"/>
      <x:c r="S90" s="1277"/>
      <x:c r="T90" s="3222"/>
      <x:c r="U90" s="3223"/>
      <x:c r="V90" s="3223"/>
      <x:c r="W90" s="3223"/>
      <x:c r="X90" s="3223"/>
      <x:c r="Y90" s="3223"/>
      <x:c r="Z90" s="3224"/>
    </x:row>
    <x:row r="91">
      <x:c r="A91" s="3222"/>
      <x:c r="B91" s="3223"/>
      <x:c r="C91" s="3223"/>
      <x:c r="D91" s="3223"/>
      <x:c r="E91" s="3224"/>
      <x:c r="F91" s="1297" t="str">
        <x:v>→</x:v>
      </x:c>
      <x:c r="G91" s="3239"/>
      <x:c r="H91" s="3240"/>
      <x:c r="I91" s="3240"/>
      <x:c r="J91" s="3240"/>
      <x:c r="K91" s="3241"/>
      <x:c r="L91" s="1297" t="str">
        <x:v>→</x:v>
      </x:c>
      <x:c r="M91" s="3216"/>
      <x:c r="N91" s="3217"/>
      <x:c r="O91" s="3217"/>
      <x:c r="P91" s="3217"/>
      <x:c r="Q91" s="3217"/>
      <x:c r="R91" s="3218"/>
      <x:c r="S91" s="1297" t="str">
        <x:v>→</x:v>
      </x:c>
      <x:c r="T91" s="3222"/>
      <x:c r="U91" s="3223"/>
      <x:c r="V91" s="3223"/>
      <x:c r="W91" s="3223"/>
      <x:c r="X91" s="3223"/>
      <x:c r="Y91" s="3223"/>
      <x:c r="Z91" s="3224"/>
    </x:row>
    <x:row r="92">
      <x:c r="A92" s="3222"/>
      <x:c r="B92" s="3223"/>
      <x:c r="C92" s="3223"/>
      <x:c r="D92" s="3223"/>
      <x:c r="E92" s="3224"/>
      <x:c r="F92" s="1277"/>
      <x:c r="G92" s="3239"/>
      <x:c r="H92" s="3240"/>
      <x:c r="I92" s="3240"/>
      <x:c r="J92" s="3240"/>
      <x:c r="K92" s="3241"/>
      <x:c r="L92" s="1277"/>
      <x:c r="M92" s="3216"/>
      <x:c r="N92" s="3217"/>
      <x:c r="O92" s="3217"/>
      <x:c r="P92" s="3217"/>
      <x:c r="Q92" s="3217"/>
      <x:c r="R92" s="3218"/>
      <x:c r="S92" s="1277"/>
      <x:c r="T92" s="3222"/>
      <x:c r="U92" s="3223"/>
      <x:c r="V92" s="3223"/>
      <x:c r="W92" s="3223"/>
      <x:c r="X92" s="3223"/>
      <x:c r="Y92" s="3223"/>
      <x:c r="Z92" s="3224"/>
    </x:row>
    <x:row r="93">
      <x:c r="A93" s="3231"/>
      <x:c r="B93" s="3232"/>
      <x:c r="C93" s="3232"/>
      <x:c r="D93" s="3232"/>
      <x:c r="E93" s="3233"/>
      <x:c r="F93" s="1277"/>
      <x:c r="G93" s="3242"/>
      <x:c r="H93" s="3243"/>
      <x:c r="I93" s="3243"/>
      <x:c r="J93" s="3243"/>
      <x:c r="K93" s="3244"/>
      <x:c r="L93" s="1277"/>
      <x:c r="M93" s="3225"/>
      <x:c r="N93" s="3226"/>
      <x:c r="O93" s="3226"/>
      <x:c r="P93" s="3226"/>
      <x:c r="Q93" s="3226"/>
      <x:c r="R93" s="3227"/>
      <x:c r="S93" s="1277"/>
      <x:c r="T93" s="3231"/>
      <x:c r="U93" s="3232"/>
      <x:c r="V93" s="3232"/>
      <x:c r="W93" s="3232"/>
      <x:c r="X93" s="3232"/>
      <x:c r="Y93" s="3232"/>
      <x:c r="Z93" s="3233"/>
    </x:row>
    <x:row r="94">
      <x:c r="A94" s="1277"/>
      <x:c r="B94" s="1277"/>
      <x:c r="C94" s="1277"/>
      <x:c r="D94" s="1277"/>
      <x:c r="E94" s="1277"/>
      <x:c r="F94" s="1277"/>
      <x:c r="G94" s="1277"/>
      <x:c r="H94" s="1277"/>
      <x:c r="I94" s="1277"/>
      <x:c r="J94" s="1277"/>
      <x:c r="K94" s="1277"/>
      <x:c r="L94" s="1277"/>
      <x:c r="M94" s="1277"/>
      <x:c r="N94" s="1277"/>
      <x:c r="O94" s="1277"/>
      <x:c r="P94" s="1277"/>
      <x:c r="Q94" s="1277"/>
      <x:c r="R94" s="1277"/>
      <x:c r="S94" s="1277"/>
      <x:c r="T94" s="1277"/>
      <x:c r="U94" s="1277"/>
      <x:c r="V94" s="1277"/>
      <x:c r="W94" s="1277"/>
      <x:c r="X94" s="1277"/>
      <x:c r="Y94" s="1277"/>
      <x:c r="Z94" s="1277"/>
    </x:row>
    <x:row r="95">
      <x:c r="A95" s="1277"/>
      <x:c r="B95" s="1277"/>
      <x:c r="C95" s="1277"/>
      <x:c r="D95" s="1277"/>
      <x:c r="E95" s="1277"/>
      <x:c r="F95" s="1277"/>
      <x:c r="G95" s="1277"/>
      <x:c r="H95" s="1277"/>
      <x:c r="I95" s="1277"/>
      <x:c r="J95" s="1277"/>
      <x:c r="K95" s="1277"/>
      <x:c r="L95" s="1277"/>
      <x:c r="M95" s="1277"/>
      <x:c r="N95" s="1277"/>
      <x:c r="O95" s="1277"/>
      <x:c r="P95" s="1277"/>
      <x:c r="Q95" s="1277"/>
      <x:c r="R95" s="1277"/>
      <x:c r="S95" s="1277"/>
      <x:c r="T95" s="1277"/>
      <x:c r="U95" s="1277"/>
      <x:c r="V95" s="1277"/>
      <x:c r="W95" s="1277"/>
      <x:c r="X95" s="1277"/>
      <x:c r="Y95" s="1277"/>
      <x:c r="Z95" s="1277"/>
    </x:row>
    <x:row r="96">
      <x:c r="A96" s="3256" t="str">
        <x:v>05 — Habilita COMPONENT MODEL · CORE COMÚN + EXTENSIONES</x:v>
      </x:c>
      <x:c r="B96" s="3256"/>
      <x:c r="C96" s="3256"/>
      <x:c r="D96" s="3256"/>
      <x:c r="E96" s="3256"/>
      <x:c r="F96" s="3256"/>
      <x:c r="G96" s="3256"/>
      <x:c r="H96" s="3256"/>
      <x:c r="I96" s="3256"/>
      <x:c r="J96" s="3256"/>
      <x:c r="K96" s="3256"/>
      <x:c r="L96" s="3256"/>
      <x:c r="M96" s="3256"/>
      <x:c r="N96" s="3256"/>
      <x:c r="O96" s="3256"/>
      <x:c r="P96" s="3256"/>
      <x:c r="Q96" s="3256"/>
      <x:c r="R96" s="3256"/>
      <x:c r="S96" s="3256"/>
      <x:c r="T96" s="3256"/>
      <x:c r="U96" s="3256"/>
      <x:c r="V96" s="3256"/>
      <x:c r="W96" s="3256"/>
      <x:c r="X96" s="3256"/>
      <x:c r="Y96" s="3256"/>
      <x:c r="Z96" s="3256"/>
    </x:row>
    <x:row r="97">
      <x:c r="A97" s="1277"/>
      <x:c r="B97" s="1277"/>
      <x:c r="C97" s="1277"/>
      <x:c r="D97" s="1277"/>
      <x:c r="E97" s="1277"/>
      <x:c r="F97" s="1277"/>
      <x:c r="G97" s="1277"/>
      <x:c r="H97" s="1277"/>
      <x:c r="I97" s="1277"/>
      <x:c r="J97" s="1277"/>
      <x:c r="K97" s="1277"/>
      <x:c r="L97" s="1277"/>
      <x:c r="M97" s="1277"/>
      <x:c r="N97" s="1277"/>
      <x:c r="O97" s="1277"/>
      <x:c r="P97" s="1277"/>
      <x:c r="Q97" s="1277"/>
      <x:c r="R97" s="1277"/>
      <x:c r="S97" s="1277"/>
      <x:c r="T97" s="1277"/>
      <x:c r="U97" s="1277"/>
      <x:c r="V97" s="1277"/>
      <x:c r="W97" s="1277"/>
      <x:c r="X97" s="1277"/>
      <x:c r="Y97" s="1277"/>
      <x:c r="Z97" s="1277"/>
    </x:row>
    <x:row r="98">
      <x:c r="A98" s="3207" t="str">
        <x:v>EVENTO Habilita · CORE
qué · cuándo · dónde
real/potencial · contexto
reportante · evidencia</x:v>
      </x:c>
      <x:c r="B98" s="3208"/>
      <x:c r="C98" s="3208"/>
      <x:c r="D98" s="3208"/>
      <x:c r="E98" s="3208"/>
      <x:c r="F98" s="3209"/>
      <x:c r="G98" s="1277"/>
      <x:c r="H98" s="3213" t="str">
        <x:v>AMBIENTAL
material · mediciones
estimada → confirmada
[validar]</x:v>
      </x:c>
      <x:c r="I98" s="3214"/>
      <x:c r="J98" s="3214"/>
      <x:c r="K98" s="3214"/>
      <x:c r="L98" s="3215"/>
      <x:c r="M98" s="1277"/>
      <x:c r="N98" s="3213" t="str">
        <x:v>LESIÓN / HEALTH
componente futuro
[validar Habilita]</x:v>
      </x:c>
      <x:c r="O98" s="3214"/>
      <x:c r="P98" s="3214"/>
      <x:c r="Q98" s="3214"/>
      <x:c r="R98" s="3215"/>
      <x:c r="S98" s="1277"/>
      <x:c r="T98" s="3213" t="str">
        <x:v>VEHICULAR
componente futuro
[validar]</x:v>
      </x:c>
      <x:c r="U98" s="3214"/>
      <x:c r="V98" s="3215"/>
      <x:c r="W98" s="1277"/>
      <x:c r="X98" s="3213" t="str">
        <x:v>PROCESS
HABILITA
[futuro]</x:v>
      </x:c>
      <x:c r="Y98" s="3214"/>
      <x:c r="Z98" s="3215"/>
    </x:row>
    <x:row r="99">
      <x:c r="A99" s="3216"/>
      <x:c r="B99" s="3217"/>
      <x:c r="C99" s="3217"/>
      <x:c r="D99" s="3217"/>
      <x:c r="E99" s="3217"/>
      <x:c r="F99" s="3218"/>
      <x:c r="G99" s="1277"/>
      <x:c r="H99" s="3222"/>
      <x:c r="I99" s="3223"/>
      <x:c r="J99" s="3223"/>
      <x:c r="K99" s="3223"/>
      <x:c r="L99" s="3224"/>
      <x:c r="M99" s="1277"/>
      <x:c r="N99" s="3222"/>
      <x:c r="O99" s="3223"/>
      <x:c r="P99" s="3223"/>
      <x:c r="Q99" s="3223"/>
      <x:c r="R99" s="3224"/>
      <x:c r="S99" s="1277"/>
      <x:c r="T99" s="3222"/>
      <x:c r="U99" s="3223"/>
      <x:c r="V99" s="3224"/>
      <x:c r="W99" s="1277"/>
      <x:c r="X99" s="3222"/>
      <x:c r="Y99" s="3223"/>
      <x:c r="Z99" s="3224"/>
    </x:row>
    <x:row r="100">
      <x:c r="A100" s="3216"/>
      <x:c r="B100" s="3217"/>
      <x:c r="C100" s="3217"/>
      <x:c r="D100" s="3217"/>
      <x:c r="E100" s="3217"/>
      <x:c r="F100" s="3218"/>
      <x:c r="G100" s="1277"/>
      <x:c r="H100" s="3222"/>
      <x:c r="I100" s="3223"/>
      <x:c r="J100" s="3223"/>
      <x:c r="K100" s="3223"/>
      <x:c r="L100" s="3224"/>
      <x:c r="M100" s="1277"/>
      <x:c r="N100" s="3222"/>
      <x:c r="O100" s="3223"/>
      <x:c r="P100" s="3223"/>
      <x:c r="Q100" s="3223"/>
      <x:c r="R100" s="3224"/>
      <x:c r="S100" s="1277"/>
      <x:c r="T100" s="3222"/>
      <x:c r="U100" s="3223"/>
      <x:c r="V100" s="3224"/>
      <x:c r="W100" s="1277"/>
      <x:c r="X100" s="3222"/>
      <x:c r="Y100" s="3223"/>
      <x:c r="Z100" s="3224"/>
    </x:row>
    <x:row r="101">
      <x:c r="A101" s="3216"/>
      <x:c r="B101" s="3217"/>
      <x:c r="C101" s="3217"/>
      <x:c r="D101" s="3217"/>
      <x:c r="E101" s="3217"/>
      <x:c r="F101" s="3218"/>
      <x:c r="G101" s="1277"/>
      <x:c r="H101" s="3222"/>
      <x:c r="I101" s="3223"/>
      <x:c r="J101" s="3223"/>
      <x:c r="K101" s="3223"/>
      <x:c r="L101" s="3224"/>
      <x:c r="M101" s="1277"/>
      <x:c r="N101" s="3222"/>
      <x:c r="O101" s="3223"/>
      <x:c r="P101" s="3223"/>
      <x:c r="Q101" s="3223"/>
      <x:c r="R101" s="3224"/>
      <x:c r="S101" s="1277"/>
      <x:c r="T101" s="3222"/>
      <x:c r="U101" s="3223"/>
      <x:c r="V101" s="3224"/>
      <x:c r="W101" s="1277"/>
      <x:c r="X101" s="3222"/>
      <x:c r="Y101" s="3223"/>
      <x:c r="Z101" s="3224"/>
    </x:row>
    <x:row r="102">
      <x:c r="A102" s="3216"/>
      <x:c r="B102" s="3217"/>
      <x:c r="C102" s="3217"/>
      <x:c r="D102" s="3217"/>
      <x:c r="E102" s="3217"/>
      <x:c r="F102" s="3218"/>
      <x:c r="G102" s="1277"/>
      <x:c r="H102" s="3222"/>
      <x:c r="I102" s="3223"/>
      <x:c r="J102" s="3223"/>
      <x:c r="K102" s="3223"/>
      <x:c r="L102" s="3224"/>
      <x:c r="M102" s="1277"/>
      <x:c r="N102" s="3222"/>
      <x:c r="O102" s="3223"/>
      <x:c r="P102" s="3223"/>
      <x:c r="Q102" s="3223"/>
      <x:c r="R102" s="3224"/>
      <x:c r="S102" s="1277"/>
      <x:c r="T102" s="3222"/>
      <x:c r="U102" s="3223"/>
      <x:c r="V102" s="3224"/>
      <x:c r="W102" s="1277"/>
      <x:c r="X102" s="3222"/>
      <x:c r="Y102" s="3223"/>
      <x:c r="Z102" s="3224"/>
    </x:row>
    <x:row r="103">
      <x:c r="A103" s="3225"/>
      <x:c r="B103" s="3226"/>
      <x:c r="C103" s="3226"/>
      <x:c r="D103" s="3226"/>
      <x:c r="E103" s="3226"/>
      <x:c r="F103" s="3227"/>
      <x:c r="G103" s="1277"/>
      <x:c r="H103" s="3231"/>
      <x:c r="I103" s="3232"/>
      <x:c r="J103" s="3232"/>
      <x:c r="K103" s="3232"/>
      <x:c r="L103" s="3233"/>
      <x:c r="M103" s="1277"/>
      <x:c r="N103" s="3231"/>
      <x:c r="O103" s="3232"/>
      <x:c r="P103" s="3232"/>
      <x:c r="Q103" s="3232"/>
      <x:c r="R103" s="3233"/>
      <x:c r="S103" s="1277"/>
      <x:c r="T103" s="3231"/>
      <x:c r="U103" s="3232"/>
      <x:c r="V103" s="3233"/>
      <x:c r="W103" s="1277"/>
      <x:c r="X103" s="3231"/>
      <x:c r="Y103" s="3232"/>
      <x:c r="Z103" s="3233"/>
    </x:row>
    <x:row r="104">
      <x:c r="A104" s="1277"/>
      <x:c r="B104" s="1277"/>
      <x:c r="C104" s="1277"/>
      <x:c r="D104" s="1277"/>
      <x:c r="E104" s="1277"/>
      <x:c r="F104" s="1277"/>
      <x:c r="G104" s="1277"/>
      <x:c r="H104" s="1277"/>
      <x:c r="I104" s="1277"/>
      <x:c r="J104" s="1277"/>
      <x:c r="K104" s="1277"/>
      <x:c r="L104" s="1277"/>
      <x:c r="M104" s="1277"/>
      <x:c r="N104" s="1277"/>
      <x:c r="O104" s="1277"/>
      <x:c r="P104" s="1277"/>
      <x:c r="Q104" s="1277"/>
      <x:c r="R104" s="1277"/>
      <x:c r="S104" s="1277"/>
      <x:c r="T104" s="1277"/>
      <x:c r="U104" s="1277"/>
      <x:c r="V104" s="1277"/>
      <x:c r="W104" s="1277"/>
      <x:c r="X104" s="1277"/>
      <x:c r="Y104" s="1277"/>
      <x:c r="Z104" s="1277"/>
    </x:row>
    <x:row r="105">
      <x:c r="A105" s="1277"/>
      <x:c r="B105" s="1277"/>
      <x:c r="C105" s="1277"/>
      <x:c r="D105" s="1277"/>
      <x:c r="E105" s="1277"/>
      <x:c r="F105" s="1277"/>
      <x:c r="G105" s="1277"/>
      <x:c r="H105" s="1277"/>
      <x:c r="I105" s="1277"/>
      <x:c r="J105" s="1277"/>
      <x:c r="K105" s="1277"/>
      <x:c r="L105" s="1277"/>
      <x:c r="M105" s="1277"/>
      <x:c r="N105" s="1277"/>
      <x:c r="O105" s="1277"/>
      <x:c r="P105" s="1277"/>
      <x:c r="Q105" s="1277"/>
      <x:c r="R105" s="1277"/>
      <x:c r="S105" s="1277"/>
      <x:c r="T105" s="1277"/>
      <x:c r="U105" s="1277"/>
      <x:c r="V105" s="1277"/>
      <x:c r="W105" s="1277"/>
      <x:c r="X105" s="1277"/>
      <x:c r="Y105" s="1277"/>
      <x:c r="Z105" s="1277"/>
    </x:row>
    <x:row r="106">
      <x:c r="A106" s="3256" t="str">
        <x:v>06 — FRONTERA Habilita ↔ COMERCIAL · NO CONFUNDIR SEGURIDAD CON CERTIFICACIÓN</x:v>
      </x:c>
      <x:c r="B106" s="3256"/>
      <x:c r="C106" s="3256"/>
      <x:c r="D106" s="3256"/>
      <x:c r="E106" s="3256"/>
      <x:c r="F106" s="3256"/>
      <x:c r="G106" s="3256"/>
      <x:c r="H106" s="3256"/>
      <x:c r="I106" s="3256"/>
      <x:c r="J106" s="3256"/>
      <x:c r="K106" s="3256"/>
      <x:c r="L106" s="3256"/>
      <x:c r="M106" s="3256"/>
      <x:c r="N106" s="3256"/>
      <x:c r="O106" s="3256"/>
      <x:c r="P106" s="3256"/>
      <x:c r="Q106" s="3256"/>
      <x:c r="R106" s="3256"/>
      <x:c r="S106" s="3256"/>
      <x:c r="T106" s="3256"/>
      <x:c r="U106" s="3256"/>
      <x:c r="V106" s="3256"/>
      <x:c r="W106" s="3256"/>
      <x:c r="X106" s="3256"/>
      <x:c r="Y106" s="3256"/>
      <x:c r="Z106" s="3256"/>
    </x:row>
    <x:row r="107">
      <x:c r="A107" s="1277"/>
      <x:c r="B107" s="1277"/>
      <x:c r="C107" s="1277"/>
      <x:c r="D107" s="1277"/>
      <x:c r="E107" s="1277"/>
      <x:c r="F107" s="1277"/>
      <x:c r="G107" s="1277"/>
      <x:c r="H107" s="1277"/>
      <x:c r="I107" s="1277"/>
      <x:c r="J107" s="1277"/>
      <x:c r="K107" s="1277"/>
      <x:c r="L107" s="1277"/>
      <x:c r="M107" s="1277"/>
      <x:c r="N107" s="1277"/>
      <x:c r="O107" s="1277"/>
      <x:c r="P107" s="1277"/>
      <x:c r="Q107" s="1277"/>
      <x:c r="R107" s="1277"/>
      <x:c r="S107" s="1277"/>
      <x:c r="T107" s="1277"/>
      <x:c r="U107" s="1277"/>
      <x:c r="V107" s="1277"/>
      <x:c r="W107" s="1277"/>
      <x:c r="X107" s="1277"/>
      <x:c r="Y107" s="1277"/>
      <x:c r="Z107" s="1277"/>
    </x:row>
    <x:row r="108">
      <x:c r="A108" s="3210" t="str">
        <x:v>EVENTO Habilita
NO genera UC
NO edita Parte
NO define descuento</x:v>
      </x:c>
      <x:c r="B108" s="3211"/>
      <x:c r="C108" s="3211"/>
      <x:c r="D108" s="3211"/>
      <x:c r="E108" s="3211"/>
      <x:c r="F108" s="3211"/>
      <x:c r="G108" s="3211"/>
      <x:c r="H108" s="3212"/>
      <x:c r="I108" s="1277"/>
      <x:c r="J108" s="3207" t="str">
        <x:v>EFECTO OPERACIONAL
suspensión · tiempo · cambio recurso
medición/evidencia real</x:v>
      </x:c>
      <x:c r="K108" s="3208"/>
      <x:c r="L108" s="3208"/>
      <x:c r="M108" s="3208"/>
      <x:c r="N108" s="3208"/>
      <x:c r="O108" s="3208"/>
      <x:c r="P108" s="3208"/>
      <x:c r="Q108" s="3209"/>
      <x:c r="R108" s="1277"/>
      <x:c r="S108" s="3213" t="str">
        <x:v>CONTRATO
ReglaTratamientoTiempo /
ítem / cláusula futura
→ efecto comercial explícito</x:v>
      </x:c>
      <x:c r="T108" s="3214"/>
      <x:c r="U108" s="3214"/>
      <x:c r="V108" s="3214"/>
      <x:c r="W108" s="3214"/>
      <x:c r="X108" s="3214"/>
      <x:c r="Y108" s="3214"/>
      <x:c r="Z108" s="3215"/>
    </x:row>
    <x:row r="109">
      <x:c r="A109" s="3219"/>
      <x:c r="B109" s="3220"/>
      <x:c r="C109" s="3220"/>
      <x:c r="D109" s="3220"/>
      <x:c r="E109" s="3220"/>
      <x:c r="F109" s="3220"/>
      <x:c r="G109" s="3220"/>
      <x:c r="H109" s="3221"/>
      <x:c r="I109" s="1277"/>
      <x:c r="J109" s="3216"/>
      <x:c r="K109" s="3217"/>
      <x:c r="L109" s="3217"/>
      <x:c r="M109" s="3217"/>
      <x:c r="N109" s="3217"/>
      <x:c r="O109" s="3217"/>
      <x:c r="P109" s="3217"/>
      <x:c r="Q109" s="3218"/>
      <x:c r="R109" s="1277"/>
      <x:c r="S109" s="3222"/>
      <x:c r="T109" s="3223"/>
      <x:c r="U109" s="3223"/>
      <x:c r="V109" s="3223"/>
      <x:c r="W109" s="3223"/>
      <x:c r="X109" s="3223"/>
      <x:c r="Y109" s="3223"/>
      <x:c r="Z109" s="3224"/>
    </x:row>
    <x:row r="110">
      <x:c r="A110" s="3219"/>
      <x:c r="B110" s="3220"/>
      <x:c r="C110" s="3220"/>
      <x:c r="D110" s="3220"/>
      <x:c r="E110" s="3220"/>
      <x:c r="F110" s="3220"/>
      <x:c r="G110" s="3220"/>
      <x:c r="H110" s="3221"/>
      <x:c r="I110" s="1297" t="str">
        <x:v>→</x:v>
      </x:c>
      <x:c r="J110" s="3216"/>
      <x:c r="K110" s="3217"/>
      <x:c r="L110" s="3217"/>
      <x:c r="M110" s="3217"/>
      <x:c r="N110" s="3217"/>
      <x:c r="O110" s="3217"/>
      <x:c r="P110" s="3217"/>
      <x:c r="Q110" s="3218"/>
      <x:c r="R110" s="1297" t="str">
        <x:v>→</x:v>
      </x:c>
      <x:c r="S110" s="3222"/>
      <x:c r="T110" s="3223"/>
      <x:c r="U110" s="3223"/>
      <x:c r="V110" s="3223"/>
      <x:c r="W110" s="3223"/>
      <x:c r="X110" s="3223"/>
      <x:c r="Y110" s="3223"/>
      <x:c r="Z110" s="3224"/>
    </x:row>
    <x:row r="111">
      <x:c r="A111" s="3219"/>
      <x:c r="B111" s="3220"/>
      <x:c r="C111" s="3220"/>
      <x:c r="D111" s="3220"/>
      <x:c r="E111" s="3220"/>
      <x:c r="F111" s="3220"/>
      <x:c r="G111" s="3220"/>
      <x:c r="H111" s="3221"/>
      <x:c r="I111" s="1277"/>
      <x:c r="J111" s="3216"/>
      <x:c r="K111" s="3217"/>
      <x:c r="L111" s="3217"/>
      <x:c r="M111" s="3217"/>
      <x:c r="N111" s="3217"/>
      <x:c r="O111" s="3217"/>
      <x:c r="P111" s="3217"/>
      <x:c r="Q111" s="3218"/>
      <x:c r="R111" s="1277"/>
      <x:c r="S111" s="3222"/>
      <x:c r="T111" s="3223"/>
      <x:c r="U111" s="3223"/>
      <x:c r="V111" s="3223"/>
      <x:c r="W111" s="3223"/>
      <x:c r="X111" s="3223"/>
      <x:c r="Y111" s="3223"/>
      <x:c r="Z111" s="3224"/>
    </x:row>
    <x:row r="112">
      <x:c r="A112" s="3228"/>
      <x:c r="B112" s="3229"/>
      <x:c r="C112" s="3229"/>
      <x:c r="D112" s="3229"/>
      <x:c r="E112" s="3229"/>
      <x:c r="F112" s="3229"/>
      <x:c r="G112" s="3229"/>
      <x:c r="H112" s="3230"/>
      <x:c r="I112" s="1277"/>
      <x:c r="J112" s="3225"/>
      <x:c r="K112" s="3226"/>
      <x:c r="L112" s="3226"/>
      <x:c r="M112" s="3226"/>
      <x:c r="N112" s="3226"/>
      <x:c r="O112" s="3226"/>
      <x:c r="P112" s="3226"/>
      <x:c r="Q112" s="3227"/>
      <x:c r="R112" s="1277"/>
      <x:c r="S112" s="3231"/>
      <x:c r="T112" s="3232"/>
      <x:c r="U112" s="3232"/>
      <x:c r="V112" s="3232"/>
      <x:c r="W112" s="3232"/>
      <x:c r="X112" s="3232"/>
      <x:c r="Y112" s="3232"/>
      <x:c r="Z112" s="3233"/>
    </x:row>
    <x:row r="113">
      <x:c r="A113" s="1277"/>
      <x:c r="B113" s="1277"/>
      <x:c r="C113" s="1277"/>
      <x:c r="D113" s="1277"/>
      <x:c r="E113" s="1277"/>
      <x:c r="F113" s="1277"/>
      <x:c r="G113" s="1277"/>
      <x:c r="H113" s="1277"/>
      <x:c r="I113" s="1277"/>
      <x:c r="J113" s="1277"/>
      <x:c r="K113" s="1277"/>
      <x:c r="L113" s="1277"/>
      <x:c r="M113" s="1277"/>
      <x:c r="N113" s="1277"/>
      <x:c r="O113" s="1277"/>
      <x:c r="P113" s="1277"/>
      <x:c r="Q113" s="1277"/>
      <x:c r="R113" s="1277"/>
      <x:c r="S113" s="1277"/>
      <x:c r="T113" s="1277"/>
      <x:c r="U113" s="1277"/>
      <x:c r="V113" s="1277"/>
      <x:c r="W113" s="1277"/>
      <x:c r="X113" s="1277"/>
      <x:c r="Y113" s="1277"/>
      <x:c r="Z113" s="1277"/>
    </x:row>
    <x:row r="114">
      <x:c r="A114" s="1277"/>
      <x:c r="B114" s="1277"/>
      <x:c r="C114" s="1277"/>
      <x:c r="D114" s="1277"/>
      <x:c r="E114" s="1277"/>
      <x:c r="F114" s="1277"/>
      <x:c r="G114" s="1277"/>
      <x:c r="H114" s="1277"/>
      <x:c r="I114" s="1277"/>
      <x:c r="J114" s="1277"/>
      <x:c r="K114" s="1277"/>
      <x:c r="L114" s="1277"/>
      <x:c r="M114" s="1277"/>
      <x:c r="N114" s="1277"/>
      <x:c r="O114" s="1277"/>
      <x:c r="P114" s="1277"/>
      <x:c r="Q114" s="1277"/>
      <x:c r="R114" s="1277"/>
      <x:c r="S114" s="1277"/>
      <x:c r="T114" s="1277"/>
      <x:c r="U114" s="1277"/>
      <x:c r="V114" s="1277"/>
      <x:c r="W114" s="1277"/>
      <x:c r="X114" s="1277"/>
      <x:c r="Y114" s="1277"/>
      <x:c r="Z114" s="1277"/>
    </x:row>
    <x:row r="115">
      <x:c r="A115" s="3256" t="str">
        <x:v>07 — TRACE BUS · HISTORIA COMPLETA</x:v>
      </x:c>
      <x:c r="B115" s="3256"/>
      <x:c r="C115" s="3256"/>
      <x:c r="D115" s="3256"/>
      <x:c r="E115" s="3256"/>
      <x:c r="F115" s="3256"/>
      <x:c r="G115" s="3256"/>
      <x:c r="H115" s="3256"/>
      <x:c r="I115" s="3256"/>
      <x:c r="J115" s="3256"/>
      <x:c r="K115" s="3256"/>
      <x:c r="L115" s="3256"/>
      <x:c r="M115" s="3256"/>
      <x:c r="N115" s="3256"/>
      <x:c r="O115" s="3256"/>
      <x:c r="P115" s="3256"/>
      <x:c r="Q115" s="3256"/>
      <x:c r="R115" s="3256"/>
      <x:c r="S115" s="3256"/>
      <x:c r="T115" s="3256"/>
      <x:c r="U115" s="3256"/>
      <x:c r="V115" s="3256"/>
      <x:c r="W115" s="3256"/>
      <x:c r="X115" s="3256"/>
      <x:c r="Y115" s="3256"/>
      <x:c r="Z115" s="3256"/>
    </x:row>
    <x:row r="116">
      <x:c r="A116" s="1277"/>
      <x:c r="B116" s="1277"/>
      <x:c r="C116" s="1277"/>
      <x:c r="D116" s="1277"/>
      <x:c r="E116" s="1277"/>
      <x:c r="F116" s="1277"/>
      <x:c r="G116" s="1277"/>
      <x:c r="H116" s="1277"/>
      <x:c r="I116" s="1277"/>
      <x:c r="J116" s="1277"/>
      <x:c r="K116" s="1277"/>
      <x:c r="L116" s="1277"/>
      <x:c r="M116" s="1277"/>
      <x:c r="N116" s="1277"/>
      <x:c r="O116" s="1277"/>
      <x:c r="P116" s="1277"/>
      <x:c r="Q116" s="1277"/>
      <x:c r="R116" s="1277"/>
      <x:c r="S116" s="1277"/>
      <x:c r="T116" s="1277"/>
      <x:c r="U116" s="1277"/>
      <x:c r="V116" s="1277"/>
      <x:c r="W116" s="1277"/>
      <x:c r="X116" s="1277"/>
      <x:c r="Y116" s="1277"/>
      <x:c r="Z116" s="1277"/>
    </x:row>
    <x:row r="117">
      <x:c r="A117" s="3213" t="str">
        <x:v>PLAN
versiones · readiness
directivas · ACK</x:v>
      </x:c>
      <x:c r="B117" s="3214"/>
      <x:c r="C117" s="3214"/>
      <x:c r="D117" s="3214"/>
      <x:c r="E117" s="3214"/>
      <x:c r="F117" s="3215"/>
      <x:c r="G117" s="1277"/>
      <x:c r="H117" s="3213" t="str">
        <x:v>EJECUCIÓN
UE · intervalos · PTW
transiciones · enmiendas</x:v>
      </x:c>
      <x:c r="I117" s="3214"/>
      <x:c r="J117" s="3214"/>
      <x:c r="K117" s="3214"/>
      <x:c r="L117" s="3214"/>
      <x:c r="M117" s="3215"/>
      <x:c r="N117" s="1277"/>
      <x:c r="O117" s="3245" t="str">
        <x:v>Habilita
Evento · Caso · mediciones
notificaciones · acciones</x:v>
      </x:c>
      <x:c r="P117" s="3246"/>
      <x:c r="Q117" s="3246"/>
      <x:c r="R117" s="3246"/>
      <x:c r="S117" s="3246"/>
      <x:c r="T117" s="3247"/>
      <x:c r="U117" s="1277"/>
      <x:c r="V117" s="3213" t="str">
        <x:v>COMERCIAL
UC lineage · paquetes
ajustes · factura</x:v>
      </x:c>
      <x:c r="W117" s="3214"/>
      <x:c r="X117" s="3214"/>
      <x:c r="Y117" s="3214"/>
      <x:c r="Z117" s="3215"/>
    </x:row>
    <x:row r="118">
      <x:c r="A118" s="3222"/>
      <x:c r="B118" s="3223"/>
      <x:c r="C118" s="3223"/>
      <x:c r="D118" s="3223"/>
      <x:c r="E118" s="3223"/>
      <x:c r="F118" s="3224"/>
      <x:c r="G118" s="1277"/>
      <x:c r="H118" s="3222"/>
      <x:c r="I118" s="3223"/>
      <x:c r="J118" s="3223"/>
      <x:c r="K118" s="3223"/>
      <x:c r="L118" s="3223"/>
      <x:c r="M118" s="3224"/>
      <x:c r="N118" s="1277"/>
      <x:c r="O118" s="3248"/>
      <x:c r="P118" s="3240"/>
      <x:c r="Q118" s="3240"/>
      <x:c r="R118" s="3240"/>
      <x:c r="S118" s="3240"/>
      <x:c r="T118" s="3249"/>
      <x:c r="U118" s="1277"/>
      <x:c r="V118" s="3222"/>
      <x:c r="W118" s="3223"/>
      <x:c r="X118" s="3223"/>
      <x:c r="Y118" s="3223"/>
      <x:c r="Z118" s="3224"/>
    </x:row>
    <x:row r="119">
      <x:c r="A119" s="3222"/>
      <x:c r="B119" s="3223"/>
      <x:c r="C119" s="3223"/>
      <x:c r="D119" s="3223"/>
      <x:c r="E119" s="3223"/>
      <x:c r="F119" s="3224"/>
      <x:c r="G119" s="1277"/>
      <x:c r="H119" s="3222"/>
      <x:c r="I119" s="3223"/>
      <x:c r="J119" s="3223"/>
      <x:c r="K119" s="3223"/>
      <x:c r="L119" s="3223"/>
      <x:c r="M119" s="3224"/>
      <x:c r="N119" s="1277"/>
      <x:c r="O119" s="3248"/>
      <x:c r="P119" s="3240"/>
      <x:c r="Q119" s="3240"/>
      <x:c r="R119" s="3240"/>
      <x:c r="S119" s="3240"/>
      <x:c r="T119" s="3249"/>
      <x:c r="U119" s="1277"/>
      <x:c r="V119" s="3222"/>
      <x:c r="W119" s="3223"/>
      <x:c r="X119" s="3223"/>
      <x:c r="Y119" s="3223"/>
      <x:c r="Z119" s="3224"/>
    </x:row>
    <x:row r="120">
      <x:c r="A120" s="3222"/>
      <x:c r="B120" s="3223"/>
      <x:c r="C120" s="3223"/>
      <x:c r="D120" s="3223"/>
      <x:c r="E120" s="3223"/>
      <x:c r="F120" s="3224"/>
      <x:c r="G120" s="1277"/>
      <x:c r="H120" s="3222"/>
      <x:c r="I120" s="3223"/>
      <x:c r="J120" s="3223"/>
      <x:c r="K120" s="3223"/>
      <x:c r="L120" s="3223"/>
      <x:c r="M120" s="3224"/>
      <x:c r="N120" s="1277"/>
      <x:c r="O120" s="3248"/>
      <x:c r="P120" s="3240"/>
      <x:c r="Q120" s="3240"/>
      <x:c r="R120" s="3240"/>
      <x:c r="S120" s="3240"/>
      <x:c r="T120" s="3249"/>
      <x:c r="U120" s="1277"/>
      <x:c r="V120" s="3222"/>
      <x:c r="W120" s="3223"/>
      <x:c r="X120" s="3223"/>
      <x:c r="Y120" s="3223"/>
      <x:c r="Z120" s="3224"/>
    </x:row>
    <x:row r="121">
      <x:c r="A121" s="3231"/>
      <x:c r="B121" s="3232"/>
      <x:c r="C121" s="3232"/>
      <x:c r="D121" s="3232"/>
      <x:c r="E121" s="3232"/>
      <x:c r="F121" s="3233"/>
      <x:c r="G121" s="1277"/>
      <x:c r="H121" s="3231"/>
      <x:c r="I121" s="3232"/>
      <x:c r="J121" s="3232"/>
      <x:c r="K121" s="3232"/>
      <x:c r="L121" s="3232"/>
      <x:c r="M121" s="3233"/>
      <x:c r="N121" s="1277"/>
      <x:c r="O121" s="3250"/>
      <x:c r="P121" s="3251"/>
      <x:c r="Q121" s="3251"/>
      <x:c r="R121" s="3251"/>
      <x:c r="S121" s="3251"/>
      <x:c r="T121" s="3252"/>
      <x:c r="U121" s="1277"/>
      <x:c r="V121" s="3231"/>
      <x:c r="W121" s="3232"/>
      <x:c r="X121" s="3232"/>
      <x:c r="Y121" s="3232"/>
      <x:c r="Z121" s="3233"/>
    </x:row>
    <x:row r="122">
      <x:c r="A122" s="1277"/>
      <x:c r="B122" s="1277"/>
      <x:c r="C122" s="1277"/>
      <x:c r="D122" s="1277"/>
      <x:c r="E122" s="1277"/>
      <x:c r="F122" s="1277"/>
      <x:c r="G122" s="1277"/>
      <x:c r="H122" s="1277"/>
      <x:c r="I122" s="1277"/>
      <x:c r="J122" s="1277"/>
      <x:c r="K122" s="1277"/>
      <x:c r="L122" s="1277"/>
      <x:c r="M122" s="1277"/>
      <x:c r="N122" s="1277"/>
      <x:c r="O122" s="1277"/>
      <x:c r="P122" s="1277"/>
      <x:c r="Q122" s="1277"/>
      <x:c r="R122" s="1277"/>
      <x:c r="S122" s="1277"/>
      <x:c r="T122" s="1277"/>
      <x:c r="U122" s="1277"/>
      <x:c r="V122" s="1277"/>
      <x:c r="W122" s="1277"/>
      <x:c r="X122" s="1277"/>
      <x:c r="Y122" s="1277"/>
      <x:c r="Z122" s="1277"/>
    </x:row>
    <x:row r="123">
      <x:c r="A123" s="1277"/>
      <x:c r="B123" s="1277"/>
      <x:c r="C123" s="1277"/>
      <x:c r="D123" s="1277"/>
      <x:c r="E123" s="1277"/>
      <x:c r="F123" s="1277"/>
      <x:c r="G123" s="1277"/>
      <x:c r="H123" s="1277"/>
      <x:c r="I123" s="1277"/>
      <x:c r="J123" s="1277"/>
      <x:c r="K123" s="1277"/>
      <x:c r="L123" s="1277"/>
      <x:c r="M123" s="1277"/>
      <x:c r="N123" s="1277"/>
      <x:c r="O123" s="1277"/>
      <x:c r="P123" s="1277"/>
      <x:c r="Q123" s="1277"/>
      <x:c r="R123" s="1277"/>
      <x:c r="S123" s="1277"/>
      <x:c r="T123" s="1277"/>
      <x:c r="U123" s="1277"/>
      <x:c r="V123" s="1277"/>
      <x:c r="W123" s="1277"/>
      <x:c r="X123" s="1277"/>
      <x:c r="Y123" s="1277"/>
      <x:c r="Z123" s="1277"/>
    </x:row>
    <x:row r="124">
      <x:c r="A124" s="3308" t="str">
        <x:v>DECISIÓN REV D.6</x:v>
      </x:c>
      <x:c r="B124" s="3308"/>
      <x:c r="C124" s="3308"/>
      <x:c r="D124" s="3308"/>
      <x:c r="E124" s="3308"/>
      <x:c r="F124" s="3308"/>
      <x:c r="G124" s="3308"/>
      <x:c r="H124" s="3308"/>
      <x:c r="I124" s="3308"/>
      <x:c r="J124" s="3308"/>
      <x:c r="K124" s="3308"/>
      <x:c r="L124" s="3308"/>
      <x:c r="M124" s="3308"/>
      <x:c r="N124" s="3308"/>
      <x:c r="O124" s="3308"/>
      <x:c r="P124" s="3308"/>
      <x:c r="Q124" s="3308"/>
      <x:c r="R124" s="3308"/>
      <x:c r="S124" s="3308"/>
      <x:c r="T124" s="3308"/>
      <x:c r="U124" s="3308"/>
      <x:c r="V124" s="3308"/>
      <x:c r="W124" s="3308"/>
      <x:c r="X124" s="3308"/>
      <x:c r="Y124" s="3308"/>
      <x:c r="Z124" s="3308"/>
    </x:row>
    <x:row r="125" ht="38" customHeight="1">
      <x:c r="A125" s="1396" t="str">
        <x:v>DECIDIDO</x:v>
      </x:c>
      <x:c r="B125" s="1327" t="str">
        <x:v>TP-04 Incidente Ambiental se retira. El catálogo de Ejecución queda TP-01 / TP-02 / TP-03.</x:v>
      </x:c>
      <x:c r="C125" s="1327"/>
      <x:c r="D125" s="1327"/>
      <x:c r="E125" s="1327"/>
      <x:c r="F125" s="1327"/>
      <x:c r="G125" s="1327"/>
      <x:c r="H125" s="1327"/>
      <x:c r="I125" s="1327"/>
      <x:c r="J125" s="1327"/>
      <x:c r="K125" s="1327"/>
      <x:c r="L125" s="1327"/>
      <x:c r="M125" s="1327"/>
      <x:c r="N125" s="1327"/>
      <x:c r="O125" s="1327"/>
      <x:c r="P125" s="1327"/>
      <x:c r="Q125" s="1327"/>
      <x:c r="R125" s="1327"/>
      <x:c r="S125" s="1327"/>
      <x:c r="T125" s="1327"/>
      <x:c r="U125" s="1327"/>
      <x:c r="V125" s="1327"/>
      <x:c r="W125" s="1327"/>
      <x:c r="X125" s="1327"/>
      <x:c r="Y125" s="1327"/>
      <x:c r="Z125" s="1327"/>
    </x:row>
    <x:row r="126" ht="38" customHeight="1">
      <x:c r="A126" s="1396" t="str">
        <x:v>DECIDIDO</x:v>
      </x:c>
      <x:c r="B126" s="1327" t="str">
        <x:v>HABILITA-01 EventoHabilita es transversal y puede existir standalone o vinculado a 0..N operaciones.</x:v>
      </x:c>
      <x:c r="C126" s="1327"/>
      <x:c r="D126" s="1327"/>
      <x:c r="E126" s="1327"/>
      <x:c r="F126" s="1327"/>
      <x:c r="G126" s="1327"/>
      <x:c r="H126" s="1327"/>
      <x:c r="I126" s="1327"/>
      <x:c r="J126" s="1327"/>
      <x:c r="K126" s="1327"/>
      <x:c r="L126" s="1327"/>
      <x:c r="M126" s="1327"/>
      <x:c r="N126" s="1327"/>
      <x:c r="O126" s="1327"/>
      <x:c r="P126" s="1327"/>
      <x:c r="Q126" s="1327"/>
      <x:c r="R126" s="1327"/>
      <x:c r="S126" s="1327"/>
      <x:c r="T126" s="1327"/>
      <x:c r="U126" s="1327"/>
      <x:c r="V126" s="1327"/>
      <x:c r="W126" s="1327"/>
      <x:c r="X126" s="1327"/>
      <x:c r="Y126" s="1327"/>
      <x:c r="Z126" s="1327"/>
    </x:row>
    <x:row r="127" ht="38" customHeight="1">
      <x:c r="A127" s="1396" t="str">
        <x:v>DECIDIDO</x:v>
      </x:c>
      <x:c r="B127" s="1327" t="str">
        <x:v>PermisoTrabajo = PREVENT/work control; EventoHabilita/CasoHabilita = RESPOND &amp; LEARN.</x:v>
      </x:c>
      <x:c r="C127" s="1327"/>
      <x:c r="D127" s="1327"/>
      <x:c r="E127" s="1327"/>
      <x:c r="F127" s="1327"/>
      <x:c r="G127" s="1327"/>
      <x:c r="H127" s="1327"/>
      <x:c r="I127" s="1327"/>
      <x:c r="J127" s="1327"/>
      <x:c r="K127" s="1327"/>
      <x:c r="L127" s="1327"/>
      <x:c r="M127" s="1327"/>
      <x:c r="N127" s="1327"/>
      <x:c r="O127" s="1327"/>
      <x:c r="P127" s="1327"/>
      <x:c r="Q127" s="1327"/>
      <x:c r="R127" s="1327"/>
      <x:c r="S127" s="1327"/>
      <x:c r="T127" s="1327"/>
      <x:c r="U127" s="1327"/>
      <x:c r="V127" s="1327"/>
      <x:c r="W127" s="1327"/>
      <x:c r="X127" s="1327"/>
      <x:c r="Y127" s="1327"/>
      <x:c r="Z127" s="1327"/>
    </x:row>
    <x:row r="128" ht="38" customHeight="1">
      <x:c r="A128" s="1396" t="str">
        <x:v>ABIERTO</x:v>
      </x:c>
      <x:c r="B128" s="1327" t="str">
        <x:v>Taxonomía Habilita, matrices real/potencial, escalamiento, notificaciones y gates de cierre requieren validación V76–V85.</x:v>
      </x:c>
      <x:c r="C128" s="1327"/>
      <x:c r="D128" s="1327"/>
      <x:c r="E128" s="1327"/>
      <x:c r="F128" s="1327"/>
      <x:c r="G128" s="1327"/>
      <x:c r="H128" s="1327"/>
      <x:c r="I128" s="1327"/>
      <x:c r="J128" s="1327"/>
      <x:c r="K128" s="1327"/>
      <x:c r="L128" s="1327"/>
      <x:c r="M128" s="1327"/>
      <x:c r="N128" s="1327"/>
      <x:c r="O128" s="1327"/>
      <x:c r="P128" s="1327"/>
      <x:c r="Q128" s="1327"/>
      <x:c r="R128" s="1327"/>
      <x:c r="S128" s="1327"/>
      <x:c r="T128" s="1327"/>
      <x:c r="U128" s="1327"/>
      <x:c r="V128" s="1327"/>
      <x:c r="W128" s="1327"/>
      <x:c r="X128" s="1327"/>
      <x:c r="Y128" s="1327"/>
      <x:c r="Z128" s="1327"/>
    </x:row>
    <x:row r="129" ht="38" customHeight="1">
      <x:c r="A129" s="1396" t="str">
        <x:v>PRÓXIMO</x:v>
      </x:c>
      <x:c r="B129" s="1327" t="str">
        <x:v>Validar Habilita + cuatro políticas abiertas de D.5; luego contratos reales → REV E candidata a congelamiento.</x:v>
      </x:c>
      <x:c r="C129" s="1327"/>
      <x:c r="D129" s="1327"/>
      <x:c r="E129" s="1327"/>
      <x:c r="F129" s="1327"/>
      <x:c r="G129" s="1327"/>
      <x:c r="H129" s="1327"/>
      <x:c r="I129" s="1327"/>
      <x:c r="J129" s="1327"/>
      <x:c r="K129" s="1327"/>
      <x:c r="L129" s="1327"/>
      <x:c r="M129" s="1327"/>
      <x:c r="N129" s="1327"/>
      <x:c r="O129" s="1327"/>
      <x:c r="P129" s="1327"/>
      <x:c r="Q129" s="1327"/>
      <x:c r="R129" s="1327"/>
      <x:c r="S129" s="1327"/>
      <x:c r="T129" s="1327"/>
      <x:c r="U129" s="1327"/>
      <x:c r="V129" s="1327"/>
      <x:c r="W129" s="1327"/>
      <x:c r="X129" s="1327"/>
      <x:c r="Y129" s="1327"/>
      <x:c r="Z129" s="1327"/>
    </x:row>
  </x:sheetData>
  <x:mergeCells>
    <x:mergeCell ref="A1:Z1"/>
    <x:mergeCell ref="A2:Z2"/>
    <x:mergeCell ref="A4:Z4"/>
    <x:mergeCell ref="A6:D9"/>
    <x:mergeCell ref="F6:I9"/>
    <x:mergeCell ref="K6:N9"/>
    <x:mergeCell ref="P6:T9"/>
    <x:mergeCell ref="V6:Z9"/>
    <x:mergeCell ref="A12:Z12"/>
    <x:mergeCell ref="A14:H14"/>
    <x:mergeCell ref="I14:Q14"/>
    <x:mergeCell ref="R14:Z14"/>
    <x:mergeCell ref="A16:H19"/>
    <x:mergeCell ref="A21:H24"/>
    <x:mergeCell ref="A26:H30"/>
    <x:mergeCell ref="A33:Q33"/>
    <x:mergeCell ref="A34:Q36"/>
    <x:mergeCell ref="I16:Q19"/>
    <x:mergeCell ref="I21:Q21"/>
    <x:mergeCell ref="I23:K28"/>
    <x:mergeCell ref="L23:N28"/>
    <x:mergeCell ref="O23:Q28"/>
    <x:mergeCell ref="I30:Q31"/>
    <x:mergeCell ref="I38:L42"/>
    <x:mergeCell ref="N38:Q42"/>
    <x:mergeCell ref="I44:Q48"/>
    <x:mergeCell ref="I50:Q53"/>
    <x:mergeCell ref="R16:Z19"/>
    <x:mergeCell ref="R21:Z24"/>
    <x:mergeCell ref="R26:Z29"/>
    <x:mergeCell ref="R31:Z35"/>
    <x:mergeCell ref="I56:Z56"/>
    <x:mergeCell ref="I57:Z59"/>
    <x:mergeCell ref="A62:Z62"/>
    <x:mergeCell ref="A64:L64"/>
    <x:mergeCell ref="N64:Z64"/>
    <x:mergeCell ref="A66:D70"/>
    <x:mergeCell ref="F66:I70"/>
    <x:mergeCell ref="K66:L70"/>
    <x:mergeCell ref="N66:Q70"/>
    <x:mergeCell ref="S66:V70"/>
    <x:mergeCell ref="X66:Z70"/>
    <x:mergeCell ref="N72:Z75"/>
    <x:mergeCell ref="A78:Z78"/>
    <x:mergeCell ref="A80:F84"/>
    <x:mergeCell ref="H80:N84"/>
    <x:mergeCell ref="P80:V84"/>
    <x:mergeCell ref="X80:Z84"/>
    <x:mergeCell ref="A87:Z87"/>
    <x:mergeCell ref="A89:E93"/>
    <x:mergeCell ref="G89:K93"/>
    <x:mergeCell ref="M89:R93"/>
    <x:mergeCell ref="T89:Z93"/>
    <x:mergeCell ref="A96:Z96"/>
    <x:mergeCell ref="A98:F103"/>
    <x:mergeCell ref="H98:L103"/>
    <x:mergeCell ref="N98:R103"/>
    <x:mergeCell ref="T98:V103"/>
    <x:mergeCell ref="X98:Z103"/>
    <x:mergeCell ref="A106:Z106"/>
    <x:mergeCell ref="A108:H112"/>
    <x:mergeCell ref="J108:Q112"/>
    <x:mergeCell ref="S108:Z112"/>
    <x:mergeCell ref="A115:Z115"/>
    <x:mergeCell ref="A117:F121"/>
    <x:mergeCell ref="H117:M121"/>
    <x:mergeCell ref="O117:T121"/>
    <x:mergeCell ref="V117:Z121"/>
    <x:mergeCell ref="A124:Z124"/>
    <x:mergeCell ref="B125:Z125"/>
    <x:mergeCell ref="B126:Z126"/>
    <x:mergeCell ref="B127:Z127"/>
    <x:mergeCell ref="B128:Z128"/>
    <x:mergeCell ref="B129:Z129"/>
  </x:mergeCells>
  <x:pageMargins left="0.7" right="0.7" top="0.75" bottom="0.75" header="0.3" footer="0.3"/>
</x:worksheet>
</file>

<file path=xl/worksheets/sheet35.xml><?xml version="1.0" encoding="utf-8"?>
<x:worksheet xmlns:x="http://schemas.openxmlformats.org/spreadsheetml/2006/main">
  <x:sheetFormatPr defaultRowHeight="15"/>
  <x:cols>
    <x:col min="1" max="1" width="9" hidden="0" customWidth="1"/>
    <x:col min="2" max="2" width="17" hidden="0" customWidth="1"/>
    <x:col min="3" max="3" width="45" hidden="0" customWidth="1"/>
    <x:col min="4" max="4" width="25" hidden="0" customWidth="1"/>
    <x:col min="5" max="5" width="30" hidden="0" customWidth="1"/>
    <x:col min="6" max="6" width="42" hidden="0" customWidth="1"/>
    <x:col min="7" max="7" width="18" hidden="0" customWidth="1"/>
    <x:col min="8" max="8" width="42" hidden="0" customWidth="1"/>
  </x:cols>
  <x:sheetData>
    <x:row r="1">
      <x:c r="A1" s="3359" t="str">
        <x:v>GATE DE VALIDACIÓN REV E · CUESTIONARIO DE CAMPO / Habilita</x:v>
      </x:c>
      <x:c r="B1" s="3359"/>
      <x:c r="C1" s="3359"/>
      <x:c r="D1" s="3359"/>
      <x:c r="E1" s="3359"/>
      <x:c r="F1" s="3359"/>
      <x:c r="G1" s="3359"/>
      <x:c r="H1" s="3359"/>
    </x:row>
    <x:row r="2">
      <x:c r="A2" s="3352" t="str">
        <x:v>Objetivo: resolver únicamente decisiones que el modelo NO debe inventar. Responder con casos reales/reglas vigentes; no interesa cómo está armado hoy el formulario.</x:v>
      </x:c>
      <x:c r="B2" s="3352"/>
      <x:c r="C2" s="3352"/>
      <x:c r="D2" s="3352"/>
      <x:c r="E2" s="3352"/>
      <x:c r="F2" s="3352"/>
      <x:c r="G2" s="3352"/>
      <x:c r="H2" s="3352"/>
    </x:row>
    <x:row r="3">
      <x:c r="A3" s="3353" t="str">
        <x:v>Post-auditoría v1.4: 4 preguntas quedan resueltas por arquitectura, 2 tienen estructura resuelta pero política abierta y 3 requieren validación VDS directa.</x:v>
      </x:c>
      <x:c r="B3" s="3353"/>
      <x:c r="C3" s="3353"/>
      <x:c r="D3" s="3353"/>
      <x:c r="E3" s="3353"/>
      <x:c r="F3" s="3353"/>
      <x:c r="G3" s="3353"/>
      <x:c r="H3" s="3353"/>
    </x:row>
    <x:row r="4">
      <x:c r="A4" s="1277"/>
      <x:c r="B4" s="1277"/>
      <x:c r="C4" s="1277"/>
      <x:c r="D4" s="1277"/>
      <x:c r="E4" s="1277"/>
      <x:c r="F4" s="1277"/>
      <x:c r="G4" s="1277"/>
      <x:c r="H4" s="1277"/>
    </x:row>
    <x:row r="5">
      <x:c r="A5" s="3360" t="str">
        <x:v>ID</x:v>
      </x:c>
      <x:c r="B5" s="3360" t="str">
        <x:v>Bloque</x:v>
      </x:c>
      <x:c r="C5" s="3360" t="str">
        <x:v>Pregunta para especialista</x:v>
      </x:c>
      <x:c r="D5" s="3360" t="str">
        <x:v>Quién debería responder</x:v>
      </x:c>
      <x:c r="E5" s="3360" t="str">
        <x:v>Respuesta que necesitamos</x:v>
      </x:c>
      <x:c r="F5" s="3360" t="str">
        <x:v>Qué cambia en el modelo</x:v>
      </x:c>
      <x:c r="G5" s="3360" t="str">
        <x:v>Estado</x:v>
      </x:c>
      <x:c r="H5" s="3360" t="str">
        <x:v>Respuesta / ejemplos reales</x:v>
      </x:c>
    </x:row>
    <x:row r="6" ht="92" customHeight="1">
      <x:c r="A6" s="1327" t="str">
        <x:v>Q-01</x:v>
      </x:c>
      <x:c r="B6" s="3355" t="str">
        <x:v>OPERACIÓN · TP-01</x:v>
      </x:c>
      <x:c r="C6" s="1327" t="str">
        <x:v>Cuando una misma intervención continúa después de un cambio de turno, ¿operativamente debe seguir siendo el mismo trabajo/Parte o se exige abrir otro? Si depende del servicio, cliente o permiso, indicar exactamente de qué depende.</x:v>
      </x:c>
      <x:c r="D6" s="1327" t="str">
        <x:v>Supervisor de campo + Habilita</x:v>
      </x:c>
      <x:c r="E6" s="1327" t="str">
        <x:v>Regla concreta: CONTINÚA / NUEVO PARTE / DEPENDE DE… + 1–2 ejemplos reales.</x:v>
      </x:c>
      <x:c r="F6" s="1327" t="str">
        <x:v>ReglaCorte TP-01 · EventoHandover · AsignacionPersonaEjecucion · relación con PTW.</x:v>
      </x:c>
      <x:c r="G6" s="3650" t="str">
        <x:v>Resuelta estructura / falta política</x:v>
      </x:c>
      <x:c r="H6" s="3650" t="str">
        <x:v>Default arquitectónico: mismo TP-01 + EventoHandover + intervalos persona/recurso. Mantener ReglaCorte configurable; VDS debe validar cuándo un servicio/cliente exige split.</x:v>
      </x:c>
    </x:row>
    <x:row r="7" ht="92" customHeight="1">
      <x:c r="A7" s="1327" t="str">
        <x:v>Q-02</x:v>
      </x:c>
      <x:c r="B7" s="3355" t="str">
        <x:v>OPERACIÓN · EMERGENTE/OFFLINE</x:v>
      </x:c>
      <x:c r="C7" s="1327" t="str">
        <x:v>Si aparece un trabajo urgente no planificado y en campo no puede resolverse con certeza el ContratoServicio / Centro de Costo / Ítem por falta de conectividad o ambigüedad, ¿la cuadrilla puede empezar después de cumplir los gates de seguridad? Si puede, ¿quién lo autoriza y qué información mínima debe dejar registrada?</x:v>
      </x:c>
      <x:c r="D7" s="1327" t="str">
        <x:v>Supervisor Operaciones + Contratos/Certificación + Habilita</x:v>
      </x:c>
      <x:c r="E7" s="1327" t="str">
        <x:v>BLOQUEAR / PERMITIR CON AUTORIZACIÓN / DEPENDE DE… + rol autorizante + mínimos obligatorios.</x:v>
      </x:c>
      <x:c r="F7" s="1327" t="str">
        <x:v>ReglaFrescuraContexto · fallback emergente · OverrideGate · pending contractual resolution.</x:v>
      </x:c>
      <x:c r="G7" s="3651" t="str">
        <x:v>Validación VDS</x:v>
      </x:c>
      <x:c r="H7" s="3651" t="str">
        <x:v>Arquitectura soporta contexto contractual PENDIENTE y ReglaInicioEmergente. No fijar 'siempre permitir': VDS debe definir autoridad/condiciones del modo contingencia.</x:v>
      </x:c>
    </x:row>
    <x:row r="8" ht="92" customHeight="1">
      <x:c r="A8" s="1327" t="str">
        <x:v>Q-03</x:v>
      </x:c>
      <x:c r="B8" s="3355" t="str">
        <x:v>OPERACIÓN · RECURSO ADICIONAL</x:v>
      </x:c>
      <x:c r="C8" s="1327" t="str">
        <x:v>Cuando se incorpora un recurso adicional durante un trabajo, ¿qué condición observable hace que deje de ser 'apoyo' y pase a considerarse una ejecución independiente que necesita su propia UnidadEjecución o Parte?</x:v>
      </x:c>
      <x:c r="D8" s="1327" t="str">
        <x:v>Supervisor de campo / Planificación</x:v>
      </x:c>
      <x:c r="E8" s="1327" t="str">
        <x:v>Criterios concretos: tarea propia, operador propio, medición, OT, imputación, ubicación, objetivo, etc. Marcar cuáles realmente definen independencia.</x:v>
      </x:c>
      <x:c r="F8" s="1327" t="str">
        <x:v>Reglas de identidad/corte · nueva UE vs misma UE · nuevo TP-01 vs apoyo.</x:v>
      </x:c>
      <x:c r="G8" s="3652" t="str">
        <x:v>Resuelta por arquitectura</x:v>
      </x:c>
      <x:c r="H8" s="3652" t="str">
        <x:v>Mismo work package = mismo TP-01. Si el recurso apoya la misma UE, se agrega; si ejecuta subtrabajo autónomo, nueva UE. Nuevo TP-01 solo si cambia work package. PTW distinto no corta por sí solo.</x:v>
      </x:c>
    </x:row>
    <x:row r="9" ht="92" customHeight="1">
      <x:c r="A9" s="1327" t="str">
        <x:v>Q-04</x:v>
      </x:c>
      <x:c r="B9" s="3355" t="str">
        <x:v>CERTIFICACIÓN · ENMIENDA POSTERIOR</x:v>
      </x:c>
      <x:c r="C9" s="1327" t="str">
        <x:v>Si se descubre un error real del Parte después de que la Certificación ya fue aceptada por el cliente, ¿qué ocurre hoy/debería ocurrir? ¿Se reabre la certificación, se emite una reversión/corrección comercial, o depende de si ya fue facturado?</x:v>
      </x:c>
      <x:c r="D9" s="1327" t="str">
        <x:v>Certificaciones + Facturación/Administración</x:v>
      </x:c>
      <x:c r="E9" s="1327" t="str">
        <x:v>Flujo para: A) certificado no facturado y B) ya facturado. Indicar quién autoriza.</x:v>
      </x:c>
      <x:c r="F9" s="1327" t="str">
        <x:v>Lineage UnidadComercial · estado requiere_recalculo · reapertura/reversión · Ajuste vs EnmiendaOperativa.</x:v>
      </x:c>
      <x:c r="G9" s="3651" t="str">
        <x:v>Validación VDS</x:v>
      </x:c>
      <x:c r="H9" s="3651" t="str">
        <x:v>Patrón fijo: EnmiendaOperativa + lineage + supersession de UC; original nunca se borra. VDS/Administración debe definir flujo cuando ya fue aceptado/facturado.</x:v>
      </x:c>
    </x:row>
    <x:row r="10" ht="92" customHeight="1">
      <x:c r="A10" s="1327" t="str">
        <x:v>Q-05</x:v>
      </x:c>
      <x:c r="B10" s="3356" t="str">
        <x:v>Habilita · ALCANCE</x:v>
      </x:c>
      <x:c r="C10" s="1327" t="str">
        <x:v>¿Qué tipos de eventos deben registrarse en el módulo Habilita? Marcar los que realmente deben entrar: incidente ambiental, lesión/enfermedad, near miss, high potential, condición insegura, acto inseguro, evento vehicular, process safety u otros.</x:v>
      </x:c>
      <x:c r="D10" s="1327" t="str">
        <x:v>Habilita</x:v>
      </x:c>
      <x:c r="E10" s="1327" t="str">
        <x:v>Lista cerrada inicial + categorías que NO quieren registrar en este sistema.</x:v>
      </x:c>
      <x:c r="F10" s="1327" t="str">
        <x:v>TipoEventoHabilita · extensiones específicas · alcance de HABILITA-01.</x:v>
      </x:c>
      <x:c r="G10" s="3652" t="str">
        <x:v>Resuelta por arquitectura</x:v>
      </x:c>
      <x:c r="H10" s="3652" t="str">
        <x:v>Congelar EventoHabilita core común + extensiones especializadas. Taxonomía concreta sigue configurable por Habilita.</x:v>
      </x:c>
    </x:row>
    <x:row r="11" ht="92" customHeight="1">
      <x:c r="A11" s="1327" t="str">
        <x:v>Q-06</x:v>
      </x:c>
      <x:c r="B11" s="3356" t="str">
        <x:v>Habilita · ESCALAMIENTO</x:v>
      </x:c>
      <x:c r="C11" s="1327" t="str">
        <x:v>¿Qué combinación de TIPO DE EVENTO + SEVERIDAD REAL + SEVERIDAD POTENCIAL obliga a: a) suspender el trabajo, b) suspender/revisar PTW, c) abrir investigación formal/CasoHabilita?</x:v>
      </x:c>
      <x:c r="D11" s="1327" t="str">
        <x:v>Habilita + Operaciones</x:v>
      </x:c>
      <x:c r="E11" s="1327" t="str">
        <x:v>Matriz/regla simple. Si ya existe matriz Habilita, adjuntarla en vez de describirla de memoria.</x:v>
      </x:c>
      <x:c r="F11" s="1327" t="str">
        <x:v>ReglaEscalamientoHabilita · DirectivaOperativa SUSPENDER · CasoHabilita · PTW.</x:v>
      </x:c>
      <x:c r="G11" s="3651" t="str">
        <x:v>Validación VDS</x:v>
      </x:c>
      <x:c r="H11" s="3651" t="str">
        <x:v>Congelar motor ReglaEscalamientoHabilita + EvaluacionEscalamientoHabilita. No fijar RAM 5x5 ni umbrales externos; VDS debe aportar matriz/acciones reales.</x:v>
      </x:c>
    </x:row>
    <x:row r="12" ht="92" customHeight="1">
      <x:c r="A12" s="1327" t="str">
        <x:v>Q-07</x:v>
      </x:c>
      <x:c r="B12" s="3356" t="str">
        <x:v>Habilita · FLASH REPORT</x:v>
      </x:c>
      <x:c r="C12" s="1327" t="str">
        <x:v>En los primeros minutos después de un evento, ¿qué datos son realmente obligatorios que cargue la persona en campo y cuáles pueden completar Habilita/supervisión después?</x:v>
      </x:c>
      <x:c r="D12" s="1327" t="str">
        <x:v>Habilita + Supervisores de campo</x:v>
      </x:c>
      <x:c r="E12" s="1327" t="str">
        <x:v>Separar OBLIGATORIO AHORA vs PUEDE ESPERAR. Evaluar: hora, ubicación, categoría, descripción, personas, recursos, fotos, cantidad estimada, acción inmediata, severidad, causa raíz.</x:v>
      </x:c>
      <x:c r="F12" s="1327" t="str">
        <x:v>UX &lt;2 min · payload inicial EventoHabilita · workflow de triage.</x:v>
      </x:c>
      <x:c r="G12" s="3652" t="str">
        <x:v>Resuelta por arquitectura</x:v>
      </x:c>
      <x:c r="H12" s="3652" t="str">
        <x:v>Flash Report mínimo: autoderivar contexto; confirmar ocurrido_at/ubicación; input humano: categoría inicial + descripción + situación controlada; evidencia opcional. Triage avanzado después.</x:v>
      </x:c>
    </x:row>
    <x:row r="13" ht="92" customHeight="1">
      <x:c r="A13" s="1327" t="str">
        <x:v>Q-08</x:v>
      </x:c>
      <x:c r="B13" s="3356" t="str">
        <x:v>Habilita · NOTIFICACIONES</x:v>
      </x:c>
      <x:c r="C13" s="1327" t="str">
        <x:v>¿Qué eventos requieren notificación fuera del equipo operativo (cliente, operadora, autoridad, gerencia u otros) y qué determina el plazo/responsable?</x:v>
      </x:c>
      <x:c r="D13" s="1327" t="str">
        <x:v>Habilita + Legal/Administración si aplica</x:v>
      </x:c>
      <x:c r="E13" s="1327" t="str">
        <x:v>Regla o matriz existente; destinatario + trigger + plazo + responsable. No hace falta diseñar mensajes.</x:v>
      </x:c>
      <x:c r="F13" s="1327" t="str">
        <x:v>ReglaEscalamientoHabilita · NotificacionHabilita · SLA/alertas.</x:v>
      </x:c>
      <x:c r="G13" s="3652" t="str">
        <x:v>Resuelta por arquitectura</x:v>
      </x:c>
      <x:c r="H13" s="3652" t="str">
        <x:v>Congelar NotificacionHabilita con destinatario/rol, trigger, deadline, responsable, estado y evidencia. Canales/colas/PubSub quedan implementación; reglas/plazos siguen configuración.</x:v>
      </x:c>
    </x:row>
    <x:row r="14" ht="92" customHeight="1">
      <x:c r="A14" s="1327" t="str">
        <x:v>Q-09</x:v>
      </x:c>
      <x:c r="B14" s="3356" t="str">
        <x:v>Habilita · CIERRE</x:v>
      </x:c>
      <x:c r="C14" s="1327" t="str">
        <x:v>¿Qué debe estar cumplido para cerrar formalmente un CasoHabilita? ¿Alcanza con terminar la investigación y definir acciones, o las acciones deben estar completadas/verificadas antes del cierre?</x:v>
      </x:c>
      <x:c r="D14" s="1327" t="str">
        <x:v>Habilita</x:v>
      </x:c>
      <x:c r="E14" s="1327" t="str">
        <x:v>Condiciones de cierre + excepciones si existen.</x:v>
      </x:c>
      <x:c r="F14" s="1327" t="str">
        <x:v>Máquina de estados CasoHabilita · AccionCorrectivaHabilita · gate de cierre.</x:v>
      </x:c>
      <x:c r="G14" s="3650" t="str">
        <x:v>Resuelta estructura / falta política</x:v>
      </x:c>
      <x:c r="H14" s="3650" t="str">
        <x:v>Separar estado_investigacion, estado_caso y estado_accion_correctiva. Default: investigación puede finalizar con acciones abiertas; Habilita debe definir gate de CERRADO formal.</x:v>
      </x:c>
    </x:row>
    <x:row r="15">
      <x:c r="A15" s="1277"/>
      <x:c r="B15" s="1277"/>
      <x:c r="C15" s="1277"/>
      <x:c r="D15" s="1277"/>
      <x:c r="E15" s="1277"/>
      <x:c r="F15" s="1277"/>
      <x:c r="G15" s="1277"/>
      <x:c r="H15" s="1277"/>
    </x:row>
    <x:row r="16">
      <x:c r="A16" s="1277"/>
      <x:c r="B16" s="1277"/>
      <x:c r="C16" s="1277"/>
      <x:c r="D16" s="1277"/>
      <x:c r="E16" s="1277"/>
      <x:c r="F16" s="1277"/>
      <x:c r="G16" s="1277"/>
      <x:c r="H16" s="1277"/>
    </x:row>
    <x:row r="17">
      <x:c r="A17" s="3361" t="str">
        <x:v>REGLAS PARA RESPONDER</x:v>
      </x:c>
      <x:c r="B17" s="3361"/>
      <x:c r="C17" s="3361"/>
      <x:c r="D17" s="3361"/>
      <x:c r="E17" s="3361"/>
      <x:c r="F17" s="3361"/>
      <x:c r="G17" s="3361"/>
      <x:c r="H17" s="3361"/>
    </x:row>
    <x:row r="18">
      <x:c r="A18" s="3358" t="str">
        <x:v>1) Dar ejemplos reales cuando una regla dependa del contexto.
2) Si la respuesta es 'depende', decir de QUÉ depende: cliente, servicio, riesgo, contrato, PTW, rol, etc.
3) No describir el formulario actual salvo que esa restricción sea realmente operativa/normativa.
4) Si existe un procedimiento, matriz o instructivo oficial, adjuntarlo: vale más que una respuesta de memoria.
5) No hace falta definir campos, pantallas ni tecnología; eso lo resuelve el equipo de arquitectura.</x:v>
      </x:c>
      <x:c r="B18" s="3358"/>
      <x:c r="C18" s="3358"/>
      <x:c r="D18" s="3358"/>
      <x:c r="E18" s="3358"/>
      <x:c r="F18" s="3358"/>
      <x:c r="G18" s="3358"/>
      <x:c r="H18" s="3358"/>
    </x:row>
    <x:row r="19">
      <x:c r="A19" s="3358"/>
      <x:c r="B19" s="3358"/>
      <x:c r="C19" s="3358"/>
      <x:c r="D19" s="3358"/>
      <x:c r="E19" s="3358"/>
      <x:c r="F19" s="3358"/>
      <x:c r="G19" s="3358"/>
      <x:c r="H19" s="3358"/>
    </x:row>
    <x:row r="20">
      <x:c r="A20" s="3358"/>
      <x:c r="B20" s="3358"/>
      <x:c r="C20" s="3358"/>
      <x:c r="D20" s="3358"/>
      <x:c r="E20" s="3358"/>
      <x:c r="F20" s="3358"/>
      <x:c r="G20" s="3358"/>
      <x:c r="H20" s="3358"/>
    </x:row>
    <x:row r="21">
      <x:c r="A21" s="3358"/>
      <x:c r="B21" s="3358"/>
      <x:c r="C21" s="3358"/>
      <x:c r="D21" s="3358"/>
      <x:c r="E21" s="3358"/>
      <x:c r="F21" s="3358"/>
      <x:c r="G21" s="3358"/>
      <x:c r="H21" s="3358"/>
    </x:row>
    <x:row r="22">
      <x:c r="A22" s="3358"/>
      <x:c r="B22" s="3358"/>
      <x:c r="C22" s="3358"/>
      <x:c r="D22" s="3358"/>
      <x:c r="E22" s="3358"/>
      <x:c r="F22" s="3358"/>
      <x:c r="G22" s="3358"/>
      <x:c r="H22" s="3358"/>
    </x:row>
  </x:sheetData>
  <x:mergeCells>
    <x:mergeCell ref="A1:H1"/>
    <x:mergeCell ref="A2:H2"/>
    <x:mergeCell ref="A3:H3"/>
    <x:mergeCell ref="A17:H17"/>
    <x:mergeCell ref="A18:H22"/>
  </x:mergeCells>
  <x:dataValidations count="1">
    <x:dataValidation type="list" sqref="G6:G14">
      <x:formula1>"Validación VDS,Resuelta por arquitectura,Resuelta estructura / falta política,Requiere aclaración,No aplica"</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9" hidden="0" customWidth="1"/>
    <x:col min="2" max="2" width="25" hidden="0" customWidth="1"/>
    <x:col min="3" max="3" width="24" hidden="0" customWidth="1"/>
    <x:col min="4" max="4" width="42" hidden="0" customWidth="1"/>
    <x:col min="5" max="5" width="42" hidden="0" customWidth="1"/>
    <x:col min="6" max="6" width="32" hidden="0" customWidth="1"/>
    <x:col min="7" max="7" width="22" hidden="0" customWidth="1"/>
    <x:col min="8" max="8" width="18" hidden="0" customWidth="1"/>
  </x:cols>
  <x:sheetData>
    <x:row r="1">
      <x:c r="A1" s="3364" t="str">
        <x:v>MATRIZ DE IMPACTO · RESPUESTA HUMANA → PATCH DE ARQUITECTURA</x:v>
      </x:c>
      <x:c r="B1" s="3364"/>
      <x:c r="C1" s="3364"/>
      <x:c r="D1" s="3364"/>
      <x:c r="E1" s="3364"/>
      <x:c r="F1" s="3364"/>
      <x:c r="G1" s="3364"/>
      <x:c r="H1" s="3364"/>
    </x:row>
    <x:row r="2">
      <x:c r="A2" s="3352" t="str">
        <x:v>Esta hoja evita reinterpretar respuestas. Cuando llegue cada definición, se aplica el patch indicado y se marca si la decisión puede congelarse en REV E.</x:v>
      </x:c>
      <x:c r="B2" s="3352"/>
      <x:c r="C2" s="3352"/>
      <x:c r="D2" s="3352"/>
      <x:c r="E2" s="3352"/>
      <x:c r="F2" s="3352"/>
      <x:c r="G2" s="3352"/>
      <x:c r="H2" s="3352"/>
    </x:row>
    <x:row r="3">
      <x:c r="A3" s="1277"/>
      <x:c r="B3" s="1277"/>
      <x:c r="C3" s="1277"/>
      <x:c r="D3" s="1277"/>
      <x:c r="E3" s="1277"/>
      <x:c r="F3" s="1277"/>
      <x:c r="G3" s="1277"/>
      <x:c r="H3" s="1277"/>
    </x:row>
    <x:row r="4">
      <x:c r="A4" s="3360" t="str">
        <x:v>ID</x:v>
      </x:c>
      <x:c r="B4" s="3360" t="str">
        <x:v>Decisión</x:v>
      </x:c>
      <x:c r="C4" s="3360" t="str">
        <x:v>Si responden A</x:v>
      </x:c>
      <x:c r="D4" s="3360" t="str">
        <x:v>Si responden B / depende</x:v>
      </x:c>
      <x:c r="E4" s="3360" t="str">
        <x:v>Patch exacto</x:v>
      </x:c>
      <x:c r="F4" s="3360" t="str">
        <x:v>Objeto(s) afectados</x:v>
      </x:c>
      <x:c r="G4" s="3360" t="str">
        <x:v>¿Bloquea REV E?</x:v>
      </x:c>
      <x:c r="H4" s="3360" t="str">
        <x:v>Estado</x:v>
      </x:c>
    </x:row>
    <x:row r="5" ht="84" customHeight="1">
      <x:c r="A5" s="1327" t="str">
        <x:v>Q-01</x:v>
      </x:c>
      <x:c r="B5" s="2987" t="str">
        <x:v>Cambio de turno TP-01</x:v>
      </x:c>
      <x:c r="C5" s="1327" t="str">
        <x:v>DEFAULT: mismo TP-01; EventoHandover cierra/abre intervalos y revalida PTW/documental.</x:v>
      </x:c>
      <x:c r="D5" s="1327" t="str">
        <x:v>Si cliente/servicio exige split: ReglaCorte configurable puede cerrar/abrir Parte sin cambiar el principio de work package.</x:v>
      </x:c>
      <x:c r="E5" s="1327" t="str">
        <x:v>Congelar default de continuidad; mantener excepción configurable. No usar turno como identidad universal.</x:v>
      </x:c>
      <x:c r="F5" s="1327" t="str">
        <x:v>TP-01 · EventoHandover · AsignacionPersonaEjecucion · PTW</x:v>
      </x:c>
      <x:c r="G5" s="1327" t="str">
        <x:v>Sí, política final</x:v>
      </x:c>
      <x:c r="H5" s="3650" t="str">
        <x:v>Estructura resuelta</x:v>
      </x:c>
    </x:row>
    <x:row r="6" ht="84" customHeight="1">
      <x:c r="A6" s="1327" t="str">
        <x:v>Q-02</x:v>
      </x:c>
      <x:c r="B6" s="2987" t="str">
        <x:v>Emergente offline ambiguo</x:v>
      </x:c>
      <x:c r="C6" s="1327" t="str">
        <x:v>BLOQUEAR si ReglaInicioEmergente lo exige o falta un gate duro.</x:v>
      </x:c>
      <x:c r="D6" s="1327" t="str">
        <x:v>PERMITIR_AUTORIZADO: estado_contexto_contractual=PENDIENTE + Override/autoridad + mínimos + reconciliación.</x:v>
      </x:c>
      <x:c r="E6" s="1327" t="str">
        <x:v>Agregar EstadoContextoContractual + ReglaInicioEmergente. No crear CC default.</x:v>
      </x:c>
      <x:c r="F6" s="1327" t="str">
        <x:v>UE · ExecutionContextBundle · OverrideGate · Interface B</x:v>
      </x:c>
      <x:c r="G6" s="1327" t="str">
        <x:v>Sí</x:v>
      </x:c>
      <x:c r="H6" s="3651" t="str">
        <x:v>Validación VDS</x:v>
      </x:c>
    </x:row>
    <x:row r="7" ht="84" customHeight="1">
      <x:c r="A7" s="1327" t="str">
        <x:v>Q-03</x:v>
      </x:c>
      <x:c r="B7" s="2987" t="str">
        <x:v>Recurso adicional independiente</x:v>
      </x:c>
      <x:c r="C7" s="1327" t="str">
        <x:v>Misma UE si solo apoya la misma unidad de trabajo.</x:v>
      </x:c>
      <x:c r="D7" s="1327" t="str">
        <x:v>Nueva UE si realiza subtrabajo autónomo dentro del mismo work package; nuevo TP-01 solo si cambia work package.</x:v>
      </x:c>
      <x:c r="E7" s="1327" t="str">
        <x:v>Congelar criterio de identidad. PTW distinto es señal/gate, NO driver automático de nuevo Parte.</x:v>
      </x:c>
      <x:c r="F7" s="1327" t="str">
        <x:v>UE · TP-01/03 · AsignacionRecursoEjecucion · PTW</x:v>
      </x:c>
      <x:c r="G7" s="1327" t="str">
        <x:v>No</x:v>
      </x:c>
      <x:c r="H7" s="3652" t="str">
        <x:v>Resuelta por arquitectura</x:v>
      </x:c>
    </x:row>
    <x:row r="8" ht="84" customHeight="1">
      <x:c r="A8" s="1327" t="str">
        <x:v>Q-04</x:v>
      </x:c>
      <x:c r="B8" s="2987" t="str">
        <x:v>Enmienda post-certificación</x:v>
      </x:c>
      <x:c r="C8" s="1327" t="str">
        <x:v>Antes de barrera financiera: Enmienda → UC fuente vieja requiere_recalculo → UC nueva supersede anterior.</x:v>
      </x:c>
      <x:c r="D8" s="1327" t="str">
        <x:v>Después de aceptación/factura: conservar historia + supersession/revisión/ajuste o reversión según política administrativa.</x:v>
      </x:c>
      <x:c r="E8" s="1327" t="str">
        <x:v>Agregar supersession UC; no duplicar EnmiendaOperativa/AjusteCertificacion existentes.</x:v>
      </x:c>
      <x:c r="F8" s="1327" t="str">
        <x:v>EnmiendaOperativa · UC lineage · AjusteCertificacion · Factura/Lote</x:v>
      </x:c>
      <x:c r="G8" s="1327" t="str">
        <x:v>Sí</x:v>
      </x:c>
      <x:c r="H8" s="3651" t="str">
        <x:v>Validación VDS</x:v>
      </x:c>
    </x:row>
    <x:row r="9" ht="84" customHeight="1">
      <x:c r="A9" s="1327" t="str">
        <x:v>Q-05</x:v>
      </x:c>
      <x:c r="B9" s="3366" t="str">
        <x:v>Scope Habilita</x:v>
      </x:c>
      <x:c r="C9" s="1327" t="str">
        <x:v>Core EventoHabilita universal: contexto + clasificación inicial + triage.</x:v>
      </x:c>
      <x:c r="D9" s="1327" t="str">
        <x:v>Extensiones especializadas activadas por categoría: ambiental, lesión, vehicular, process safety, etc.</x:v>
      </x:c>
      <x:c r="E9" s="1327" t="str">
        <x:v>Congelar patrón core-extension; catálogo concreto queda configuración Habilita.</x:v>
      </x:c>
      <x:c r="F9" s="1327" t="str">
        <x:v>EventoHabilita · extensiones · catálogos</x:v>
      </x:c>
      <x:c r="G9" s="1327" t="str">
        <x:v>No</x:v>
      </x:c>
      <x:c r="H9" s="3652" t="str">
        <x:v>Resuelta por arquitectura</x:v>
      </x:c>
    </x:row>
    <x:row r="10" ht="84" customHeight="1">
      <x:c r="A10" s="1327" t="str">
        <x:v>Q-06</x:v>
      </x:c>
      <x:c r="B10" s="3366" t="str">
        <x:v>Escalamiento Habilita</x:v>
      </x:c>
      <x:c r="C10" s="1327" t="str">
        <x:v>Motor aplica ReglaEscalamientoHabilita y persiste EvaluacionEscalamientoHabilita.</x:v>
      </x:c>
      <x:c r="D10" s="1327" t="str">
        <x:v>Outputs usan DirectivaOperativa / PTW / CasoHabilita / NotificacionHabilita existentes; no crear DirectivaHabilita duplicada.</x:v>
      </x:c>
      <x:c r="E10" s="1327" t="str">
        <x:v>Congelar estructura; VDS aporta matriz/umbrales/acciones. Rechazar default RAM 5x5 inventado.</x:v>
      </x:c>
      <x:c r="F10" s="1327" t="str">
        <x:v>ReglaEscalamientoHabilita · EvaluacionEscalamientoHabilita · Control/HABILITA Plane</x:v>
      </x:c>
      <x:c r="G10" s="1327" t="str">
        <x:v>Sí</x:v>
      </x:c>
      <x:c r="H10" s="3651" t="str">
        <x:v>Validación VDS</x:v>
      </x:c>
    </x:row>
    <x:row r="11" ht="84" customHeight="1">
      <x:c r="A11" s="1327" t="str">
        <x:v>Q-07</x:v>
      </x:c>
      <x:c r="B11" s="3366" t="str">
        <x:v>Flash report</x:v>
      </x:c>
      <x:c r="C11" s="1327" t="str">
        <x:v>Autoderivar sesión/contexto activo TP-01/02/03/PTW/recursos/ubicación candidata.</x:v>
      </x:c>
      <x:c r="D11" s="1327" t="str">
        <x:v>Usuario confirma ocurrido_at/ubicación y carga categoría inicial + descripción + controlada sí/no; evidencia opcional.</x:v>
      </x:c>
      <x:c r="E11" s="1327" t="str">
        <x:v>Congelar contrato de datos mínimo; severidad/root cause/investigación quedan en triage.</x:v>
      </x:c>
      <x:c r="F11" s="1327" t="str">
        <x:v>EventoHabilita · Habilita Event Bus · UX futuro</x:v>
      </x:c>
      <x:c r="G11" s="1327" t="str">
        <x:v>No</x:v>
      </x:c>
      <x:c r="H11" s="3652" t="str">
        <x:v>Resuelta por arquitectura</x:v>
      </x:c>
    </x:row>
    <x:row r="12" ht="84" customHeight="1">
      <x:c r="A12" s="1327" t="str">
        <x:v>Q-08</x:v>
      </x:c>
      <x:c r="B12" s="3366" t="str">
        <x:v>Notificaciones Habilita</x:v>
      </x:c>
      <x:c r="C12" s="1327" t="str">
        <x:v>Congelar dominio NotificacionHabilita con trigger, destinatario/rol, deadline, responsable, estado y evidencia.</x:v>
      </x:c>
      <x:c r="D12" s="1327" t="str">
        <x:v>Canales, colas, Pub/Sub y automatización concreta son implementación; destinatarios/plazos son configuración.</x:v>
      </x:c>
      <x:c r="E12" s="1327" t="str">
        <x:v>No crear arquitectura tecnológica en REV E.</x:v>
      </x:c>
      <x:c r="F12" s="1327" t="str">
        <x:v>NotificacionHabilita · ReglaEscalamientoHabilita</x:v>
      </x:c>
      <x:c r="G12" s="1327" t="str">
        <x:v>No para core</x:v>
      </x:c>
      <x:c r="H12" s="3652" t="str">
        <x:v>Resuelta por arquitectura</x:v>
      </x:c>
    </x:row>
    <x:row r="13" ht="84" customHeight="1">
      <x:c r="A13" s="1327" t="str">
        <x:v>Q-09</x:v>
      </x:c>
      <x:c r="B13" s="3366" t="str">
        <x:v>Cierre CasoHabilita</x:v>
      </x:c>
      <x:c r="C13" s="1327" t="str">
        <x:v>Separar estado_investigacion, estado_caso y estado_accion_correctiva.</x:v>
      </x:c>
      <x:c r="D13" s="1327" t="str">
        <x:v>Habilita decide si CERRADO requiere acciones asignadas o verificadas; acciones mantienen lifecycle independiente.</x:v>
      </x:c>
      <x:c r="E13" s="1327" t="str">
        <x:v>Congelar separación de lifecycles; gate final de cierre sigue configurable.</x:v>
      </x:c>
      <x:c r="F13" s="1327" t="str">
        <x:v>CasoHabilita · AccionCorrectivaHabilita</x:v>
      </x:c>
      <x:c r="G13" s="1327" t="str">
        <x:v>Sí, política final</x:v>
      </x:c>
      <x:c r="H13" s="3650" t="str">
        <x:v>Estructura resuelta</x:v>
      </x:c>
    </x:row>
    <x:row r="14">
      <x:c r="A14" s="1277"/>
      <x:c r="B14" s="1277"/>
      <x:c r="C14" s="1277"/>
      <x:c r="D14" s="1277"/>
      <x:c r="E14" s="1277"/>
      <x:c r="F14" s="1277"/>
      <x:c r="G14" s="1277"/>
      <x:c r="H14" s="1277"/>
    </x:row>
    <x:row r="15">
      <x:c r="A15" s="1277"/>
      <x:c r="B15" s="1277"/>
      <x:c r="C15" s="1277"/>
      <x:c r="D15" s="1277"/>
      <x:c r="E15" s="1277"/>
      <x:c r="F15" s="1277"/>
      <x:c r="G15" s="1277"/>
      <x:c r="H15" s="1277"/>
    </x:row>
    <x:row r="16">
      <x:c r="A16" s="3361" t="str">
        <x:v>DEFINICIÓN DE 'BLOQUEA REV E'</x:v>
      </x:c>
      <x:c r="B16" s="3361"/>
      <x:c r="C16" s="3361"/>
      <x:c r="D16" s="3361"/>
      <x:c r="E16" s="3361"/>
      <x:c r="F16" s="3361"/>
      <x:c r="G16" s="3361"/>
      <x:c r="H16" s="3361"/>
    </x:row>
    <x:row r="17">
      <x:c r="A17" s="3358" t="str">
        <x:v>Sí = no conviene congelar esa regla/estado antes de recibir la respuesta.
No = la arquitectura base ya es estable; la respuesta solo completa configuración/taxonomía.
REV E puede avanzar con slots contractuales todavía abiertos, pero NO debería esconder decisiones operativas/Habilita críticas detrás de defaults inventados.</x:v>
      </x:c>
      <x:c r="B17" s="3358"/>
      <x:c r="C17" s="3358"/>
      <x:c r="D17" s="3358"/>
      <x:c r="E17" s="3358"/>
      <x:c r="F17" s="3358"/>
      <x:c r="G17" s="3358"/>
      <x:c r="H17" s="3358"/>
    </x:row>
    <x:row r="18">
      <x:c r="A18" s="3358"/>
      <x:c r="B18" s="3358"/>
      <x:c r="C18" s="3358"/>
      <x:c r="D18" s="3358"/>
      <x:c r="E18" s="3358"/>
      <x:c r="F18" s="3358"/>
      <x:c r="G18" s="3358"/>
      <x:c r="H18" s="3358"/>
    </x:row>
    <x:row r="19">
      <x:c r="A19" s="3358"/>
      <x:c r="B19" s="3358"/>
      <x:c r="C19" s="3358"/>
      <x:c r="D19" s="3358"/>
      <x:c r="E19" s="3358"/>
      <x:c r="F19" s="3358"/>
      <x:c r="G19" s="3358"/>
      <x:c r="H19" s="3358"/>
    </x:row>
    <x:row r="20">
      <x:c r="A20" s="3358"/>
      <x:c r="B20" s="3358"/>
      <x:c r="C20" s="3358"/>
      <x:c r="D20" s="3358"/>
      <x:c r="E20" s="3358"/>
      <x:c r="F20" s="3358"/>
      <x:c r="G20" s="3358"/>
      <x:c r="H20" s="3358"/>
    </x:row>
  </x:sheetData>
  <x:mergeCells>
    <x:mergeCell ref="A1:H1"/>
    <x:mergeCell ref="A2:H2"/>
    <x:mergeCell ref="A16:H16"/>
    <x:mergeCell ref="A17:H20"/>
  </x:mergeCells>
  <x:dataValidations count="1">
    <x:dataValidation type="list" sqref="H5:H13">
      <x:formula1>"Resuelta por arquitectura,Estructura resuelta,Validación VDS,Requiere evidencia"</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0" hidden="0" customWidth="1"/>
    <x:col min="2" max="2" width="28" hidden="0" customWidth="1"/>
    <x:col min="3" max="3" width="18" hidden="0" customWidth="1"/>
    <x:col min="4" max="4" width="42" hidden="0" customWidth="1"/>
    <x:col min="5" max="5" width="38" hidden="0" customWidth="1"/>
    <x:col min="6" max="6" width="22" hidden="0" customWidth="1"/>
    <x:col min="7" max="7" width="22" hidden="0" customWidth="1"/>
    <x:col min="8" max="8" width="18" hidden="0" customWidth="1"/>
  </x:cols>
  <x:sheetData>
    <x:row r="1">
      <x:c r="A1" s="3398" t="str">
        <x:v>REV E CANDIDATE v2 · FREEZE MAP FUNCIONAL</x:v>
      </x:c>
      <x:c r="B1" s="3398"/>
      <x:c r="C1" s="3398"/>
      <x:c r="D1" s="3398"/>
      <x:c r="E1" s="3398"/>
      <x:c r="F1" s="3398"/>
      <x:c r="G1" s="3398"/>
      <x:c r="H1" s="3398"/>
    </x:row>
    <x:row r="2">
      <x:c r="A2" s="3391" t="str">
        <x:v>Post-auditoría Gemini: 4 dudas pasan a resueltas por arquitectura; 5 gates humanos/contractuales permanecen abiertos. Candidate v2 congela estructura sin inventar políticas VDS.</x:v>
      </x:c>
      <x:c r="B2" s="3391"/>
      <x:c r="C2" s="3391"/>
      <x:c r="D2" s="3391"/>
      <x:c r="E2" s="3391"/>
      <x:c r="F2" s="3391"/>
      <x:c r="G2" s="3391"/>
      <x:c r="H2" s="3391"/>
    </x:row>
    <x:row r="3">
      <x:c r="A3" s="1277"/>
      <x:c r="B3" s="1277"/>
      <x:c r="C3" s="1277"/>
      <x:c r="D3" s="1277"/>
      <x:c r="E3" s="1277"/>
      <x:c r="F3" s="1277"/>
      <x:c r="G3" s="1277"/>
      <x:c r="H3" s="1277"/>
    </x:row>
    <x:row r="4">
      <x:c r="A4" s="3399" t="str">
        <x:v>ID</x:v>
      </x:c>
      <x:c r="B4" s="3399" t="str">
        <x:v>Componente</x:v>
      </x:c>
      <x:c r="C4" s="3399" t="str">
        <x:v>Clasificación</x:v>
      </x:c>
      <x:c r="D4" s="3399" t="str">
        <x:v>Decisión candidata</x:v>
      </x:c>
      <x:c r="E4" s="3399" t="str">
        <x:v>Qué puede cambiar todavía</x:v>
      </x:c>
      <x:c r="F4" s="3399" t="str">
        <x:v>Gate / evidencia</x:v>
      </x:c>
      <x:c r="G4" s="3399" t="str">
        <x:v>Impacto si cambia</x:v>
      </x:c>
      <x:c r="H4" s="3399" t="str">
        <x:v>Estado</x:v>
      </x:c>
    </x:row>
    <x:row r="5" ht="62" customHeight="1">
      <x:c r="A5" s="1327" t="str">
        <x:v>E-01</x:v>
      </x:c>
      <x:c r="B5" s="1327" t="str">
        <x:v>Separación de dominios</x:v>
      </x:c>
      <x:c r="C5" s="3393" t="str">
        <x:v>FROZEN CORE</x:v>
      </x:c>
      <x:c r="D5" s="1327" t="str">
        <x:v>Planificación = intención; Ejecución = realidad; Certificación/Facturación = aceptación/comercialización.</x:v>
      </x:c>
      <x:c r="E5" s="1327" t="str">
        <x:v>Nada conceptual; solo detalles internos.</x:v>
      </x:c>
      <x:c r="F5" s="1327" t="str">
        <x:v>Stress tests D.4/D.5 + arquitectura D.6</x:v>
      </x:c>
      <x:c r="G5" s="1327" t="str">
        <x:v>Muy alto</x:v>
      </x:c>
      <x:c r="H5" s="1327" t="str">
        <x:v>Candidate Freeze</x:v>
      </x:c>
    </x:row>
    <x:row r="6" ht="62" customHeight="1">
      <x:c r="A6" s="1327" t="str">
        <x:v>E-02</x:v>
      </x:c>
      <x:c r="B6" s="1327" t="str">
        <x:v>Configuration Plane contractual</x:v>
      </x:c>
      <x:c r="C6" s="3393" t="str">
        <x:v>FROZEN CORE</x:v>
      </x:c>
      <x:c r="D6" s="1327" t="str">
        <x:v>Cliente→Contrato→Versión→ContratoServicio gobierna reglas; CentroCosto no es Contrato.</x:v>
      </x:c>
      <x:c r="E6" s="1327" t="str">
        <x:v>Valores/contratos reales, ítems, UM, cadencias.</x:v>
      </x:c>
      <x:c r="F6" s="1327" t="str">
        <x:v>Contratos reales pendientes</x:v>
      </x:c>
      <x:c r="G6" s="1327" t="str">
        <x:v>Alto</x:v>
      </x:c>
      <x:c r="H6" s="1327" t="str">
        <x:v>Candidate Freeze</x:v>
      </x:c>
    </x:row>
    <x:row r="7" ht="62" customHeight="1">
      <x:c r="A7" s="1327" t="str">
        <x:v>E-03</x:v>
      </x:c>
      <x:c r="B7" s="1327" t="str">
        <x:v>Catálogo de ejecución</x:v>
      </x:c>
      <x:c r="C7" s="3393" t="str">
        <x:v>FROZEN CORE</x:v>
      </x:c>
      <x:c r="D7" s="1327" t="str">
        <x:v>TP-01 Intervención · TP-02 Transporte · TP-03 Reporte Cuadrilla.</x:v>
      </x:c>
      <x:c r="E7" s="1327" t="str">
        <x:v>Nombres finales y reglas particulares por servicio/cliente.</x:v>
      </x:c>
      <x:c r="F7" s="1327" t="str">
        <x:v>Q-01/Q-03 + evidencia futura</x:v>
      </x:c>
      <x:c r="G7" s="1327" t="str">
        <x:v>Alto</x:v>
      </x:c>
      <x:c r="H7" s="1327" t="str">
        <x:v>Candidate Freeze</x:v>
      </x:c>
    </x:row>
    <x:row r="8" ht="62" customHeight="1">
      <x:c r="A8" s="1327" t="str">
        <x:v>E-04</x:v>
      </x:c>
      <x:c r="B8" s="1327" t="str">
        <x:v>Habilita transversal</x:v>
      </x:c>
      <x:c r="C8" s="3393" t="str">
        <x:v>FROZEN CORE</x:v>
      </x:c>
      <x:c r="D8" s="1327" t="str">
        <x:v>EventoHabilita/CasoHabilita no es TipoParte; puede vincularse a cualquier ejecución o existir standalone.</x:v>
      </x:c>
      <x:c r="E8" s="1327" t="str">
        <x:v>Taxonomía, severidad, escalamiento y cierre.</x:v>
      </x:c>
      <x:c r="F8" s="1327" t="str">
        <x:v>Q-05..Q-09</x:v>
      </x:c>
      <x:c r="G8" s="1327" t="str">
        <x:v>Alto</x:v>
      </x:c>
      <x:c r="H8" s="1327" t="str">
        <x:v>Candidate Freeze</x:v>
      </x:c>
    </x:row>
    <x:row r="9" ht="62" customHeight="1">
      <x:c r="A9" s="1327" t="str">
        <x:v>E-05</x:v>
      </x:c>
      <x:c r="B9" s="1327" t="str">
        <x:v>Parte / UnidadEjecución</x:v>
      </x:c>
      <x:c r="C9" s="3393" t="str">
        <x:v>FROZEN CORE</x:v>
      </x:c>
      <x:c r="D9" s="1327" t="str">
        <x:v>Parte contiene 1..N UE según TipoParte; UE es grano operativo distinguible.</x:v>
      </x:c>
      <x:c r="E9" s="1327" t="str">
        <x:v>Criterios finos de independencia por servicio.</x:v>
      </x:c>
      <x:c r="F9" s="1327" t="str">
        <x:v>Q-03 resuelta arquitectura; reglas finas por servicio</x:v>
      </x:c>
      <x:c r="G9" s="1327" t="str">
        <x:v>Alto</x:v>
      </x:c>
      <x:c r="H9" s="1327" t="str">
        <x:v>Candidate Freeze</x:v>
      </x:c>
    </x:row>
    <x:row r="10" ht="62" customHeight="1">
      <x:c r="A10" s="1327" t="str">
        <x:v>E-06</x:v>
      </x:c>
      <x:c r="B10" s="1327" t="str">
        <x:v>Interface A</x:v>
      </x:c>
      <x:c r="C10" s="3393" t="str">
        <x:v>FROZEN CORE</x:v>
      </x:c>
      <x:c r="D10" s="1327" t="str">
        <x:v>Planificación no crea Parte; entrega PlanificacionVersion aprobada + contexto; Ejecución revalida.</x:v>
      </x:c>
      <x:c r="E10" s="1327" t="str">
        <x:v>Payload exacto por servicio y política emergente/offline.</x:v>
      </x:c>
      <x:c r="F10" s="1327" t="str">
        <x:v>Q-02 + contratos</x:v>
      </x:c>
      <x:c r="G10" s="1327" t="str">
        <x:v>Alto</x:v>
      </x:c>
      <x:c r="H10" s="1327" t="str">
        <x:v>Candidate Freeze</x:v>
      </x:c>
    </x:row>
    <x:row r="11" ht="62" customHeight="1">
      <x:c r="A11" s="1327" t="str">
        <x:v>E-07</x:v>
      </x:c>
      <x:c r="B11" s="1327" t="str">
        <x:v>Motor de ruteo</x:v>
      </x:c>
      <x:c r="C11" s="3393" t="str">
        <x:v>FROZEN CORE</x:v>
      </x:c>
      <x:c r="D11" s="1327" t="str">
        <x:v>TipoParte se deriva; usuario no selecciona formulario libre.</x:v>
      </x:c>
      <x:c r="E11" s="1327" t="str">
        <x:v>Reglas/ruleset concretos.</x:v>
      </x:c>
      <x:c r="F11" s="1327" t="str">
        <x:v>Configuración futura</x:v>
      </x:c>
      <x:c r="G11" s="1327" t="str">
        <x:v>Medio</x:v>
      </x:c>
      <x:c r="H11" s="1327" t="str">
        <x:v>Candidate Freeze</x:v>
      </x:c>
    </x:row>
    <x:row r="12" ht="62" customHeight="1">
      <x:c r="A12" s="1327" t="str">
        <x:v>E-08</x:v>
      </x:c>
      <x:c r="B12" s="1327" t="str">
        <x:v>Readiness temporal</x:v>
      </x:c>
      <x:c r="C12" s="3393" t="str">
        <x:v>FROZEN CORE</x:v>
      </x:c>
      <x:c r="D12" s="1327" t="str">
        <x:v>READY es evaluación temporal invalidable, no estado eterno.</x:v>
      </x:c>
      <x:c r="E12" s="1327" t="str">
        <x:v>TTL/invalidadores específicos.</x:v>
      </x:c>
      <x:c r="F12" s="1327" t="str">
        <x:v>Q-02 + V69</x:v>
      </x:c>
      <x:c r="G12" s="1327" t="str">
        <x:v>Medio</x:v>
      </x:c>
      <x:c r="H12" s="1327" t="str">
        <x:v>Candidate Freeze</x:v>
      </x:c>
    </x:row>
    <x:row r="13" ht="62" customHeight="1">
      <x:c r="A13" s="1327" t="str">
        <x:v>E-09</x:v>
      </x:c>
      <x:c r="B13" s="1327" t="str">
        <x:v>Control Plane</x:v>
      </x:c>
      <x:c r="C13" s="3393" t="str">
        <x:v>FROZEN CORE</x:v>
      </x:c>
      <x:c r="D13" s="1327" t="str">
        <x:v>Cambios post-despacho viajan como DirectivaOperativa; no reescriben snapshot.</x:v>
      </x:c>
      <x:c r="E13" s="1327" t="str">
        <x:v>Semántica exacta ACK/bloqueo por tipo.</x:v>
      </x:c>
      <x:c r="F13" s="1327" t="str">
        <x:v>Q-02/Q-06</x:v>
      </x:c>
      <x:c r="G13" s="1327" t="str">
        <x:v>Medio</x:v>
      </x:c>
      <x:c r="H13" s="1327" t="str">
        <x:v>Candidate Freeze</x:v>
      </x:c>
    </x:row>
    <x:row r="14" ht="62" customHeight="1">
      <x:c r="A14" s="1327" t="str">
        <x:v>E-10</x:v>
      </x:c>
      <x:c r="B14" s="1327" t="str">
        <x:v>Habilita PREVENT</x:v>
      </x:c>
      <x:c r="C14" s="3393" t="str">
        <x:v>FROZEN CORE</x:v>
      </x:c>
      <x:c r="D14" s="1327" t="str">
        <x:v>Control documental + PTW/Start Work separados del Parte y del Habilita reactivo.</x:v>
      </x:c>
      <x:c r="E14" s="1327" t="str">
        <x:v>Reglas exactas, handover, overrides.</x:v>
      </x:c>
      <x:c r="F14" s="1327" t="str">
        <x:v>Q-01/Q-06 + reglas Habilita</x:v>
      </x:c>
      <x:c r="G14" s="1327" t="str">
        <x:v>Alto</x:v>
      </x:c>
      <x:c r="H14" s="1327" t="str">
        <x:v>Candidate Freeze</x:v>
      </x:c>
    </x:row>
    <x:row r="15" ht="62" customHeight="1">
      <x:c r="A15" s="1327" t="str">
        <x:v>E-11</x:v>
      </x:c>
      <x:c r="B15" s="1327" t="str">
        <x:v>Correcciones</x:v>
      </x:c>
      <x:c r="C15" s="3393" t="str">
        <x:v>FROZEN CORE</x:v>
      </x:c>
      <x:c r="D15" s="1327" t="str">
        <x:v>EnmiendaOperativa corrige error real; AjusteCertificacion corrige verdad comercial.</x:v>
      </x:c>
      <x:c r="E15" s="1327" t="str">
        <x:v>Flujo posterior a certificación/factura.</x:v>
      </x:c>
      <x:c r="F15" s="1327" t="str">
        <x:v>Q-04</x:v>
      </x:c>
      <x:c r="G15" s="1327" t="str">
        <x:v>Alto</x:v>
      </x:c>
      <x:c r="H15" s="1327" t="str">
        <x:v>Candidate Freeze</x:v>
      </x:c>
    </x:row>
    <x:row r="16" ht="62" customHeight="1">
      <x:c r="A16" s="1327" t="str">
        <x:v>E-12</x:v>
      </x:c>
      <x:c r="B16" s="1327" t="str">
        <x:v>Temporal continuity</x:v>
      </x:c>
      <x:c r="C16" s="3393" t="str">
        <x:v>FROZEN CORE</x:v>
      </x:c>
      <x:c r="D16" s="1327" t="str">
        <x:v>Personas/recursos por intervalos + TransicionOperativa + conflictos temporales.</x:v>
      </x:c>
      <x:c r="E16" s="1327" t="str">
        <x:v>Reglas exclusividad y tratamiento comercial del tiempo.</x:v>
      </x:c>
      <x:c r="F16" s="1327" t="str">
        <x:v>V67/V68/V73 + contratos</x:v>
      </x:c>
      <x:c r="G16" s="1327" t="str">
        <x:v>Medio</x:v>
      </x:c>
      <x:c r="H16" s="1327" t="str">
        <x:v>Candidate Freeze</x:v>
      </x:c>
    </x:row>
    <x:row r="17" ht="62" customHeight="1">
      <x:c r="A17" s="1327" t="str">
        <x:v>E-13</x:v>
      </x:c>
      <x:c r="B17" s="1327" t="str">
        <x:v>Interface B</x:v>
      </x:c>
      <x:c r="C17" s="3393" t="str">
        <x:v>FROZEN CORE</x:v>
      </x:c>
      <x:c r="D17" s="1327" t="str">
        <x:v>Certificación consume verdad operacional estructurada + lineage; no reconstruye ni edita campo.</x:v>
      </x:c>
      <x:c r="E17" s="1327" t="str">
        <x:v>Payload exacto y campos por contrato.</x:v>
      </x:c>
      <x:c r="F17" s="1327" t="str">
        <x:v>Contratos reales</x:v>
      </x:c>
      <x:c r="G17" s="1327" t="str">
        <x:v>Alto</x:v>
      </x:c>
      <x:c r="H17" s="1327" t="str">
        <x:v>Candidate Freeze</x:v>
      </x:c>
    </x:row>
    <x:row r="18" ht="62" customHeight="1">
      <x:c r="A18" s="1327" t="str">
        <x:v>E-14</x:v>
      </x:c>
      <x:c r="B18" s="1327" t="str">
        <x:v>UnidadComercial</x:v>
      </x:c>
      <x:c r="C18" s="3393" t="str">
        <x:v>FROZEN CORE</x:v>
      </x:c>
      <x:c r="D18" s="1327" t="str">
        <x:v>Parte ≠ UC. El grano comercial es configurable y puede consolidar N ejecuciones.</x:v>
      </x:c>
      <x:c r="E18" s="1327" t="str">
        <x:v>ReglaGrano exacta por contrato.</x:v>
      </x:c>
      <x:c r="F18" s="1327" t="str">
        <x:v>Contratos reales + Q-04</x:v>
      </x:c>
      <x:c r="G18" s="1327" t="str">
        <x:v>Alto</x:v>
      </x:c>
      <x:c r="H18" s="1327" t="str">
        <x:v>Candidate Freeze</x:v>
      </x:c>
    </x:row>
    <x:row r="19" ht="62" customHeight="1">
      <x:c r="A19" s="1327" t="str">
        <x:v>E-15</x:v>
      </x:c>
      <x:c r="B19" s="1327" t="str">
        <x:v>PaqueteCertificacion</x:v>
      </x:c>
      <x:c r="C19" s="3393" t="str">
        <x:v>FROZEN CORE</x:v>
      </x:c>
      <x:c r="D19" s="1327" t="str">
        <x:v>Agrupa UC según regla contractual; puede cruzar múltiples Partes.</x:v>
      </x:c>
      <x:c r="E19" s="1327" t="str">
        <x:v>Parcialidad y claves exactas.</x:v>
      </x:c>
      <x:c r="F19" s="1327" t="str">
        <x:v>Contratos reales + Q-04</x:v>
      </x:c>
      <x:c r="G19" s="1327" t="str">
        <x:v>Medio</x:v>
      </x:c>
      <x:c r="H19" s="1327" t="str">
        <x:v>Candidate Freeze</x:v>
      </x:c>
    </x:row>
    <x:row r="20" ht="62" customHeight="1">
      <x:c r="A20" s="1327" t="str">
        <x:v>E-16</x:v>
      </x:c>
      <x:c r="B20" s="1327" t="str">
        <x:v>Trace Bus / Lineage</x:v>
      </x:c>
      <x:c r="C20" s="3393" t="str">
        <x:v>FROZEN CORE</x:v>
      </x:c>
      <x:c r="D20" s="1327" t="str">
        <x:v>Toda verdad conserva versión/actor/origen; derivaciones comerciales conocen fuente operativa.</x:v>
      </x:c>
      <x:c r="E20" s="1327" t="str">
        <x:v>Representación física.</x:v>
      </x:c>
      <x:c r="F20" s="1327" t="str">
        <x:v>Decisión técnica futura</x:v>
      </x:c>
      <x:c r="G20" s="1327" t="str">
        <x:v>Muy alto</x:v>
      </x:c>
      <x:c r="H20" s="1327" t="str">
        <x:v>Candidate Freeze</x:v>
      </x:c>
    </x:row>
    <x:row r="21" ht="68" customHeight="1">
      <x:c r="A21" s="1327" t="str">
        <x:v>E-17</x:v>
      </x:c>
      <x:c r="B21" s="1327" t="str">
        <x:v>Reglas de corte</x:v>
      </x:c>
      <x:c r="C21" s="3650" t="str">
        <x:v>CONFIGURABLE</x:v>
      </x:c>
      <x:c r="D21" s="1327" t="str">
        <x:v>No hay cortes universales; cada TipoParte/ContratoServicio define reglas. Default TP-01: continuidad entre turnos con Handover.</x:v>
      </x:c>
      <x:c r="E21" s="1327" t="str">
        <x:v>Excepciones por servicio/cliente/turno/recurso.</x:v>
      </x:c>
      <x:c r="F21" s="1327" t="str">
        <x:v>Q-01 + contratos</x:v>
      </x:c>
      <x:c r="G21" s="1327" t="str">
        <x:v>Alto</x:v>
      </x:c>
      <x:c r="H21" s="1327" t="str">
        <x:v>No freeze valores</x:v>
      </x:c>
    </x:row>
    <x:row r="22" ht="68" customHeight="1">
      <x:c r="A22" s="1327" t="str">
        <x:v>E-18</x:v>
      </x:c>
      <x:c r="B22" s="1327" t="str">
        <x:v>Trabajo emergente/offline</x:v>
      </x:c>
      <x:c r="C22" s="3651" t="str">
        <x:v>PENDIENTE VALIDACIÓN</x:v>
      </x:c>
      <x:c r="D22" s="1327" t="str">
        <x:v>Existe estructura: estado_contexto_contractual + ReglaInicioEmergente + OverrideGate/Trace. Falta política VDS.</x:v>
      </x:c>
      <x:c r="E22" s="1327" t="str">
        <x:v>Bloquear vs permitir autorizado + autoridad + mínimos.</x:v>
      </x:c>
      <x:c r="F22" s="1327" t="str">
        <x:v>Q-02</x:v>
      </x:c>
      <x:c r="G22" s="1327" t="str">
        <x:v>Alto</x:v>
      </x:c>
      <x:c r="H22" s="1327" t="str">
        <x:v>Bloquea freeze final</x:v>
      </x:c>
    </x:row>
    <x:row r="23" ht="68" customHeight="1">
      <x:c r="A23" s="1327" t="str">
        <x:v>E-19</x:v>
      </x:c>
      <x:c r="B23" s="1327" t="str">
        <x:v>Cambio de turno TP-01</x:v>
      </x:c>
      <x:c r="C23" s="3651" t="str">
        <x:v>PENDIENTE VALIDACIÓN</x:v>
      </x:c>
      <x:c r="D23" s="1327" t="str">
        <x:v>Default arquitectónico: mismo TP-01 + EventoHandover + intervalos. Split solo por ReglaCorte validada.</x:v>
      </x:c>
      <x:c r="E23" s="1327" t="str">
        <x:v>Excepciones por servicio/cliente/PTW.</x:v>
      </x:c>
      <x:c r="F23" s="1327" t="str">
        <x:v>Q-01</x:v>
      </x:c>
      <x:c r="G23" s="1327" t="str">
        <x:v>Alto</x:v>
      </x:c>
      <x:c r="H23" s="1327" t="str">
        <x:v>Bloquea freeze final</x:v>
      </x:c>
    </x:row>
    <x:row r="24" ht="68" customHeight="1">
      <x:c r="A24" s="1327" t="str">
        <x:v>E-20</x:v>
      </x:c>
      <x:c r="B24" s="1327" t="str">
        <x:v>Recurso adicional independiente</x:v>
      </x:c>
      <x:c r="C24" s="3652" t="str">
        <x:v>FROZEN CORE</x:v>
      </x:c>
      <x:c r="D24" s="1327" t="str">
        <x:v>Mismo work package: apoyo en misma UE o nueva UE si subtrabajo autónomo. Nuevo TP-01 solo si cambia work package. PTW distinto no basta.</x:v>
      </x:c>
      <x:c r="E24" s="1327" t="str">
        <x:v>Catálogo fino de 'subtrabajo autónomo' por servicio.</x:v>
      </x:c>
      <x:c r="F24" s="1327" t="str">
        <x:v>Configuración futura</x:v>
      </x:c>
      <x:c r="G24" s="1327" t="str">
        <x:v>Medio</x:v>
      </x:c>
      <x:c r="H24" s="1327" t="str">
        <x:v>Candidate Freeze</x:v>
      </x:c>
    </x:row>
    <x:row r="25" ht="68" customHeight="1">
      <x:c r="A25" s="1327" t="str">
        <x:v>E-21</x:v>
      </x:c>
      <x:c r="B25" s="1327" t="str">
        <x:v>Enmienda post-certificación</x:v>
      </x:c>
      <x:c r="C25" s="3651" t="str">
        <x:v>PENDIENTE VALIDACIÓN</x:v>
      </x:c>
      <x:c r="D25" s="1327" t="str">
        <x:v>Lineage + supersession ya resuelven estructura. Falta política tras aceptación/factura.</x:v>
      </x:c>
      <x:c r="E25" s="1327" t="str">
        <x:v>Reabrir/re-certificar vs reversión/ajuste downstream.</x:v>
      </x:c>
      <x:c r="F25" s="1327" t="str">
        <x:v>Q-04</x:v>
      </x:c>
      <x:c r="G25" s="1327" t="str">
        <x:v>Alto</x:v>
      </x:c>
      <x:c r="H25" s="1327" t="str">
        <x:v>Bloquea freeze final</x:v>
      </x:c>
    </x:row>
    <x:row r="26" ht="68" customHeight="1">
      <x:c r="A26" s="1327" t="str">
        <x:v>E-22</x:v>
      </x:c>
      <x:c r="B26" s="1327" t="str">
        <x:v>Habilita Core + Flash Report + Notificaciones</x:v>
      </x:c>
      <x:c r="C26" s="3652" t="str">
        <x:v>FROZEN CORE</x:v>
      </x:c>
      <x:c r="D26" s="1327" t="str">
        <x:v>Core+extensiones; Flash Report mínimo contextual; NotificacionHabilita funcional desacoplada de tecnología.</x:v>
      </x:c>
      <x:c r="E26" s="1327" t="str">
        <x:v>Taxonomía concreta, destinatarios/plazos, excepciones de captura.</x:v>
      </x:c>
      <x:c r="F26" s="1327" t="str">
        <x:v>Configuración Habilita / contratos</x:v>
      </x:c>
      <x:c r="G26" s="1327" t="str">
        <x:v>Medio</x:v>
      </x:c>
      <x:c r="H26" s="1327" t="str">
        <x:v>Candidate Freeze</x:v>
      </x:c>
    </x:row>
    <x:row r="27" ht="68" customHeight="1">
      <x:c r="A27" s="1327" t="str">
        <x:v>E-23</x:v>
      </x:c>
      <x:c r="B27" s="1327" t="str">
        <x:v>Habilita escalamiento / cierre</x:v>
      </x:c>
      <x:c r="C27" s="3651" t="str">
        <x:v>PENDIENTE VALIDACIÓN</x:v>
      </x:c>
      <x:c r="D27" s="1327" t="str">
        <x:v>ReglaEscalamiento + EvaluacionEscalamientoHabilita y lifecycles separados están definidos. Falta matriz/gate VDS.</x:v>
      </x:c>
      <x:c r="E27" s="1327" t="str">
        <x:v>Matriz/umbrales/acciones y condición de CERRADO CasoHabilita.</x:v>
      </x:c>
      <x:c r="F27" s="1327" t="str">
        <x:v>Q-06/Q-09</x:v>
      </x:c>
      <x:c r="G27" s="1327" t="str">
        <x:v>Alto</x:v>
      </x:c>
      <x:c r="H27" s="1327" t="str">
        <x:v>Bloquea módulo Habilita final</x:v>
      </x:c>
    </x:row>
    <x:row r="28" ht="68" customHeight="1">
      <x:c r="A28" s="1327" t="str">
        <x:v>E-24</x:v>
      </x:c>
      <x:c r="B28" s="1327" t="str">
        <x:v>Valores contractuales</x:v>
      </x:c>
      <x:c r="C28" s="3651" t="str">
        <x:v>PENDIENTE EVIDENCIA</x:v>
      </x:c>
      <x:c r="D28" s="1327" t="str">
        <x:v>Estructura de reglas está lista; no inventar contenido.</x:v>
      </x:c>
      <x:c r="E28" s="1327" t="str">
        <x:v>Ítems, UM, medición, tiempos, agrupaciones, facturación.</x:v>
      </x:c>
      <x:c r="F28" s="1327" t="str">
        <x:v>Contratos reales</x:v>
      </x:c>
      <x:c r="G28" s="1327" t="str">
        <x:v>Muy alto</x:v>
      </x:c>
      <x:c r="H28" s="1327" t="str">
        <x:v>Bloquea reglas comerciales finales</x:v>
      </x:c>
    </x:row>
    <x:row r="29" ht="68" customHeight="1">
      <x:c r="A29" s="1327" t="str">
        <x:v>E-25</x:v>
      </x:c>
      <x:c r="B29" s="1327" t="str">
        <x:v>Base de datos física / APIs / UI</x:v>
      </x:c>
      <x:c r="C29" s="3663" t="str">
        <x:v>IMPLEMENTACIÓN</x:v>
      </x:c>
      <x:c r="D29" s="1327" t="str">
        <x:v>Congelar comportamiento, no tablas, protocolos, Pub/Sub, pantallas ni ERP.</x:v>
      </x:c>
      <x:c r="E29" s="1327" t="str">
        <x:v>Tecnología, performance, sync, canales.</x:v>
      </x:c>
      <x:c r="F29" s="1327" t="str">
        <x:v>Fase técnica/producto</x:v>
      </x:c>
      <x:c r="G29" s="1327" t="str">
        <x:v>Bajo conceptual</x:v>
      </x:c>
      <x:c r="H29" s="1327" t="str">
        <x:v>Fuera del freeze</x:v>
      </x:c>
    </x:row>
    <x:row r="30" ht="62" customHeight="1">
      <x:c r="A30" s="1327" t="str">
        <x:v>E-26</x:v>
      </x:c>
      <x:c r="B30" s="1327" t="str">
        <x:v>UI final</x:v>
      </x:c>
      <x:c r="C30" s="3391" t="str">
        <x:v>IMPLEMENTACIÓN</x:v>
      </x:c>
      <x:c r="D30" s="1327" t="str">
        <x:v>Congelar principios UX (&lt;2 min, derivación, confirmación), no pantallas.</x:v>
      </x:c>
      <x:c r="E30" s="1327" t="str">
        <x:v>Layout, navegación, componentes.</x:v>
      </x:c>
      <x:c r="F30" s="1327" t="str">
        <x:v>Fase producto</x:v>
      </x:c>
      <x:c r="G30" s="1327" t="str">
        <x:v>Bajo conceptual</x:v>
      </x:c>
      <x:c r="H30" s="1327" t="str">
        <x:v>Fuera del freeze</x:v>
      </x:c>
    </x:row>
    <x:row r="31">
      <x:c r="A31" s="1277"/>
      <x:c r="B31" s="1277"/>
      <x:c r="C31" s="1277"/>
      <x:c r="D31" s="1277"/>
      <x:c r="E31" s="1277"/>
      <x:c r="F31" s="1277"/>
      <x:c r="G31" s="1277"/>
      <x:c r="H31" s="1277"/>
    </x:row>
    <x:row r="32">
      <x:c r="A32" s="1277"/>
      <x:c r="B32" s="1277"/>
      <x:c r="C32" s="1277"/>
      <x:c r="D32" s="1277"/>
      <x:c r="E32" s="1277"/>
      <x:c r="F32" s="1277"/>
      <x:c r="G32" s="1277"/>
      <x:c r="H32" s="1277"/>
    </x:row>
    <x:row r="33">
      <x:c r="A33" s="3664" t="str">
        <x:v>CRITERIO DE FREEZE REV E FINAL · v2</x:v>
      </x:c>
      <x:c r="B33" s="3664"/>
      <x:c r="C33" s="3664"/>
      <x:c r="D33" s="3664"/>
      <x:c r="E33" s="3664"/>
      <x:c r="F33" s="3664"/>
      <x:c r="G33" s="3664"/>
      <x:c r="H33" s="3664"/>
    </x:row>
    <x:row r="34">
      <x:c r="A34" s="3657" t="str">
        <x:v>REV E FINAL podrá declararse BASELINE funcional cuando:
1) Q-01, Q-02 y Q-04 estén respondidas por VDS o exista una política de configuración explícitamente aprobada.
2) Q-06 aporte matriz/acciones Habilita reales y Q-09 defina el gate formal de cierre del CasoHabilita.
3) Tengamos contratos reales suficientes para validar estructura comercial sin cambiar el core.
4) No aparezca un escenario real que requiera un cuarto TipoParte operativo.
Q-03, Q-05, Q-07 y la arquitectura de Q-08 ya no bloquean el freeze.</x:v>
      </x:c>
      <x:c r="B34" s="3657"/>
      <x:c r="C34" s="3657"/>
      <x:c r="D34" s="3657"/>
      <x:c r="E34" s="3657"/>
      <x:c r="F34" s="3657"/>
      <x:c r="G34" s="3657"/>
      <x:c r="H34" s="3657"/>
    </x:row>
    <x:row r="35">
      <x:c r="A35" s="3657"/>
      <x:c r="B35" s="3657"/>
      <x:c r="C35" s="3657"/>
      <x:c r="D35" s="3657"/>
      <x:c r="E35" s="3657"/>
      <x:c r="F35" s="3657"/>
      <x:c r="G35" s="3657"/>
      <x:c r="H35" s="3657"/>
    </x:row>
    <x:row r="36">
      <x:c r="A36" s="3657"/>
      <x:c r="B36" s="3657"/>
      <x:c r="C36" s="3657"/>
      <x:c r="D36" s="3657"/>
      <x:c r="E36" s="3657"/>
      <x:c r="F36" s="3657"/>
      <x:c r="G36" s="3657"/>
      <x:c r="H36" s="3657"/>
    </x:row>
    <x:row r="37">
      <x:c r="A37" s="3657"/>
      <x:c r="B37" s="3657"/>
      <x:c r="C37" s="3657"/>
      <x:c r="D37" s="3657"/>
      <x:c r="E37" s="3657"/>
      <x:c r="F37" s="3657"/>
      <x:c r="G37" s="3657"/>
      <x:c r="H37" s="3657"/>
    </x:row>
    <x:row r="38">
      <x:c r="A38" s="3657"/>
      <x:c r="B38" s="3657"/>
      <x:c r="C38" s="3657"/>
      <x:c r="D38" s="3657"/>
      <x:c r="E38" s="3657"/>
      <x:c r="F38" s="3657"/>
      <x:c r="G38" s="3657"/>
      <x:c r="H38" s="3657"/>
    </x:row>
    <x:row r="39">
      <x:c r="A39" s="3668"/>
      <x:c r="B39" s="3668"/>
      <x:c r="C39" s="3668"/>
      <x:c r="D39" s="3668"/>
      <x:c r="E39" s="3668"/>
      <x:c r="F39" s="3668"/>
      <x:c r="G39" s="3668"/>
      <x:c r="H39" s="3668"/>
    </x:row>
  </x:sheetData>
  <x:mergeCells>
    <x:mergeCell ref="A1:H1"/>
    <x:mergeCell ref="A2:H2"/>
    <x:mergeCell ref="A33:H33"/>
    <x:mergeCell ref="A34:H38"/>
    <x:mergeCell ref="A34:H39"/>
  </x:mergeCells>
  <x:pageMargins left="0.7" right="0.7" top="0.75" bottom="0.75" header="0.3" footer="0.3"/>
</x:worksheet>
</file>

<file path=xl/worksheets/sheet38.xml><?xml version="1.0" encoding="utf-8"?>
<x:worksheet xmlns:x="http://schemas.openxmlformats.org/spreadsheetml/2006/main">
  <x:sheetFormatPr defaultRowHeight="15"/>
  <x:cols>
    <x:col min="1" max="1" width="10" hidden="0" customWidth="1"/>
    <x:col min="2" max="2" width="22" hidden="0" customWidth="1"/>
    <x:col min="3" max="3" width="34" hidden="0" customWidth="1"/>
    <x:col min="4" max="4" width="40" hidden="0" customWidth="1"/>
    <x:col min="5" max="5" width="38" hidden="0" customWidth="1"/>
    <x:col min="6" max="6" width="34" hidden="0" customWidth="1"/>
    <x:col min="7" max="7" width="20" hidden="0" customWidth="1"/>
    <x:col min="8" max="8" width="20" hidden="0" customWidth="1"/>
  </x:cols>
  <x:sheetData>
    <x:row r="1">
      <x:c r="A1" s="3398" t="str">
        <x:v>REV E CANDIDATE v2 · CONTRATOS FUNCIONALES ENTRE DOMINIOS</x:v>
      </x:c>
      <x:c r="B1" s="3398"/>
      <x:c r="C1" s="3398"/>
      <x:c r="D1" s="3398"/>
      <x:c r="E1" s="3398"/>
      <x:c r="F1" s="3398"/>
      <x:c r="G1" s="3398"/>
      <x:c r="H1" s="3398"/>
    </x:row>
    <x:row r="2">
      <x:c r="A2" s="3391" t="str">
        <x:v>Contratos funcionales actualizados tras auditoría Gemini: se congela responsabilidad entre dominios, evitando duplicar entidades o introducir decisiones tecnológicas.</x:v>
      </x:c>
      <x:c r="B2" s="3391"/>
      <x:c r="C2" s="3391"/>
      <x:c r="D2" s="3391"/>
      <x:c r="E2" s="3391"/>
      <x:c r="F2" s="3391"/>
      <x:c r="G2" s="3391"/>
      <x:c r="H2" s="3391"/>
    </x:row>
    <x:row r="3">
      <x:c r="A3" s="1277"/>
      <x:c r="B3" s="1277"/>
      <x:c r="C3" s="1277"/>
      <x:c r="D3" s="1277"/>
      <x:c r="E3" s="1277"/>
      <x:c r="F3" s="1277"/>
      <x:c r="G3" s="1277"/>
      <x:c r="H3" s="1277"/>
    </x:row>
    <x:row r="4">
      <x:c r="A4" s="3368" t="str">
        <x:v>ID</x:v>
      </x:c>
      <x:c r="B4" s="3368" t="str">
        <x:v>Interfaz / Contrato</x:v>
      </x:c>
      <x:c r="C4" s="3368" t="str">
        <x:v>Productor</x:v>
      </x:c>
      <x:c r="D4" s="3368" t="str">
        <x:v>Debe entregar</x:v>
      </x:c>
      <x:c r="E4" s="3368" t="str">
        <x:v>Consumidor puede asumir</x:v>
      </x:c>
      <x:c r="F4" s="3368" t="str">
        <x:v>Consumidor NO puede</x:v>
      </x:c>
      <x:c r="G4" s="3368" t="str">
        <x:v>Pendientes</x:v>
      </x:c>
      <x:c r="H4" s="3368" t="str">
        <x:v>Estado candidato</x:v>
      </x:c>
    </x:row>
    <x:row r="5" ht="80" customHeight="1">
      <x:c r="A5" s="1327" t="str">
        <x:v>FC-01</x:v>
      </x:c>
      <x:c r="B5" s="1327" t="str">
        <x:v>I-A · Planificación → Ejecución</x:v>
      </x:c>
      <x:c r="C5" s="1327" t="str">
        <x:v>Planificación</x:v>
      </x:c>
      <x:c r="D5" s="1327" t="str">
        <x:v>PlanificacionVersion aprobada; Asignaciones/UE planificadas; ventana; contexto; recursos/personas previstas; prioridad; readiness/precheck; TipoParte previsto; versiones de reglas/catálogos.</x:v>
      </x:c>
      <x:c r="E5" s="1327" t="str">
        <x:v>Que la intención fue confirmada bajo una versión concreta y puede reconstruirse exactamente.</x:v>
      </x:c>
      <x:c r="F5" s="1327" t="str">
        <x:v>Asumir que lo planificado ocurrió; convertir TipoParte previsto en verdad sin revalidar; sobrescribir versión histórica.</x:v>
      </x:c>
      <x:c r="G5" s="1327" t="str">
        <x:v>Q-02 política emergente/offline; payload exacto por servicio.</x:v>
      </x:c>
      <x:c r="H5" s="3652" t="str">
        <x:v>Candidate Freeze</x:v>
      </x:c>
    </x:row>
    <x:row r="6" ht="80" customHeight="1">
      <x:c r="A6" s="1327" t="str">
        <x:v>FC-02</x:v>
      </x:c>
      <x:c r="B6" s="1327" t="str">
        <x:v>Execution Context Bundle · Backend → Dispositivo</x:v>
      </x:c>
      <x:c r="C6" s="1327" t="str">
        <x:v>Backend/compilador de contexto</x:v>
      </x:c>
      <x:c r="D6" s="1327" t="str">
        <x:v>Proyección versionada mínima de asignaciones, ubicaciones, personas/recursos, reglas TipoParte/corte, documental/Habilita, catálogos y vigencia.</x:v>
      </x:c>
      <x:c r="E6" s="1327" t="str">
        <x:v>Que puede operar dentro del alcance/validez del bundle incluso sin toda la capa maestra.</x:v>
      </x:c>
      <x:c r="F6" s="1327" t="str">
        <x:v>Asumir que bundle vencido sigue vigente; inventar reglas faltantes; ignorar directivas pendientes conocidas.</x:v>
      </x:c>
      <x:c r="G6" s="1327" t="str">
        <x:v>Q-02 + decisión técnica de TTL/sync.</x:v>
      </x:c>
      <x:c r="H6" s="3652" t="str">
        <x:v>Core funcional congelable</x:v>
      </x:c>
    </x:row>
    <x:row r="7" ht="80" customHeight="1">
      <x:c r="A7" s="1327" t="str">
        <x:v>FC-03</x:v>
      </x:c>
      <x:c r="B7" s="1327" t="str">
        <x:v>Control Plane · Planificación/Habilita → Ejecución</x:v>
      </x:c>
      <x:c r="C7" s="1327" t="str">
        <x:v>Planificación / Supervisión / Habilita</x:v>
      </x:c>
      <x:c r="D7" s="1327" t="str">
        <x:v>DirectivaOperativa tipada, target, motivo, prioridad, emitida_at, versión/contexto y requisitos de ACK.</x:v>
      </x:c>
      <x:c r="E7" s="1327" t="str">
        <x:v>Que toda instrucción posterior al despacho llega como hecho nuevo, no mutación retroactiva.</x:v>
      </x:c>
      <x:c r="F7" s="1327" t="str">
        <x:v>Reescribir el snapshot original; marcar aplicada una directiva no recibida; crear un segundo bus 'DirectivaHabilita' paralelo.</x:v>
      </x:c>
      <x:c r="G7" s="1327" t="str">
        <x:v>Semántica exacta por directiva; Q-02/Q-06.</x:v>
      </x:c>
      <x:c r="H7" s="3652" t="str">
        <x:v>Candidate Freeze</x:v>
      </x:c>
    </x:row>
    <x:row r="8" ht="80" customHeight="1">
      <x:c r="A8" s="1327" t="str">
        <x:v>FC-04</x:v>
      </x:c>
      <x:c r="B8" s="1327" t="str">
        <x:v>Habilita PREVENT · Reglas → Start Work</x:v>
      </x:c>
      <x:c r="C8" s="1327" t="str">
        <x:v>Control documental / Habilita / PTW</x:v>
      </x:c>
      <x:c r="D8" s="1327" t="str">
        <x:v>Evaluación actual de habilitaciones + permisos requeridos/aprobados/vigentes + overrides autorizados cuando correspondan.</x:v>
      </x:c>
      <x:c r="E8" s="1327" t="str">
        <x:v>Que Start Work solo ocurre si los gates aplicables habilitan o existe excepción explícita permitida.</x:v>
      </x:c>
      <x:c r="F8" s="1327" t="str">
        <x:v>Transformar hard block en override; autocerrar PTW por timeout; usar falta de imputación comercial como excusa para omitir Habilita.</x:v>
      </x:c>
      <x:c r="G8" s="1327" t="str">
        <x:v>Q-01/Q-02/Q-06.</x:v>
      </x:c>
      <x:c r="H8" s="3652" t="str">
        <x:v>Candidate Freeze</x:v>
      </x:c>
    </x:row>
    <x:row r="9" ht="80" customHeight="1">
      <x:c r="A9" s="1327" t="str">
        <x:v>FC-05</x:v>
      </x:c>
      <x:c r="B9" s="1327" t="str">
        <x:v>TipoParte → Ejecución</x:v>
      </x:c>
      <x:c r="C9" s="1327" t="str">
        <x:v>Motor de ruteo + configuración</x:v>
      </x:c>
      <x:c r="D9" s="1327" t="str">
        <x:v>Identidad del TP; componentes; UE; reglas de corte; tiempos; evidencias; mediciones; estados.</x:v>
      </x:c>
      <x:c r="E9" s="1327" t="str">
        <x:v>Que work package define TP-01; un recurso adicional puede vivir en la misma UE o nueva UE sin crear Parte automáticamente.</x:v>
      </x:c>
      <x:c r="F9" s="1327" t="str">
        <x:v>Permitir selector libre como camino normal; aplicar PTW distinto como driver automático de nuevo TP-01.</x:v>
      </x:c>
      <x:c r="G9" s="1327" t="str">
        <x:v>Q-01 excepciones por turno; reglas específicas.</x:v>
      </x:c>
      <x:c r="H9" s="3652" t="str">
        <x:v>Candidate Freeze</x:v>
      </x:c>
    </x:row>
    <x:row r="10" ht="80" customHeight="1">
      <x:c r="A10" s="1327" t="str">
        <x:v>FC-06</x:v>
      </x:c>
      <x:c r="B10" s="1327" t="str">
        <x:v>Habilita Event Bus · Operación → Habilita</x:v>
      </x:c>
      <x:c r="C10" s="1327" t="str">
        <x:v>Campo / sistema / ejecución</x:v>
      </x:c>
      <x:c r="D10" s="1327" t="str">
        <x:v>EventoHabilita con identidad, reportado_at, ocurrido_at, ubicación, contexto activo TP-01/02/03/UE/PTW si existe, categoría inicial, descripción, situación controlada y evidencia disponible.</x:v>
      </x:c>
      <x:c r="E10" s="1327" t="str">
        <x:v>Que el hecho existe aunque no haya Parte y que triage avanzado ocurre después.</x:v>
      </x:c>
      <x:c r="F10" s="1327" t="str">
        <x:v>Exigir root cause/severidad formal al reportante; asumir TP-01 como único contexto posible; cerrar Caso al cerrar Parte.</x:v>
      </x:c>
      <x:c r="G10" s="1327" t="str">
        <x:v>Taxonomía/obligatoriedad por categoría configurable.</x:v>
      </x:c>
      <x:c r="H10" s="3652" t="str">
        <x:v>Core transversal congelable</x:v>
      </x:c>
    </x:row>
    <x:row r="11" ht="80" customHeight="1">
      <x:c r="A11" s="1327" t="str">
        <x:v>FC-07</x:v>
      </x:c>
      <x:c r="B11" s="1327" t="str">
        <x:v>Habilita Escalation · Evento → Habilita/Control</x:v>
      </x:c>
      <x:c r="C11" s="1327" t="str">
        <x:v>Motor Habilita</x:v>
      </x:c>
      <x:c r="D11" s="1327" t="str">
        <x:v>EvaluacionEscalamientoHabilita con inputs, versión de ReglaEscalamientoHabilita, resultado y acciones requeridas.</x:v>
      </x:c>
      <x:c r="E11" s="1327" t="str">
        <x:v>Que la razón del escalamiento es auditable y versionada.</x:v>
      </x:c>
      <x:c r="F11" s="1327" t="str">
        <x:v>Crear DirectivaHabilita paralela; hardcodear RAM 5x5/thresholds no validados; ejecutar notificación externa sin regla/autoridad.</x:v>
      </x:c>
      <x:c r="G11" s="1327" t="str">
        <x:v>Q-06 matriz/acciones VDS.</x:v>
      </x:c>
      <x:c r="H11" s="3652" t="str">
        <x:v>Core estructural congelable</x:v>
      </x:c>
    </x:row>
    <x:row r="12" ht="80" customHeight="1">
      <x:c r="A12" s="1327" t="str">
        <x:v>FC-08</x:v>
      </x:c>
      <x:c r="B12" s="1327" t="str">
        <x:v>I-B · Ejecución → Certificación</x:v>
      </x:c>
      <x:c r="C12" s="1327" t="str">
        <x:v>Ejecución / Parte</x:v>
      </x:c>
      <x:c r="D12" s="1327" t="str">
        <x:v>UE cerradas; ubicación/activo real; intervalos persona/recurso; tiempos/transiciones; CC/Item o estado_contexto_contractual; mediciones; evidencias; desvíos; versión fuente; enmiendas.</x:v>
      </x:c>
      <x:c r="E12" s="1327" t="str">
        <x:v>Que representa verdad operacional versionada y puede contener contexto contractual pendiente explícito, nunca falsificado.</x:v>
      </x:c>
      <x:c r="F12" s="1327" t="str">
        <x:v>Editar Parte para coincidir con criterio comercial; usar CC default ficticio; asumir 1 Parte=1 UC.</x:v>
      </x:c>
      <x:c r="G12" s="1327" t="str">
        <x:v>Q-02 + contratos reales + Q-04.</x:v>
      </x:c>
      <x:c r="H12" s="3652" t="str">
        <x:v>Candidate Freeze</x:v>
      </x:c>
    </x:row>
    <x:row r="13" ht="80" customHeight="1">
      <x:c r="A13" s="1327" t="str">
        <x:v>FC-09</x:v>
      </x:c>
      <x:c r="B13" s="1327" t="str">
        <x:v>Derivación comercial · Ejecución → UnidadComercial</x:v>
      </x:c>
      <x:c r="C13" s="1327" t="str">
        <x:v>Motor contractual/certificación</x:v>
      </x:c>
      <x:c r="D13" s="1327" t="str">
        <x:v>ReglaGranoUC; ReglaTratamientoTiempo; mapping Item/UM/CC; fuente_ejecucion_version; cantidades derivadas y evidencia requerida.</x:v>
      </x:c>
      <x:c r="E13" s="1327" t="str">
        <x:v>Que cada UC sabe de qué fuente/version nació y por qué tiene esa cantidad.</x:v>
      </x:c>
      <x:c r="F13" s="1327" t="str">
        <x:v>Perder lineage; sumar Partes ciegamente; mezclar ajuste comercial con corrección operativa.</x:v>
      </x:c>
      <x:c r="G13" s="1327" t="str">
        <x:v>Contratos reales.</x:v>
      </x:c>
      <x:c r="H13" s="3652" t="str">
        <x:v>Candidate Freeze</x:v>
      </x:c>
    </x:row>
    <x:row r="14" ht="80" customHeight="1">
      <x:c r="A14" s="1327" t="str">
        <x:v>FC-10</x:v>
      </x:c>
      <x:c r="B14" s="1327" t="str">
        <x:v>EnmiendaOperativa → Downstream</x:v>
      </x:c>
      <x:c r="C14" s="1327" t="str">
        <x:v>Supervisión / ejecución autorizada</x:v>
      </x:c>
      <x:c r="D14" s="1327" t="str">
        <x:v>Objeto afectado; versión anterior/nueva; valor anterior/nuevo; motivo; evidencia; actor/aprobador; timestamp.</x:v>
      </x:c>
      <x:c r="E14" s="1327" t="str">
        <x:v>Que existe nueva verdad operativa y UC derivadas de versiones anteriores pueden quedar obsoletas.</x:v>
      </x:c>
      <x:c r="F14" s="1327" t="str">
        <x:v>Borrar versión previa; mantener UC obsoleta como vigente; crear otra entidad de enmienda duplicada.</x:v>
      </x:c>
      <x:c r="G14" s="1327" t="str">
        <x:v>Q-04 flujo post-aceptación/factura.</x:v>
      </x:c>
      <x:c r="H14" s="3652" t="str">
        <x:v>Candidate Freeze</x:v>
      </x:c>
    </x:row>
    <x:row r="15" ht="80" customHeight="1">
      <x:c r="A15" s="1327" t="str">
        <x:v>FC-11</x:v>
      </x:c>
      <x:c r="B15" s="1327" t="str">
        <x:v>Supersession Comercial · UC → UC/Ajuste</x:v>
      </x:c>
      <x:c r="C15" s="1327" t="str">
        <x:v>Certificación</x:v>
      </x:c>
      <x:c r="D15" s="1327" t="str">
        <x:v>unidad_comercial_sustituye_a_id, estado_supersession_comercial, lineage de fuente y decisión de revisión/reversión.</x:v>
      </x:c>
      <x:c r="E15" s="1327" t="str">
        <x:v>Que una nueva UC puede sustituir a otra sin borrar el histórico.</x:v>
      </x:c>
      <x:c r="F15" s="1327" t="str">
        <x:v>Actualizar silenciosamente una UC aceptada; borrar certificación previa; asumir documento contable antes de conocer ERP.</x:v>
      </x:c>
      <x:c r="G15" s="1327" t="str">
        <x:v>Q-04 política certificado/facturado.</x:v>
      </x:c>
      <x:c r="H15" s="3652" t="str">
        <x:v>Estructura congelable</x:v>
      </x:c>
    </x:row>
    <x:row r="16" ht="80" customHeight="1">
      <x:c r="A16" s="1327" t="str">
        <x:v>FC-12</x:v>
      </x:c>
      <x:c r="B16" s="1327" t="str">
        <x:v>Certificación → Facturación</x:v>
      </x:c>
      <x:c r="C16" s="1327" t="str">
        <x:v>Certificación</x:v>
      </x:c>
      <x:c r="D16" s="1327" t="str">
        <x:v>Líneas aceptadas vigentes; cantidades aceptadas; ítems; referencias contractuales; estado/lineage; ajustes/reversiones válidos.</x:v>
      </x:c>
      <x:c r="E16" s="1327" t="str">
        <x:v>Que Facturación recibe base comercial aceptada y vigente.</x:v>
      </x:c>
      <x:c r="F16" s="1327" t="str">
        <x:v>Reinterpretar evidencia cruda; recalcular campo; modificar ejecución.</x:v>
      </x:c>
      <x:c r="G16" s="1327" t="str">
        <x:v>Q-04 + requisitos fiscales/ERP.</x:v>
      </x:c>
      <x:c r="H16" s="3652" t="str">
        <x:v>Core congelable / detalle pendiente</x:v>
      </x:c>
    </x:row>
    <x:row r="17" ht="80" customHeight="1">
      <x:c r="A17" s="1327" t="str">
        <x:v>FC-13</x:v>
      </x:c>
      <x:c r="B17" s="1327" t="str">
        <x:v>Notificación Habilita · Regla → Obligación</x:v>
      </x:c>
      <x:c r="C17" s="1327" t="str">
        <x:v>Habilita / EvaluacionEscalamientoHabilita</x:v>
      </x:c>
      <x:c r="D17" s="1327" t="str">
        <x:v>NotificacionHabilita con trigger, destinatario/rol, deadline, responsable, estado y evidencia.</x:v>
      </x:c>
      <x:c r="E17" s="1327" t="str">
        <x:v>Que la obligación existe independientemente del canal técnico.</x:v>
      </x:c>
      <x:c r="F17" s="1327" t="str">
        <x:v>Congelar Pub/Sub, Kafka, email/SMS específicos o enviar automáticamente a externos sin política.</x:v>
      </x:c>
      <x:c r="G17" s="1327" t="str">
        <x:v>Destinatarios/plazos/reglas configurables.</x:v>
      </x:c>
      <x:c r="H17" s="3652" t="str">
        <x:v>Core funcional congelable</x:v>
      </x:c>
    </x:row>
    <x:row r="18" ht="80" customHeight="1">
      <x:c r="A18" s="3669" t="str">
        <x:v>FC-14</x:v>
      </x:c>
      <x:c r="B18" s="3669" t="str">
        <x:v>CasoHabilita / Acciones · Learn</x:v>
      </x:c>
      <x:c r="C18" s="3669" t="str">
        <x:v>Habilita</x:v>
      </x:c>
      <x:c r="D18" s="3669" t="str">
        <x:v>estado_investigacion_habilita, estado_caso_habilita y AccionCorrectivaHabilita con lifecycle independiente/estado propio.</x:v>
      </x:c>
      <x:c r="E18" s="3669" t="str">
        <x:v>Que investigación puede terminar mientras acciones siguen; el gate de cierre global es configurable.</x:v>
      </x:c>
      <x:c r="F18" s="3669" t="str">
        <x:v>Ocultar acciones abiertas cerrando estados por conveniencia; forzar un único lifecycle.</x:v>
      </x:c>
      <x:c r="G18" s="3669" t="str">
        <x:v>Q-09 gate formal de CERRADO.</x:v>
      </x:c>
      <x:c r="H18" s="3670" t="str">
        <x:v>Estructura congelable</x:v>
      </x:c>
    </x:row>
    <x:row r="19">
      <x:c r="A19" s="3402" t="str">
        <x:v>Si durante diseño técnico aparece una necesidad que exige que un consumidor 'adivine' o reconstruya información que su contrato funcional no recibe, la solución no es agregar lógica oculta en la app: hay que volver al dominio productor y decidir si el dato debe derivarse, versionarse o incorporarse explícitamente a la interfaz.</x:v>
      </x:c>
      <x:c r="B19" s="3402"/>
      <x:c r="C19" s="3402"/>
      <x:c r="D19" s="3402"/>
      <x:c r="E19" s="3402"/>
      <x:c r="F19" s="3402"/>
      <x:c r="G19" s="3402"/>
      <x:c r="H19" s="3402"/>
    </x:row>
    <x:row r="20">
      <x:c r="A20" s="3402"/>
      <x:c r="B20" s="3402"/>
      <x:c r="C20" s="3402"/>
      <x:c r="D20" s="3402"/>
      <x:c r="E20" s="3402"/>
      <x:c r="F20" s="3402"/>
      <x:c r="G20" s="3402"/>
      <x:c r="H20" s="3402"/>
    </x:row>
    <x:row r="21">
      <x:c r="A21" s="3402"/>
      <x:c r="B21" s="3402"/>
      <x:c r="C21" s="3402"/>
      <x:c r="D21" s="3402"/>
      <x:c r="E21" s="3402"/>
      <x:c r="F21" s="3402"/>
      <x:c r="G21" s="3402"/>
      <x:c r="H21" s="3402"/>
    </x:row>
    <x:row r="22">
      <x:c r="A22" s="3402"/>
      <x:c r="B22" s="3402"/>
      <x:c r="C22" s="3402"/>
      <x:c r="D22" s="3402"/>
      <x:c r="E22" s="3402"/>
      <x:c r="F22" s="3402"/>
      <x:c r="G22" s="3402"/>
      <x:c r="H22" s="3402"/>
    </x:row>
    <x:row r="23">
      <x:c r="A23" s="3402"/>
      <x:c r="B23" s="3402"/>
      <x:c r="C23" s="3402"/>
      <x:c r="D23" s="3402"/>
      <x:c r="E23" s="3402"/>
      <x:c r="F23" s="3402"/>
      <x:c r="G23" s="3402"/>
      <x:c r="H23" s="3402"/>
    </x:row>
  </x:sheetData>
  <x:mergeCells>
    <x:mergeCell ref="A1:H1"/>
    <x:mergeCell ref="A2:H2"/>
    <x:mergeCell ref="A18:H18"/>
    <x:mergeCell ref="A19:H23"/>
  </x:mergeCells>
  <x:pageMargins left="0.7" right="0.7" top="0.75" bottom="0.75" header="0.3" footer="0.3"/>
</x:worksheet>
</file>

<file path=xl/worksheets/sheet39.xml><?xml version="1.0" encoding="utf-8"?>
<x:worksheet xmlns:x="http://schemas.openxmlformats.org/spreadsheetml/2006/main">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s>
  <x:sheetData>
    <x:row r="1">
      <x:c r="A1" s="3619" t="str">
        <x:v>REV E CANDIDATE · ARQUITECTURA FUNCIONAL VDS · BASELINE PROPUESTA</x:v>
      </x:c>
      <x:c r="B1" s="3619"/>
      <x:c r="C1" s="3619"/>
      <x:c r="D1" s="3619"/>
      <x:c r="E1" s="3619"/>
      <x:c r="F1" s="3619"/>
      <x:c r="G1" s="3619"/>
      <x:c r="H1" s="3619"/>
      <x:c r="I1" s="3619"/>
      <x:c r="J1" s="3619"/>
      <x:c r="K1" s="3619"/>
      <x:c r="L1" s="3619"/>
      <x:c r="M1" s="3619"/>
      <x:c r="N1" s="3619"/>
      <x:c r="O1" s="3619"/>
      <x:c r="P1" s="3619"/>
      <x:c r="Q1" s="3619"/>
      <x:c r="R1" s="3619"/>
      <x:c r="S1" s="3619"/>
      <x:c r="T1" s="3619"/>
      <x:c r="U1" s="3619"/>
      <x:c r="V1" s="3619"/>
      <x:c r="W1" s="3619"/>
      <x:c r="X1" s="3619"/>
      <x:c r="Y1" s="3619"/>
      <x:c r="Z1" s="3619"/>
    </x:row>
    <x:row r="2">
      <x:c r="A2" s="3574" t="str">
        <x:v>Verde = núcleo candidato a freeze · Azul = configurable · Amarillo = pendiente de validación/evidencia · Gris = implementación futura</x:v>
      </x:c>
      <x:c r="B2" s="3574"/>
      <x:c r="C2" s="3574"/>
      <x:c r="D2" s="3574"/>
      <x:c r="E2" s="3574"/>
      <x:c r="F2" s="3574"/>
      <x:c r="G2" s="3574"/>
      <x:c r="H2" s="3574"/>
      <x:c r="I2" s="3574"/>
      <x:c r="J2" s="3574"/>
      <x:c r="K2" s="3574"/>
      <x:c r="L2" s="3574"/>
      <x:c r="M2" s="3574"/>
      <x:c r="N2" s="3574"/>
      <x:c r="O2" s="3574"/>
      <x:c r="P2" s="3574"/>
      <x:c r="Q2" s="3574"/>
      <x:c r="R2" s="3574"/>
      <x:c r="S2" s="3574"/>
      <x:c r="T2" s="3574"/>
      <x:c r="U2" s="3574"/>
      <x:c r="V2" s="3574"/>
      <x:c r="W2" s="3574"/>
      <x:c r="X2" s="3574"/>
      <x:c r="Y2" s="3574"/>
      <x:c r="Z2" s="3574"/>
    </x:row>
    <x:row r="3">
      <x:c r="A3" s="1277"/>
      <x:c r="B3" s="1277"/>
      <x:c r="C3" s="1277"/>
      <x:c r="D3" s="1277"/>
      <x:c r="E3" s="1277"/>
      <x:c r="F3" s="1277"/>
      <x:c r="G3" s="1277"/>
      <x:c r="H3" s="1277"/>
      <x:c r="I3" s="1277"/>
      <x:c r="J3" s="1277"/>
      <x:c r="K3" s="1277"/>
      <x:c r="L3" s="1277"/>
      <x:c r="M3" s="1277"/>
      <x:c r="N3" s="1277"/>
      <x:c r="O3" s="1277"/>
      <x:c r="P3" s="1277"/>
      <x:c r="Q3" s="1277"/>
      <x:c r="R3" s="1277"/>
      <x:c r="S3" s="1277"/>
      <x:c r="T3" s="1277"/>
      <x:c r="U3" s="1277"/>
      <x:c r="V3" s="1277"/>
      <x:c r="W3" s="1277"/>
      <x:c r="X3" s="1277"/>
      <x:c r="Y3" s="1277"/>
      <x:c r="Z3" s="1277"/>
    </x:row>
    <x:row r="4">
      <x:c r="A4" s="3400" t="str">
        <x:v>00 — CONFIGURATION PLANE · ESTRUCTURA CONGELABLE / VALORES CONFIGURABLES</x:v>
      </x:c>
      <x:c r="B4" s="3400"/>
      <x:c r="C4" s="3400"/>
      <x:c r="D4" s="3400"/>
      <x:c r="E4" s="3400"/>
      <x:c r="F4" s="3400"/>
      <x:c r="G4" s="3400"/>
      <x:c r="H4" s="3400"/>
      <x:c r="I4" s="3400"/>
      <x:c r="J4" s="3400"/>
      <x:c r="K4" s="3400"/>
      <x:c r="L4" s="3400"/>
      <x:c r="M4" s="3400"/>
      <x:c r="N4" s="3400"/>
      <x:c r="O4" s="3400"/>
      <x:c r="P4" s="3400"/>
      <x:c r="Q4" s="3400"/>
      <x:c r="R4" s="3400"/>
      <x:c r="S4" s="3400"/>
      <x:c r="T4" s="3400"/>
      <x:c r="U4" s="3400"/>
      <x:c r="V4" s="3400"/>
      <x:c r="W4" s="3400"/>
      <x:c r="X4" s="3400"/>
      <x:c r="Y4" s="3400"/>
      <x:c r="Z4" s="3400"/>
    </x:row>
    <x:row r="5">
      <x:c r="A5" s="1277"/>
      <x:c r="B5" s="1277"/>
      <x:c r="C5" s="1277"/>
      <x:c r="D5" s="1277"/>
      <x:c r="E5" s="1277"/>
      <x:c r="F5" s="1277"/>
      <x:c r="G5" s="1277"/>
      <x:c r="H5" s="1277"/>
      <x:c r="I5" s="1277"/>
      <x:c r="J5" s="1277"/>
      <x:c r="K5" s="1277"/>
      <x:c r="L5" s="1277"/>
      <x:c r="M5" s="1277"/>
      <x:c r="N5" s="1277"/>
      <x:c r="O5" s="1277"/>
      <x:c r="P5" s="1277"/>
      <x:c r="Q5" s="1277"/>
      <x:c r="R5" s="1277"/>
      <x:c r="S5" s="1277"/>
      <x:c r="T5" s="1277"/>
      <x:c r="U5" s="1277"/>
      <x:c r="V5" s="1277"/>
      <x:c r="W5" s="1277"/>
      <x:c r="X5" s="1277"/>
      <x:c r="Y5" s="1277"/>
      <x:c r="Z5" s="1277"/>
    </x:row>
    <x:row r="6">
      <x:c r="A6" s="3575" t="str">
        <x:v>CLIENTE
CONTRATO
VERSIÓN</x:v>
      </x:c>
      <x:c r="B6" s="3576"/>
      <x:c r="C6" s="3576"/>
      <x:c r="D6" s="3577"/>
      <x:c r="E6" s="1277"/>
      <x:c r="F6" s="3575" t="str">
        <x:v>CONTRATO
SERVICIO</x:v>
      </x:c>
      <x:c r="G6" s="3576"/>
      <x:c r="H6" s="3576"/>
      <x:c r="I6" s="3577"/>
      <x:c r="J6" s="1277"/>
      <x:c r="K6" s="3578" t="str">
        <x:v>CC · ITEM · UM
MEDICIÓN / TIEMPO</x:v>
      </x:c>
      <x:c r="L6" s="3579"/>
      <x:c r="M6" s="3579"/>
      <x:c r="N6" s="3580"/>
      <x:c r="O6" s="1277"/>
      <x:c r="P6" s="3578" t="str">
        <x:v>REGLAS OPERATIVAS
TipoParte · cortes · readiness
PTW · offline · solapamientos</x:v>
      </x:c>
      <x:c r="Q6" s="3579"/>
      <x:c r="R6" s="3579"/>
      <x:c r="S6" s="3579"/>
      <x:c r="T6" s="3580"/>
      <x:c r="U6" s="1277"/>
      <x:c r="V6" s="3578" t="str">
        <x:v>REGLAS Habilita + COMERCIALES
grano UC · agrupación · parcialidad
escalamiento · facturación</x:v>
      </x:c>
      <x:c r="W6" s="3579"/>
      <x:c r="X6" s="3579"/>
      <x:c r="Y6" s="3579"/>
      <x:c r="Z6" s="3580"/>
    </x:row>
    <x:row r="7">
      <x:c r="A7" s="3581"/>
      <x:c r="B7" s="3582"/>
      <x:c r="C7" s="3582"/>
      <x:c r="D7" s="3583"/>
      <x:c r="E7" s="1277"/>
      <x:c r="F7" s="3581"/>
      <x:c r="G7" s="3582"/>
      <x:c r="H7" s="3582"/>
      <x:c r="I7" s="3583"/>
      <x:c r="J7" s="1277"/>
      <x:c r="K7" s="3584"/>
      <x:c r="L7" s="3585"/>
      <x:c r="M7" s="3585"/>
      <x:c r="N7" s="3586"/>
      <x:c r="O7" s="1277"/>
      <x:c r="P7" s="3584"/>
      <x:c r="Q7" s="3585"/>
      <x:c r="R7" s="3585"/>
      <x:c r="S7" s="3585"/>
      <x:c r="T7" s="3586"/>
      <x:c r="U7" s="1277"/>
      <x:c r="V7" s="3584"/>
      <x:c r="W7" s="3585"/>
      <x:c r="X7" s="3585"/>
      <x:c r="Y7" s="3585"/>
      <x:c r="Z7" s="3586"/>
    </x:row>
    <x:row r="8">
      <x:c r="A8" s="3581"/>
      <x:c r="B8" s="3582"/>
      <x:c r="C8" s="3582"/>
      <x:c r="D8" s="3583"/>
      <x:c r="E8" s="1297" t="str">
        <x:v>→</x:v>
      </x:c>
      <x:c r="F8" s="3581"/>
      <x:c r="G8" s="3582"/>
      <x:c r="H8" s="3582"/>
      <x:c r="I8" s="3583"/>
      <x:c r="J8" s="1297" t="str">
        <x:v>→</x:v>
      </x:c>
      <x:c r="K8" s="3584"/>
      <x:c r="L8" s="3585"/>
      <x:c r="M8" s="3585"/>
      <x:c r="N8" s="3586"/>
      <x:c r="O8" s="1297" t="str">
        <x:v>→</x:v>
      </x:c>
      <x:c r="P8" s="3584"/>
      <x:c r="Q8" s="3585"/>
      <x:c r="R8" s="3585"/>
      <x:c r="S8" s="3585"/>
      <x:c r="T8" s="3586"/>
      <x:c r="U8" s="1297" t="str">
        <x:v>→</x:v>
      </x:c>
      <x:c r="V8" s="3584"/>
      <x:c r="W8" s="3585"/>
      <x:c r="X8" s="3585"/>
      <x:c r="Y8" s="3585"/>
      <x:c r="Z8" s="3586"/>
    </x:row>
    <x:row r="9">
      <x:c r="A9" s="3581"/>
      <x:c r="B9" s="3582"/>
      <x:c r="C9" s="3582"/>
      <x:c r="D9" s="3583"/>
      <x:c r="E9" s="1277"/>
      <x:c r="F9" s="3581"/>
      <x:c r="G9" s="3582"/>
      <x:c r="H9" s="3582"/>
      <x:c r="I9" s="3583"/>
      <x:c r="J9" s="1277"/>
      <x:c r="K9" s="3584"/>
      <x:c r="L9" s="3585"/>
      <x:c r="M9" s="3585"/>
      <x:c r="N9" s="3586"/>
      <x:c r="O9" s="1277"/>
      <x:c r="P9" s="3584"/>
      <x:c r="Q9" s="3585"/>
      <x:c r="R9" s="3585"/>
      <x:c r="S9" s="3585"/>
      <x:c r="T9" s="3586"/>
      <x:c r="U9" s="1277"/>
      <x:c r="V9" s="3584"/>
      <x:c r="W9" s="3585"/>
      <x:c r="X9" s="3585"/>
      <x:c r="Y9" s="3585"/>
      <x:c r="Z9" s="3586"/>
    </x:row>
    <x:row r="10">
      <x:c r="A10" s="3587"/>
      <x:c r="B10" s="3588"/>
      <x:c r="C10" s="3588"/>
      <x:c r="D10" s="3589"/>
      <x:c r="E10" s="1277"/>
      <x:c r="F10" s="3587"/>
      <x:c r="G10" s="3588"/>
      <x:c r="H10" s="3588"/>
      <x:c r="I10" s="3589"/>
      <x:c r="J10" s="1277"/>
      <x:c r="K10" s="3590"/>
      <x:c r="L10" s="3591"/>
      <x:c r="M10" s="3591"/>
      <x:c r="N10" s="3592"/>
      <x:c r="O10" s="1277"/>
      <x:c r="P10" s="3590"/>
      <x:c r="Q10" s="3591"/>
      <x:c r="R10" s="3591"/>
      <x:c r="S10" s="3591"/>
      <x:c r="T10" s="3592"/>
      <x:c r="U10" s="1277"/>
      <x:c r="V10" s="3590"/>
      <x:c r="W10" s="3591"/>
      <x:c r="X10" s="3591"/>
      <x:c r="Y10" s="3591"/>
      <x:c r="Z10" s="3592"/>
    </x:row>
    <x:row r="11">
      <x:c r="A11" s="1277"/>
      <x:c r="B11" s="1277"/>
      <x:c r="C11" s="1277"/>
      <x:c r="D11" s="1277"/>
      <x:c r="E11" s="1277"/>
      <x:c r="F11" s="1277"/>
      <x:c r="G11" s="1277"/>
      <x:c r="H11" s="1277"/>
      <x:c r="I11" s="1277"/>
      <x:c r="J11" s="1277"/>
      <x:c r="K11" s="1277"/>
      <x:c r="L11" s="1277"/>
      <x:c r="M11" s="1277"/>
      <x:c r="N11" s="1277"/>
      <x:c r="O11" s="1277"/>
      <x:c r="P11" s="1277"/>
      <x:c r="Q11" s="1277"/>
      <x:c r="R11" s="1277"/>
      <x:c r="S11" s="1277"/>
      <x:c r="T11" s="1277"/>
      <x:c r="U11" s="1277"/>
      <x:c r="V11" s="1277"/>
      <x:c r="W11" s="1277"/>
      <x:c r="X11" s="1277"/>
      <x:c r="Y11" s="1277"/>
      <x:c r="Z11" s="1277"/>
    </x:row>
    <x:row r="12">
      <x:c r="A12" s="1277"/>
      <x:c r="B12" s="1277"/>
      <x:c r="C12" s="1277"/>
      <x:c r="D12" s="1277"/>
      <x:c r="E12" s="1277"/>
      <x:c r="F12" s="1277"/>
      <x:c r="G12" s="1277"/>
      <x:c r="H12" s="1277"/>
      <x:c r="I12" s="1277"/>
      <x:c r="J12" s="1277"/>
      <x:c r="K12" s="1277"/>
      <x:c r="L12" s="1277"/>
      <x:c r="M12" s="1277"/>
      <x:c r="N12" s="1277"/>
      <x:c r="O12" s="1277"/>
      <x:c r="P12" s="1277"/>
      <x:c r="Q12" s="1277"/>
      <x:c r="R12" s="1277"/>
      <x:c r="S12" s="1277"/>
      <x:c r="T12" s="1277"/>
      <x:c r="U12" s="1277"/>
      <x:c r="V12" s="1277"/>
      <x:c r="W12" s="1277"/>
      <x:c r="X12" s="1277"/>
      <x:c r="Y12" s="1277"/>
      <x:c r="Z12" s="1277"/>
    </x:row>
    <x:row r="13">
      <x:c r="A13" s="3400" t="str">
        <x:v>01 — DATA PLANE · TRES VERDADES SEPARADAS</x:v>
      </x:c>
      <x:c r="B13" s="3400"/>
      <x:c r="C13" s="3400"/>
      <x:c r="D13" s="3400"/>
      <x:c r="E13" s="3400"/>
      <x:c r="F13" s="3400"/>
      <x:c r="G13" s="3400"/>
      <x:c r="H13" s="3400"/>
      <x:c r="I13" s="3400"/>
      <x:c r="J13" s="3400"/>
      <x:c r="K13" s="3400"/>
      <x:c r="L13" s="3400"/>
      <x:c r="M13" s="3400"/>
      <x:c r="N13" s="3400"/>
      <x:c r="O13" s="3400"/>
      <x:c r="P13" s="3400"/>
      <x:c r="Q13" s="3400"/>
      <x:c r="R13" s="3400"/>
      <x:c r="S13" s="3400"/>
      <x:c r="T13" s="3400"/>
      <x:c r="U13" s="3400"/>
      <x:c r="V13" s="3400"/>
      <x:c r="W13" s="3400"/>
      <x:c r="X13" s="3400"/>
      <x:c r="Y13" s="3400"/>
      <x:c r="Z13" s="3400"/>
    </x:row>
    <x:row r="14">
      <x:c r="A14" s="1277"/>
      <x:c r="B14" s="1277"/>
      <x:c r="C14" s="1277"/>
      <x:c r="D14" s="1277"/>
      <x:c r="E14" s="1277"/>
      <x:c r="F14" s="1277"/>
      <x:c r="G14" s="1277"/>
      <x:c r="H14" s="1277"/>
      <x:c r="I14" s="1277"/>
      <x:c r="J14" s="1277"/>
      <x:c r="K14" s="1277"/>
      <x:c r="L14" s="1277"/>
      <x:c r="M14" s="1277"/>
      <x:c r="N14" s="1277"/>
      <x:c r="O14" s="1277"/>
      <x:c r="P14" s="1277"/>
      <x:c r="Q14" s="1277"/>
      <x:c r="R14" s="1277"/>
      <x:c r="S14" s="1277"/>
      <x:c r="T14" s="1277"/>
      <x:c r="U14" s="1277"/>
      <x:c r="V14" s="1277"/>
      <x:c r="W14" s="1277"/>
      <x:c r="X14" s="1277"/>
      <x:c r="Y14" s="1277"/>
      <x:c r="Z14" s="1277"/>
    </x:row>
    <x:row r="15">
      <x:c r="A15" s="3593" t="str">
        <x:v>PLANIFICACIÓN · INTENCIÓN</x:v>
      </x:c>
      <x:c r="B15" s="3593"/>
      <x:c r="C15" s="3593"/>
      <x:c r="D15" s="3593"/>
      <x:c r="E15" s="3593"/>
      <x:c r="F15" s="3593"/>
      <x:c r="G15" s="3593"/>
      <x:c r="H15" s="3593"/>
      <x:c r="I15" s="3593" t="str">
        <x:v>EJECUCIÓN / PARTES · REALIDAD</x:v>
      </x:c>
      <x:c r="J15" s="3593"/>
      <x:c r="K15" s="3593"/>
      <x:c r="L15" s="3593"/>
      <x:c r="M15" s="3593"/>
      <x:c r="N15" s="3593"/>
      <x:c r="O15" s="3593"/>
      <x:c r="P15" s="3593"/>
      <x:c r="Q15" s="3593"/>
      <x:c r="R15" s="3593" t="str">
        <x:v>CERTIFICACIÓN / FACTURACIÓN · ACEPTACIÓN</x:v>
      </x:c>
      <x:c r="S15" s="3593"/>
      <x:c r="T15" s="3593"/>
      <x:c r="U15" s="3593"/>
      <x:c r="V15" s="3593"/>
      <x:c r="W15" s="3593"/>
      <x:c r="X15" s="3593"/>
      <x:c r="Y15" s="3593"/>
      <x:c r="Z15" s="3593"/>
    </x:row>
    <x:row r="16">
      <x:c r="A16" s="1277"/>
      <x:c r="B16" s="1277"/>
      <x:c r="C16" s="1277"/>
      <x:c r="D16" s="1277"/>
      <x:c r="E16" s="1277"/>
      <x:c r="F16" s="1277"/>
      <x:c r="G16" s="1277"/>
      <x:c r="H16" s="1277"/>
      <x:c r="I16" s="1277"/>
      <x:c r="J16" s="1277"/>
      <x:c r="K16" s="1277"/>
      <x:c r="L16" s="1277"/>
      <x:c r="M16" s="1277"/>
      <x:c r="N16" s="1277"/>
      <x:c r="O16" s="1277"/>
      <x:c r="P16" s="1277"/>
      <x:c r="Q16" s="1277"/>
      <x:c r="R16" s="1277"/>
      <x:c r="S16" s="1277"/>
      <x:c r="T16" s="1277"/>
      <x:c r="U16" s="1277"/>
      <x:c r="V16" s="1277"/>
      <x:c r="W16" s="1277"/>
      <x:c r="X16" s="1277"/>
      <x:c r="Y16" s="1277"/>
      <x:c r="Z16" s="1277"/>
    </x:row>
    <x:row r="17">
      <x:c r="A17" s="3575" t="str">
        <x:v>DEMANDA → CALIFICAR → ALCANCE</x:v>
      </x:c>
      <x:c r="B17" s="3576"/>
      <x:c r="C17" s="3576"/>
      <x:c r="D17" s="3576"/>
      <x:c r="E17" s="3576"/>
      <x:c r="F17" s="3576"/>
      <x:c r="G17" s="3576"/>
      <x:c r="H17" s="3577"/>
      <x:c r="I17" s="3575" t="str">
        <x:v>ƒ MOTOR DE RUTEO REAL
NO selector manual</x:v>
      </x:c>
      <x:c r="J17" s="3576"/>
      <x:c r="K17" s="3576"/>
      <x:c r="L17" s="3576"/>
      <x:c r="M17" s="3576"/>
      <x:c r="N17" s="3576"/>
      <x:c r="O17" s="3576"/>
      <x:c r="P17" s="3576"/>
      <x:c r="Q17" s="3577"/>
      <x:c r="R17" s="3575" t="str">
        <x:v>INGESTA · VERDAD OPERATIVA
+ LINEAGE</x:v>
      </x:c>
      <x:c r="S17" s="3576"/>
      <x:c r="T17" s="3576"/>
      <x:c r="U17" s="3576"/>
      <x:c r="V17" s="3576"/>
      <x:c r="W17" s="3576"/>
      <x:c r="X17" s="3576"/>
      <x:c r="Y17" s="3576"/>
      <x:c r="Z17" s="3577"/>
    </x:row>
    <x:row r="18">
      <x:c r="A18" s="3581"/>
      <x:c r="B18" s="3582"/>
      <x:c r="C18" s="3582"/>
      <x:c r="D18" s="3582"/>
      <x:c r="E18" s="3582"/>
      <x:c r="F18" s="3582"/>
      <x:c r="G18" s="3582"/>
      <x:c r="H18" s="3583"/>
      <x:c r="I18" s="3581"/>
      <x:c r="J18" s="3582"/>
      <x:c r="K18" s="3582"/>
      <x:c r="L18" s="3582"/>
      <x:c r="M18" s="3582"/>
      <x:c r="N18" s="3582"/>
      <x:c r="O18" s="3582"/>
      <x:c r="P18" s="3582"/>
      <x:c r="Q18" s="3583"/>
      <x:c r="R18" s="3581"/>
      <x:c r="S18" s="3582"/>
      <x:c r="T18" s="3582"/>
      <x:c r="U18" s="3582"/>
      <x:c r="V18" s="3582"/>
      <x:c r="W18" s="3582"/>
      <x:c r="X18" s="3582"/>
      <x:c r="Y18" s="3582"/>
      <x:c r="Z18" s="3583"/>
    </x:row>
    <x:row r="19">
      <x:c r="A19" s="3581"/>
      <x:c r="B19" s="3582"/>
      <x:c r="C19" s="3582"/>
      <x:c r="D19" s="3582"/>
      <x:c r="E19" s="3582"/>
      <x:c r="F19" s="3582"/>
      <x:c r="G19" s="3582"/>
      <x:c r="H19" s="3583"/>
      <x:c r="I19" s="3581"/>
      <x:c r="J19" s="3582"/>
      <x:c r="K19" s="3582"/>
      <x:c r="L19" s="3582"/>
      <x:c r="M19" s="3582"/>
      <x:c r="N19" s="3582"/>
      <x:c r="O19" s="3582"/>
      <x:c r="P19" s="3582"/>
      <x:c r="Q19" s="3583"/>
      <x:c r="R19" s="3581"/>
      <x:c r="S19" s="3582"/>
      <x:c r="T19" s="3582"/>
      <x:c r="U19" s="3582"/>
      <x:c r="V19" s="3582"/>
      <x:c r="W19" s="3582"/>
      <x:c r="X19" s="3582"/>
      <x:c r="Y19" s="3582"/>
      <x:c r="Z19" s="3583"/>
    </x:row>
    <x:row r="20">
      <x:c r="A20" s="3587"/>
      <x:c r="B20" s="3588"/>
      <x:c r="C20" s="3588"/>
      <x:c r="D20" s="3588"/>
      <x:c r="E20" s="3588"/>
      <x:c r="F20" s="3588"/>
      <x:c r="G20" s="3588"/>
      <x:c r="H20" s="3589"/>
      <x:c r="I20" s="3587"/>
      <x:c r="J20" s="3588"/>
      <x:c r="K20" s="3588"/>
      <x:c r="L20" s="3588"/>
      <x:c r="M20" s="3588"/>
      <x:c r="N20" s="3588"/>
      <x:c r="O20" s="3588"/>
      <x:c r="P20" s="3588"/>
      <x:c r="Q20" s="3589"/>
      <x:c r="R20" s="3587"/>
      <x:c r="S20" s="3588"/>
      <x:c r="T20" s="3588"/>
      <x:c r="U20" s="3588"/>
      <x:c r="V20" s="3588"/>
      <x:c r="W20" s="3588"/>
      <x:c r="X20" s="3588"/>
      <x:c r="Y20" s="3588"/>
      <x:c r="Z20" s="3589"/>
    </x:row>
    <x:row r="21">
      <x:c r="A21" s="1277"/>
      <x:c r="B21" s="1277"/>
      <x:c r="C21" s="1277"/>
      <x:c r="D21" s="1385" t="str">
        <x:v>↓</x:v>
      </x:c>
      <x:c r="E21" s="1277"/>
      <x:c r="F21" s="1277"/>
      <x:c r="G21" s="1277"/>
      <x:c r="H21" s="1277"/>
      <x:c r="I21" s="1277"/>
      <x:c r="J21" s="1277"/>
      <x:c r="K21" s="1277"/>
      <x:c r="L21" s="1277"/>
      <x:c r="M21" s="1277"/>
      <x:c r="N21" s="1277"/>
      <x:c r="O21" s="1277"/>
      <x:c r="P21" s="1277"/>
      <x:c r="Q21" s="1277"/>
      <x:c r="R21" s="1277"/>
      <x:c r="S21" s="1277"/>
      <x:c r="T21" s="1277"/>
      <x:c r="U21" s="1277"/>
      <x:c r="V21" s="1385" t="str">
        <x:v>↓</x:v>
      </x:c>
      <x:c r="W21" s="1277"/>
      <x:c r="X21" s="1277"/>
      <x:c r="Y21" s="1277"/>
      <x:c r="Z21" s="1277"/>
    </x:row>
    <x:row r="22">
      <x:c r="A22" s="3575" t="str">
        <x:v>CAPACIDAD / COMPETENCIAS
→ MATCHING / DISPONIBILIDAD</x:v>
      </x:c>
      <x:c r="B22" s="3576"/>
      <x:c r="C22" s="3576"/>
      <x:c r="D22" s="3576"/>
      <x:c r="E22" s="3576"/>
      <x:c r="F22" s="3576"/>
      <x:c r="G22" s="3576"/>
      <x:c r="H22" s="3577"/>
      <x:c r="I22" s="3594" t="str">
        <x:v>CATÁLOGO CANDIDATO DE EJECUCIÓN</x:v>
      </x:c>
      <x:c r="J22" s="3594"/>
      <x:c r="K22" s="3594"/>
      <x:c r="L22" s="3594"/>
      <x:c r="M22" s="3594"/>
      <x:c r="N22" s="3594"/>
      <x:c r="O22" s="3594"/>
      <x:c r="P22" s="3594"/>
      <x:c r="Q22" s="3594"/>
      <x:c r="R22" s="3575" t="str">
        <x:v>NORMALIZAR
Item/CC · medición · tiempo
ReglaTratamientoTiempo</x:v>
      </x:c>
      <x:c r="S22" s="3576"/>
      <x:c r="T22" s="3576"/>
      <x:c r="U22" s="3576"/>
      <x:c r="V22" s="3576"/>
      <x:c r="W22" s="3576"/>
      <x:c r="X22" s="3576"/>
      <x:c r="Y22" s="3576"/>
      <x:c r="Z22" s="3577"/>
    </x:row>
    <x:row r="23">
      <x:c r="A23" s="3581"/>
      <x:c r="B23" s="3582"/>
      <x:c r="C23" s="3582"/>
      <x:c r="D23" s="3582"/>
      <x:c r="E23" s="3582"/>
      <x:c r="F23" s="3582"/>
      <x:c r="G23" s="3582"/>
      <x:c r="H23" s="3583"/>
      <x:c r="I23" s="1277"/>
      <x:c r="J23" s="1277"/>
      <x:c r="K23" s="1277"/>
      <x:c r="L23" s="1277"/>
      <x:c r="M23" s="1277"/>
      <x:c r="N23" s="1277"/>
      <x:c r="O23" s="1277"/>
      <x:c r="P23" s="1277"/>
      <x:c r="Q23" s="1277"/>
      <x:c r="R23" s="3581"/>
      <x:c r="S23" s="3582"/>
      <x:c r="T23" s="3582"/>
      <x:c r="U23" s="3582"/>
      <x:c r="V23" s="3582"/>
      <x:c r="W23" s="3582"/>
      <x:c r="X23" s="3582"/>
      <x:c r="Y23" s="3582"/>
      <x:c r="Z23" s="3583"/>
    </x:row>
    <x:row r="24">
      <x:c r="A24" s="3581"/>
      <x:c r="B24" s="3582"/>
      <x:c r="C24" s="3582"/>
      <x:c r="D24" s="3582"/>
      <x:c r="E24" s="3582"/>
      <x:c r="F24" s="3582"/>
      <x:c r="G24" s="3582"/>
      <x:c r="H24" s="3583"/>
      <x:c r="I24" s="3575" t="str">
        <x:v>TP-01
INTERVENCIÓN /
WORK PACKAGE
1..N UE</x:v>
      </x:c>
      <x:c r="J24" s="3576"/>
      <x:c r="K24" s="3577"/>
      <x:c r="L24" s="3575" t="str">
        <x:v>TP-02
TRANSPORTE
N MOVIMIENTOS</x:v>
      </x:c>
      <x:c r="M24" s="3576"/>
      <x:c r="N24" s="3577"/>
      <x:c r="O24" s="3575" t="str">
        <x:v>TP-03
REPORTE CUADRILLA
N UE / TURNO</x:v>
      </x:c>
      <x:c r="P24" s="3576"/>
      <x:c r="Q24" s="3577"/>
      <x:c r="R24" s="3581"/>
      <x:c r="S24" s="3582"/>
      <x:c r="T24" s="3582"/>
      <x:c r="U24" s="3582"/>
      <x:c r="V24" s="3582"/>
      <x:c r="W24" s="3582"/>
      <x:c r="X24" s="3582"/>
      <x:c r="Y24" s="3582"/>
      <x:c r="Z24" s="3583"/>
    </x:row>
    <x:row r="25">
      <x:c r="A25" s="3587"/>
      <x:c r="B25" s="3588"/>
      <x:c r="C25" s="3588"/>
      <x:c r="D25" s="3588"/>
      <x:c r="E25" s="3588"/>
      <x:c r="F25" s="3588"/>
      <x:c r="G25" s="3588"/>
      <x:c r="H25" s="3589"/>
      <x:c r="I25" s="3581"/>
      <x:c r="J25" s="3582"/>
      <x:c r="K25" s="3583"/>
      <x:c r="L25" s="3581"/>
      <x:c r="M25" s="3582"/>
      <x:c r="N25" s="3583"/>
      <x:c r="O25" s="3581"/>
      <x:c r="P25" s="3582"/>
      <x:c r="Q25" s="3583"/>
      <x:c r="R25" s="3587"/>
      <x:c r="S25" s="3588"/>
      <x:c r="T25" s="3588"/>
      <x:c r="U25" s="3588"/>
      <x:c r="V25" s="3588"/>
      <x:c r="W25" s="3588"/>
      <x:c r="X25" s="3588"/>
      <x:c r="Y25" s="3588"/>
      <x:c r="Z25" s="3589"/>
    </x:row>
    <x:row r="26">
      <x:c r="A26" s="1277"/>
      <x:c r="B26" s="1277"/>
      <x:c r="C26" s="1277"/>
      <x:c r="D26" s="1385" t="str">
        <x:v>↓</x:v>
      </x:c>
      <x:c r="E26" s="1277"/>
      <x:c r="F26" s="1277"/>
      <x:c r="G26" s="1277"/>
      <x:c r="H26" s="1277"/>
      <x:c r="I26" s="3581"/>
      <x:c r="J26" s="3582"/>
      <x:c r="K26" s="3583"/>
      <x:c r="L26" s="3581"/>
      <x:c r="M26" s="3582"/>
      <x:c r="N26" s="3583"/>
      <x:c r="O26" s="3581"/>
      <x:c r="P26" s="3582"/>
      <x:c r="Q26" s="3583"/>
      <x:c r="R26" s="1277"/>
      <x:c r="S26" s="1277"/>
      <x:c r="T26" s="1277"/>
      <x:c r="U26" s="1277"/>
      <x:c r="V26" s="1385" t="str">
        <x:v>↓</x:v>
      </x:c>
      <x:c r="W26" s="1277"/>
      <x:c r="X26" s="1277"/>
      <x:c r="Y26" s="1277"/>
      <x:c r="Z26" s="1277"/>
    </x:row>
    <x:row r="27">
      <x:c r="A27" s="3575" t="str">
        <x:v>PROGRAMAR / NOMINAR
→ READINESS TEMPORAL
→ CONFIRMAR PlanificacionVersion</x:v>
      </x:c>
      <x:c r="B27" s="3576"/>
      <x:c r="C27" s="3576"/>
      <x:c r="D27" s="3576"/>
      <x:c r="E27" s="3576"/>
      <x:c r="F27" s="3576"/>
      <x:c r="G27" s="3576"/>
      <x:c r="H27" s="3577"/>
      <x:c r="I27" s="3581"/>
      <x:c r="J27" s="3582"/>
      <x:c r="K27" s="3583"/>
      <x:c r="L27" s="3581"/>
      <x:c r="M27" s="3582"/>
      <x:c r="N27" s="3583"/>
      <x:c r="O27" s="3581"/>
      <x:c r="P27" s="3582"/>
      <x:c r="Q27" s="3583"/>
      <x:c r="R27" s="3578" t="str">
        <x:v>ƒ GRANO UNIDAD COMERCIAL
UE · movimiento · intervención
ítem · día · período</x:v>
      </x:c>
      <x:c r="S27" s="3579"/>
      <x:c r="T27" s="3579"/>
      <x:c r="U27" s="3579"/>
      <x:c r="V27" s="3579"/>
      <x:c r="W27" s="3579"/>
      <x:c r="X27" s="3579"/>
      <x:c r="Y27" s="3579"/>
      <x:c r="Z27" s="3580"/>
    </x:row>
    <x:row r="28">
      <x:c r="A28" s="3581"/>
      <x:c r="B28" s="3582"/>
      <x:c r="C28" s="3582"/>
      <x:c r="D28" s="3582"/>
      <x:c r="E28" s="3582"/>
      <x:c r="F28" s="3582"/>
      <x:c r="G28" s="3582"/>
      <x:c r="H28" s="3583"/>
      <x:c r="I28" s="3581"/>
      <x:c r="J28" s="3582"/>
      <x:c r="K28" s="3583"/>
      <x:c r="L28" s="3581"/>
      <x:c r="M28" s="3582"/>
      <x:c r="N28" s="3583"/>
      <x:c r="O28" s="3581"/>
      <x:c r="P28" s="3582"/>
      <x:c r="Q28" s="3583"/>
      <x:c r="R28" s="3584"/>
      <x:c r="S28" s="3585"/>
      <x:c r="T28" s="3585"/>
      <x:c r="U28" s="3585"/>
      <x:c r="V28" s="3585"/>
      <x:c r="W28" s="3585"/>
      <x:c r="X28" s="3585"/>
      <x:c r="Y28" s="3585"/>
      <x:c r="Z28" s="3586"/>
    </x:row>
    <x:row r="29">
      <x:c r="A29" s="3581"/>
      <x:c r="B29" s="3582"/>
      <x:c r="C29" s="3582"/>
      <x:c r="D29" s="3582"/>
      <x:c r="E29" s="3582"/>
      <x:c r="F29" s="3582"/>
      <x:c r="G29" s="3582"/>
      <x:c r="H29" s="3583"/>
      <x:c r="I29" s="3587"/>
      <x:c r="J29" s="3588"/>
      <x:c r="K29" s="3589"/>
      <x:c r="L29" s="3587"/>
      <x:c r="M29" s="3588"/>
      <x:c r="N29" s="3589"/>
      <x:c r="O29" s="3587"/>
      <x:c r="P29" s="3588"/>
      <x:c r="Q29" s="3589"/>
      <x:c r="R29" s="3584"/>
      <x:c r="S29" s="3585"/>
      <x:c r="T29" s="3585"/>
      <x:c r="U29" s="3585"/>
      <x:c r="V29" s="3585"/>
      <x:c r="W29" s="3585"/>
      <x:c r="X29" s="3585"/>
      <x:c r="Y29" s="3585"/>
      <x:c r="Z29" s="3586"/>
    </x:row>
    <x:row r="30">
      <x:c r="A30" s="3581"/>
      <x:c r="B30" s="3582"/>
      <x:c r="C30" s="3582"/>
      <x:c r="D30" s="3582"/>
      <x:c r="E30" s="3582"/>
      <x:c r="F30" s="3582"/>
      <x:c r="G30" s="3582"/>
      <x:c r="H30" s="3583"/>
      <x:c r="I30" s="1277"/>
      <x:c r="J30" s="1277"/>
      <x:c r="K30" s="1277"/>
      <x:c r="L30" s="1277"/>
      <x:c r="M30" s="1277"/>
      <x:c r="N30" s="1277"/>
      <x:c r="O30" s="1277"/>
      <x:c r="P30" s="1277"/>
      <x:c r="Q30" s="1277"/>
      <x:c r="R30" s="3590"/>
      <x:c r="S30" s="3591"/>
      <x:c r="T30" s="3591"/>
      <x:c r="U30" s="3591"/>
      <x:c r="V30" s="3591"/>
      <x:c r="W30" s="3591"/>
      <x:c r="X30" s="3591"/>
      <x:c r="Y30" s="3591"/>
      <x:c r="Z30" s="3592"/>
    </x:row>
    <x:row r="31">
      <x:c r="A31" s="3587"/>
      <x:c r="B31" s="3588"/>
      <x:c r="C31" s="3588"/>
      <x:c r="D31" s="3588"/>
      <x:c r="E31" s="3588"/>
      <x:c r="F31" s="3588"/>
      <x:c r="G31" s="3588"/>
      <x:c r="H31" s="3589"/>
      <x:c r="I31" s="3595" t="str">
        <x:v>Habilita NO entra en este router. EventoHabilita corre transversalmente.</x:v>
      </x:c>
      <x:c r="J31" s="3595"/>
      <x:c r="K31" s="3595"/>
      <x:c r="L31" s="3595"/>
      <x:c r="M31" s="3595"/>
      <x:c r="N31" s="3595"/>
      <x:c r="O31" s="3595"/>
      <x:c r="P31" s="3595"/>
      <x:c r="Q31" s="3595"/>
      <x:c r="R31" s="1277"/>
      <x:c r="S31" s="1277"/>
      <x:c r="T31" s="1277"/>
      <x:c r="U31" s="1277"/>
      <x:c r="V31" s="1385" t="str">
        <x:v>↓</x:v>
      </x:c>
      <x:c r="W31" s="1277"/>
      <x:c r="X31" s="1277"/>
      <x:c r="Y31" s="1277"/>
      <x:c r="Z31" s="1277"/>
    </x:row>
    <x:row r="32">
      <x:c r="A32" s="1277"/>
      <x:c r="B32" s="1277"/>
      <x:c r="C32" s="1277"/>
      <x:c r="D32" s="1277"/>
      <x:c r="E32" s="1277"/>
      <x:c r="F32" s="1277"/>
      <x:c r="G32" s="1277"/>
      <x:c r="H32" s="1277"/>
      <x:c r="I32" s="3595"/>
      <x:c r="J32" s="3595"/>
      <x:c r="K32" s="3595"/>
      <x:c r="L32" s="3595"/>
      <x:c r="M32" s="3595"/>
      <x:c r="N32" s="3595"/>
      <x:c r="O32" s="3595"/>
      <x:c r="P32" s="3595"/>
      <x:c r="Q32" s="3595"/>
      <x:c r="R32" s="3575" t="str">
        <x:v>UNIDAD COMERCIAL
→ AGRUPAR / PARCIALIDAD
→ CERTIFICAR / AJUSTAR</x:v>
      </x:c>
      <x:c r="S32" s="3576"/>
      <x:c r="T32" s="3576"/>
      <x:c r="U32" s="3576"/>
      <x:c r="V32" s="3576"/>
      <x:c r="W32" s="3576"/>
      <x:c r="X32" s="3576"/>
      <x:c r="Y32" s="3576"/>
      <x:c r="Z32" s="3577"/>
    </x:row>
    <x:row r="33">
      <x:c r="A33" s="1277"/>
      <x:c r="B33" s="1277"/>
      <x:c r="C33" s="1277"/>
      <x:c r="D33" s="1277"/>
      <x:c r="E33" s="1277"/>
      <x:c r="F33" s="1277"/>
      <x:c r="G33" s="1277"/>
      <x:c r="H33" s="1277"/>
      <x:c r="I33" s="1277"/>
      <x:c r="J33" s="1277"/>
      <x:c r="K33" s="1277"/>
      <x:c r="L33" s="1277"/>
      <x:c r="M33" s="1277"/>
      <x:c r="N33" s="1277"/>
      <x:c r="O33" s="1277"/>
      <x:c r="P33" s="1277"/>
      <x:c r="Q33" s="1277"/>
      <x:c r="R33" s="3581"/>
      <x:c r="S33" s="3582"/>
      <x:c r="T33" s="3582"/>
      <x:c r="U33" s="3582"/>
      <x:c r="V33" s="3582"/>
      <x:c r="W33" s="3582"/>
      <x:c r="X33" s="3582"/>
      <x:c r="Y33" s="3582"/>
      <x:c r="Z33" s="3583"/>
    </x:row>
    <x:row r="34">
      <x:c r="A34" s="3596" t="str">
        <x:v>I-A · PLANIFICACIÓN → EJECUCIÓN · CONTRATO FUNCIONAL CANDIDATO</x:v>
      </x:c>
      <x:c r="B34" s="3596"/>
      <x:c r="C34" s="3596"/>
      <x:c r="D34" s="3596"/>
      <x:c r="E34" s="3596"/>
      <x:c r="F34" s="3596"/>
      <x:c r="G34" s="3596"/>
      <x:c r="H34" s="3596"/>
      <x:c r="I34" s="3596"/>
      <x:c r="J34" s="3596"/>
      <x:c r="K34" s="3596"/>
      <x:c r="L34" s="3596"/>
      <x:c r="M34" s="3596"/>
      <x:c r="N34" s="3596"/>
      <x:c r="O34" s="3596"/>
      <x:c r="P34" s="3596"/>
      <x:c r="Q34" s="3596"/>
      <x:c r="R34" s="3581"/>
      <x:c r="S34" s="3582"/>
      <x:c r="T34" s="3582"/>
      <x:c r="U34" s="3582"/>
      <x:c r="V34" s="3582"/>
      <x:c r="W34" s="3582"/>
      <x:c r="X34" s="3582"/>
      <x:c r="Y34" s="3582"/>
      <x:c r="Z34" s="3583"/>
    </x:row>
    <x:row r="35">
      <x:c r="A35" s="3597" t="str">
        <x:v>PlanificacionVersion aprobada + asignaciones/unidades + ventana + contexto + recursos/personas previstas + prioridad + readiness/pre-check + TipoParte previsto + ExecutionContextBundle versionado para offline.</x:v>
      </x:c>
      <x:c r="B35" s="3597"/>
      <x:c r="C35" s="3597"/>
      <x:c r="D35" s="3597"/>
      <x:c r="E35" s="3597"/>
      <x:c r="F35" s="3597"/>
      <x:c r="G35" s="3597"/>
      <x:c r="H35" s="3597"/>
      <x:c r="I35" s="3597"/>
      <x:c r="J35" s="3597"/>
      <x:c r="K35" s="3597"/>
      <x:c r="L35" s="3597"/>
      <x:c r="M35" s="3597"/>
      <x:c r="N35" s="3597"/>
      <x:c r="O35" s="3597"/>
      <x:c r="P35" s="3597"/>
      <x:c r="Q35" s="3597"/>
      <x:c r="R35" s="3581"/>
      <x:c r="S35" s="3582"/>
      <x:c r="T35" s="3582"/>
      <x:c r="U35" s="3582"/>
      <x:c r="V35" s="3582"/>
      <x:c r="W35" s="3582"/>
      <x:c r="X35" s="3582"/>
      <x:c r="Y35" s="3582"/>
      <x:c r="Z35" s="3583"/>
    </x:row>
    <x:row r="36">
      <x:c r="A36" s="3597"/>
      <x:c r="B36" s="3597"/>
      <x:c r="C36" s="3597"/>
      <x:c r="D36" s="3597"/>
      <x:c r="E36" s="3597"/>
      <x:c r="F36" s="3597"/>
      <x:c r="G36" s="3597"/>
      <x:c r="H36" s="3597"/>
      <x:c r="I36" s="3597"/>
      <x:c r="J36" s="3597"/>
      <x:c r="K36" s="3597"/>
      <x:c r="L36" s="3597"/>
      <x:c r="M36" s="3597"/>
      <x:c r="N36" s="3597"/>
      <x:c r="O36" s="3597"/>
      <x:c r="P36" s="3597"/>
      <x:c r="Q36" s="3597"/>
      <x:c r="R36" s="3587"/>
      <x:c r="S36" s="3588"/>
      <x:c r="T36" s="3588"/>
      <x:c r="U36" s="3588"/>
      <x:c r="V36" s="3588"/>
      <x:c r="W36" s="3588"/>
      <x:c r="X36" s="3588"/>
      <x:c r="Y36" s="3588"/>
      <x:c r="Z36" s="3589"/>
    </x:row>
    <x:row r="37">
      <x:c r="A37" s="3597"/>
      <x:c r="B37" s="3597"/>
      <x:c r="C37" s="3597"/>
      <x:c r="D37" s="3597"/>
      <x:c r="E37" s="3597"/>
      <x:c r="F37" s="3597"/>
      <x:c r="G37" s="3597"/>
      <x:c r="H37" s="3597"/>
      <x:c r="I37" s="3597"/>
      <x:c r="J37" s="3597"/>
      <x:c r="K37" s="3597"/>
      <x:c r="L37" s="3597"/>
      <x:c r="M37" s="3597"/>
      <x:c r="N37" s="3597"/>
      <x:c r="O37" s="3597"/>
      <x:c r="P37" s="3597"/>
      <x:c r="Q37" s="3597"/>
      <x:c r="R37" s="1277"/>
      <x:c r="S37" s="1277"/>
      <x:c r="T37" s="1277"/>
      <x:c r="U37" s="1277"/>
      <x:c r="V37" s="1385" t="str">
        <x:v>↓</x:v>
      </x:c>
      <x:c r="W37" s="1277"/>
      <x:c r="X37" s="1277"/>
      <x:c r="Y37" s="1277"/>
      <x:c r="Z37" s="1277"/>
    </x:row>
    <x:row r="38">
      <x:c r="A38" s="3597"/>
      <x:c r="B38" s="3597"/>
      <x:c r="C38" s="3597"/>
      <x:c r="D38" s="3597"/>
      <x:c r="E38" s="3597"/>
      <x:c r="F38" s="3597"/>
      <x:c r="G38" s="3597"/>
      <x:c r="H38" s="3597"/>
      <x:c r="I38" s="3597"/>
      <x:c r="J38" s="3597"/>
      <x:c r="K38" s="3597"/>
      <x:c r="L38" s="3597"/>
      <x:c r="M38" s="3597"/>
      <x:c r="N38" s="3597"/>
      <x:c r="O38" s="3597"/>
      <x:c r="P38" s="3597"/>
      <x:c r="Q38" s="3597"/>
      <x:c r="R38" s="3575" t="str">
        <x:v>LÍNEA FACTURABLE
→ LOTE → FACTURA</x:v>
      </x:c>
      <x:c r="S38" s="3576"/>
      <x:c r="T38" s="3576"/>
      <x:c r="U38" s="3576"/>
      <x:c r="V38" s="3576"/>
      <x:c r="W38" s="3576"/>
      <x:c r="X38" s="3576"/>
      <x:c r="Y38" s="3576"/>
      <x:c r="Z38" s="3577"/>
    </x:row>
    <x:row r="39">
      <x:c r="A39" s="1277"/>
      <x:c r="B39" s="1277"/>
      <x:c r="C39" s="1277"/>
      <x:c r="D39" s="1277"/>
      <x:c r="E39" s="1277"/>
      <x:c r="F39" s="1277"/>
      <x:c r="G39" s="1277"/>
      <x:c r="H39" s="1277"/>
      <x:c r="I39" s="1277"/>
      <x:c r="J39" s="1277"/>
      <x:c r="K39" s="1277"/>
      <x:c r="L39" s="1277"/>
      <x:c r="M39" s="1277"/>
      <x:c r="N39" s="1277"/>
      <x:c r="O39" s="1277"/>
      <x:c r="P39" s="1277"/>
      <x:c r="Q39" s="1277"/>
      <x:c r="R39" s="3581"/>
      <x:c r="S39" s="3582"/>
      <x:c r="T39" s="3582"/>
      <x:c r="U39" s="3582"/>
      <x:c r="V39" s="3582"/>
      <x:c r="W39" s="3582"/>
      <x:c r="X39" s="3582"/>
      <x:c r="Y39" s="3582"/>
      <x:c r="Z39" s="3583"/>
    </x:row>
    <x:row r="40">
      <x:c r="A40" s="1277"/>
      <x:c r="B40" s="1277"/>
      <x:c r="C40" s="1277"/>
      <x:c r="D40" s="1277"/>
      <x:c r="E40" s="1277"/>
      <x:c r="F40" s="1277"/>
      <x:c r="G40" s="1277"/>
      <x:c r="H40" s="1277"/>
      <x:c r="I40" s="3575" t="str">
        <x:v>CONTROL DOCUMENTAL
+ OverrideGate
si regla lo permite</x:v>
      </x:c>
      <x:c r="J40" s="3576"/>
      <x:c r="K40" s="3576"/>
      <x:c r="L40" s="3577"/>
      <x:c r="M40" s="1277"/>
      <x:c r="N40" s="3575" t="str">
        <x:v>PTW / START WORK
[0..N]
PREVENT</x:v>
      </x:c>
      <x:c r="O40" s="3576"/>
      <x:c r="P40" s="3576"/>
      <x:c r="Q40" s="3577"/>
      <x:c r="R40" s="3581"/>
      <x:c r="S40" s="3582"/>
      <x:c r="T40" s="3582"/>
      <x:c r="U40" s="3582"/>
      <x:c r="V40" s="3582"/>
      <x:c r="W40" s="3582"/>
      <x:c r="X40" s="3582"/>
      <x:c r="Y40" s="3582"/>
      <x:c r="Z40" s="3583"/>
    </x:row>
    <x:row r="41">
      <x:c r="A41" s="1277"/>
      <x:c r="B41" s="1277"/>
      <x:c r="C41" s="1277"/>
      <x:c r="D41" s="1277"/>
      <x:c r="E41" s="1277"/>
      <x:c r="F41" s="1277"/>
      <x:c r="G41" s="1277"/>
      <x:c r="H41" s="1277"/>
      <x:c r="I41" s="3581"/>
      <x:c r="J41" s="3582"/>
      <x:c r="K41" s="3582"/>
      <x:c r="L41" s="3583"/>
      <x:c r="M41" s="1277"/>
      <x:c r="N41" s="3581"/>
      <x:c r="O41" s="3582"/>
      <x:c r="P41" s="3582"/>
      <x:c r="Q41" s="3583"/>
      <x:c r="R41" s="3581"/>
      <x:c r="S41" s="3582"/>
      <x:c r="T41" s="3582"/>
      <x:c r="U41" s="3582"/>
      <x:c r="V41" s="3582"/>
      <x:c r="W41" s="3582"/>
      <x:c r="X41" s="3582"/>
      <x:c r="Y41" s="3582"/>
      <x:c r="Z41" s="3583"/>
    </x:row>
    <x:row r="42">
      <x:c r="A42" s="1277"/>
      <x:c r="B42" s="1277"/>
      <x:c r="C42" s="1277"/>
      <x:c r="D42" s="1277"/>
      <x:c r="E42" s="1277"/>
      <x:c r="F42" s="1277"/>
      <x:c r="G42" s="1277"/>
      <x:c r="H42" s="1277"/>
      <x:c r="I42" s="3581"/>
      <x:c r="J42" s="3582"/>
      <x:c r="K42" s="3582"/>
      <x:c r="L42" s="3583"/>
      <x:c r="M42" s="1297" t="str">
        <x:v>→</x:v>
      </x:c>
      <x:c r="N42" s="3581"/>
      <x:c r="O42" s="3582"/>
      <x:c r="P42" s="3582"/>
      <x:c r="Q42" s="3583"/>
      <x:c r="R42" s="3587"/>
      <x:c r="S42" s="3588"/>
      <x:c r="T42" s="3588"/>
      <x:c r="U42" s="3588"/>
      <x:c r="V42" s="3588"/>
      <x:c r="W42" s="3588"/>
      <x:c r="X42" s="3588"/>
      <x:c r="Y42" s="3588"/>
      <x:c r="Z42" s="3589"/>
    </x:row>
    <x:row r="43">
      <x:c r="A43" s="1277"/>
      <x:c r="B43" s="1277"/>
      <x:c r="C43" s="1277"/>
      <x:c r="D43" s="1277"/>
      <x:c r="E43" s="1277"/>
      <x:c r="F43" s="1277"/>
      <x:c r="G43" s="1277"/>
      <x:c r="H43" s="1277"/>
      <x:c r="I43" s="3581"/>
      <x:c r="J43" s="3582"/>
      <x:c r="K43" s="3582"/>
      <x:c r="L43" s="3583"/>
      <x:c r="M43" s="1277"/>
      <x:c r="N43" s="3581"/>
      <x:c r="O43" s="3582"/>
      <x:c r="P43" s="3582"/>
      <x:c r="Q43" s="3583"/>
      <x:c r="R43" s="1277"/>
      <x:c r="S43" s="1277"/>
      <x:c r="T43" s="1277"/>
      <x:c r="U43" s="1277"/>
      <x:c r="V43" s="1277"/>
      <x:c r="W43" s="1277"/>
      <x:c r="X43" s="1277"/>
      <x:c r="Y43" s="1277"/>
      <x:c r="Z43" s="1277"/>
    </x:row>
    <x:row r="44">
      <x:c r="A44" s="1277"/>
      <x:c r="B44" s="1277"/>
      <x:c r="C44" s="1277"/>
      <x:c r="D44" s="1277"/>
      <x:c r="E44" s="1277"/>
      <x:c r="F44" s="1277"/>
      <x:c r="G44" s="1277"/>
      <x:c r="H44" s="1277"/>
      <x:c r="I44" s="3587"/>
      <x:c r="J44" s="3588"/>
      <x:c r="K44" s="3588"/>
      <x:c r="L44" s="3589"/>
      <x:c r="M44" s="1277"/>
      <x:c r="N44" s="3587"/>
      <x:c r="O44" s="3588"/>
      <x:c r="P44" s="3588"/>
      <x:c r="Q44" s="3589"/>
      <x:c r="R44" s="1277"/>
      <x:c r="S44" s="1277"/>
      <x:c r="T44" s="1277"/>
      <x:c r="U44" s="1277"/>
      <x:c r="V44" s="1277"/>
      <x:c r="W44" s="1277"/>
      <x:c r="X44" s="1277"/>
      <x:c r="Y44" s="1277"/>
      <x:c r="Z44" s="1277"/>
    </x:row>
    <x:row r="45">
      <x:c r="A45" s="1277"/>
      <x:c r="B45" s="1277"/>
      <x:c r="C45" s="1277"/>
      <x:c r="D45" s="1277"/>
      <x:c r="E45" s="1277"/>
      <x:c r="F45" s="1277"/>
      <x:c r="G45" s="1277"/>
      <x:c r="H45" s="1277"/>
      <x:c r="I45" s="1277"/>
      <x:c r="J45" s="1277"/>
      <x:c r="K45" s="1277"/>
      <x:c r="L45" s="1277"/>
      <x:c r="M45" s="1385" t="str">
        <x:v>↓</x:v>
      </x:c>
      <x:c r="N45" s="1277"/>
      <x:c r="O45" s="1277"/>
      <x:c r="P45" s="1277"/>
      <x:c r="Q45" s="1277"/>
      <x:c r="R45" s="1277"/>
      <x:c r="S45" s="1277"/>
      <x:c r="T45" s="1277"/>
      <x:c r="U45" s="1277"/>
      <x:c r="V45" s="1277"/>
      <x:c r="W45" s="1277"/>
      <x:c r="X45" s="1277"/>
      <x:c r="Y45" s="1277"/>
      <x:c r="Z45" s="1277"/>
    </x:row>
    <x:row r="46">
      <x:c r="A46" s="1277"/>
      <x:c r="B46" s="1277"/>
      <x:c r="C46" s="1277"/>
      <x:c r="D46" s="1277"/>
      <x:c r="E46" s="1277"/>
      <x:c r="F46" s="1277"/>
      <x:c r="G46" s="1277"/>
      <x:c r="H46" s="1277"/>
      <x:c r="I46" s="3575" t="str">
        <x:v>PARTE + UE [1..N]
intervalos persona/recurso · ubicación/activo · tiempo/transiciones
imputación · medición · evidencia · desvíos</x:v>
      </x:c>
      <x:c r="J46" s="3576"/>
      <x:c r="K46" s="3576"/>
      <x:c r="L46" s="3576"/>
      <x:c r="M46" s="3576"/>
      <x:c r="N46" s="3576"/>
      <x:c r="O46" s="3576"/>
      <x:c r="P46" s="3576"/>
      <x:c r="Q46" s="3577"/>
      <x:c r="R46" s="1277"/>
      <x:c r="S46" s="1277"/>
      <x:c r="T46" s="1277"/>
      <x:c r="U46" s="1277"/>
      <x:c r="V46" s="1277"/>
      <x:c r="W46" s="1277"/>
      <x:c r="X46" s="1277"/>
      <x:c r="Y46" s="1277"/>
      <x:c r="Z46" s="1277"/>
    </x:row>
    <x:row r="47">
      <x:c r="A47" s="1277"/>
      <x:c r="B47" s="1277"/>
      <x:c r="C47" s="1277"/>
      <x:c r="D47" s="1277"/>
      <x:c r="E47" s="1277"/>
      <x:c r="F47" s="1277"/>
      <x:c r="G47" s="1277"/>
      <x:c r="H47" s="1277"/>
      <x:c r="I47" s="3581"/>
      <x:c r="J47" s="3582"/>
      <x:c r="K47" s="3582"/>
      <x:c r="L47" s="3582"/>
      <x:c r="M47" s="3582"/>
      <x:c r="N47" s="3582"/>
      <x:c r="O47" s="3582"/>
      <x:c r="P47" s="3582"/>
      <x:c r="Q47" s="3583"/>
      <x:c r="R47" s="1277"/>
      <x:c r="S47" s="1277"/>
      <x:c r="T47" s="1277"/>
      <x:c r="U47" s="1277"/>
      <x:c r="V47" s="1277"/>
      <x:c r="W47" s="1277"/>
      <x:c r="X47" s="1277"/>
      <x:c r="Y47" s="1277"/>
      <x:c r="Z47" s="1277"/>
    </x:row>
    <x:row r="48">
      <x:c r="A48" s="1277"/>
      <x:c r="B48" s="1277"/>
      <x:c r="C48" s="1277"/>
      <x:c r="D48" s="1277"/>
      <x:c r="E48" s="1277"/>
      <x:c r="F48" s="1277"/>
      <x:c r="G48" s="1277"/>
      <x:c r="H48" s="1277"/>
      <x:c r="I48" s="3581"/>
      <x:c r="J48" s="3582"/>
      <x:c r="K48" s="3582"/>
      <x:c r="L48" s="3582"/>
      <x:c r="M48" s="3582"/>
      <x:c r="N48" s="3582"/>
      <x:c r="O48" s="3582"/>
      <x:c r="P48" s="3582"/>
      <x:c r="Q48" s="3583"/>
      <x:c r="R48" s="1277"/>
      <x:c r="S48" s="1277"/>
      <x:c r="T48" s="1277"/>
      <x:c r="U48" s="1277"/>
      <x:c r="V48" s="1277"/>
      <x:c r="W48" s="1277"/>
      <x:c r="X48" s="1277"/>
      <x:c r="Y48" s="1277"/>
      <x:c r="Z48" s="1277"/>
    </x:row>
    <x:row r="49">
      <x:c r="A49" s="1277"/>
      <x:c r="B49" s="1277"/>
      <x:c r="C49" s="1277"/>
      <x:c r="D49" s="1277"/>
      <x:c r="E49" s="1277"/>
      <x:c r="F49" s="1277"/>
      <x:c r="G49" s="1277"/>
      <x:c r="H49" s="1277"/>
      <x:c r="I49" s="3581"/>
      <x:c r="J49" s="3582"/>
      <x:c r="K49" s="3582"/>
      <x:c r="L49" s="3582"/>
      <x:c r="M49" s="3582"/>
      <x:c r="N49" s="3582"/>
      <x:c r="O49" s="3582"/>
      <x:c r="P49" s="3582"/>
      <x:c r="Q49" s="3583"/>
      <x:c r="R49" s="1277"/>
      <x:c r="S49" s="1277"/>
      <x:c r="T49" s="1277"/>
      <x:c r="U49" s="1277"/>
      <x:c r="V49" s="1277"/>
      <x:c r="W49" s="1277"/>
      <x:c r="X49" s="1277"/>
      <x:c r="Y49" s="1277"/>
      <x:c r="Z49" s="1277"/>
    </x:row>
    <x:row r="50">
      <x:c r="A50" s="1277"/>
      <x:c r="B50" s="1277"/>
      <x:c r="C50" s="1277"/>
      <x:c r="D50" s="1277"/>
      <x:c r="E50" s="1277"/>
      <x:c r="F50" s="1277"/>
      <x:c r="G50" s="1277"/>
      <x:c r="H50" s="1277"/>
      <x:c r="I50" s="3581"/>
      <x:c r="J50" s="3582"/>
      <x:c r="K50" s="3582"/>
      <x:c r="L50" s="3582"/>
      <x:c r="M50" s="3582"/>
      <x:c r="N50" s="3582"/>
      <x:c r="O50" s="3582"/>
      <x:c r="P50" s="3582"/>
      <x:c r="Q50" s="3583"/>
      <x:c r="R50" s="1277"/>
      <x:c r="S50" s="1277"/>
      <x:c r="T50" s="1277"/>
      <x:c r="U50" s="1277"/>
      <x:c r="V50" s="1277"/>
      <x:c r="W50" s="1277"/>
      <x:c r="X50" s="1277"/>
      <x:c r="Y50" s="1277"/>
      <x:c r="Z50" s="1277"/>
    </x:row>
    <x:row r="51">
      <x:c r="A51" s="1277"/>
      <x:c r="B51" s="1277"/>
      <x:c r="C51" s="1277"/>
      <x:c r="D51" s="1277"/>
      <x:c r="E51" s="1277"/>
      <x:c r="F51" s="1277"/>
      <x:c r="G51" s="1277"/>
      <x:c r="H51" s="1277"/>
      <x:c r="I51" s="3587"/>
      <x:c r="J51" s="3588"/>
      <x:c r="K51" s="3588"/>
      <x:c r="L51" s="3588"/>
      <x:c r="M51" s="3588"/>
      <x:c r="N51" s="3588"/>
      <x:c r="O51" s="3588"/>
      <x:c r="P51" s="3588"/>
      <x:c r="Q51" s="3589"/>
      <x:c r="R51" s="1277"/>
      <x:c r="S51" s="1277"/>
      <x:c r="T51" s="1277"/>
      <x:c r="U51" s="1277"/>
      <x:c r="V51" s="1277"/>
      <x:c r="W51" s="1277"/>
      <x:c r="X51" s="1277"/>
      <x:c r="Y51" s="1277"/>
      <x:c r="Z51" s="1277"/>
    </x:row>
    <x:row r="52">
      <x:c r="A52" s="1277"/>
      <x:c r="B52" s="1277"/>
      <x:c r="C52" s="1277"/>
      <x:c r="D52" s="1277"/>
      <x:c r="E52" s="1277"/>
      <x:c r="F52" s="1277"/>
      <x:c r="G52" s="1277"/>
      <x:c r="H52" s="1277"/>
      <x:c r="I52" s="1277"/>
      <x:c r="J52" s="1277"/>
      <x:c r="K52" s="1277"/>
      <x:c r="L52" s="1277"/>
      <x:c r="M52" s="1385" t="str">
        <x:v>↓</x:v>
      </x:c>
      <x:c r="N52" s="1277"/>
      <x:c r="O52" s="1277"/>
      <x:c r="P52" s="1277"/>
      <x:c r="Q52" s="1277"/>
      <x:c r="R52" s="1277"/>
      <x:c r="S52" s="1277"/>
      <x:c r="T52" s="1277"/>
      <x:c r="U52" s="1277"/>
      <x:c r="V52" s="1277"/>
      <x:c r="W52" s="1277"/>
      <x:c r="X52" s="1277"/>
      <x:c r="Y52" s="1277"/>
      <x:c r="Z52" s="1277"/>
    </x:row>
    <x:row r="53">
      <x:c r="A53" s="1277"/>
      <x:c r="B53" s="1277"/>
      <x:c r="C53" s="1277"/>
      <x:c r="D53" s="1277"/>
      <x:c r="E53" s="1277"/>
      <x:c r="F53" s="1277"/>
      <x:c r="G53" s="1277"/>
      <x:c r="H53" s="1277"/>
      <x:c r="I53" s="3578" t="str">
        <x:v>REGLAS DE CORTE CONFIGURABLES
+ CIERRE OPERATIVO
+ EnmiendaOperativa</x:v>
      </x:c>
      <x:c r="J53" s="3579"/>
      <x:c r="K53" s="3579"/>
      <x:c r="L53" s="3579"/>
      <x:c r="M53" s="3579"/>
      <x:c r="N53" s="3579"/>
      <x:c r="O53" s="3579"/>
      <x:c r="P53" s="3579"/>
      <x:c r="Q53" s="3580"/>
      <x:c r="R53" s="1277"/>
      <x:c r="S53" s="1277"/>
      <x:c r="T53" s="1277"/>
      <x:c r="U53" s="1277"/>
      <x:c r="V53" s="1277"/>
      <x:c r="W53" s="1277"/>
      <x:c r="X53" s="1277"/>
      <x:c r="Y53" s="1277"/>
      <x:c r="Z53" s="1277"/>
    </x:row>
    <x:row r="54">
      <x:c r="A54" s="1277"/>
      <x:c r="B54" s="1277"/>
      <x:c r="C54" s="1277"/>
      <x:c r="D54" s="1277"/>
      <x:c r="E54" s="1277"/>
      <x:c r="F54" s="1277"/>
      <x:c r="G54" s="1277"/>
      <x:c r="H54" s="1277"/>
      <x:c r="I54" s="3584"/>
      <x:c r="J54" s="3585"/>
      <x:c r="K54" s="3585"/>
      <x:c r="L54" s="3585"/>
      <x:c r="M54" s="3585"/>
      <x:c r="N54" s="3585"/>
      <x:c r="O54" s="3585"/>
      <x:c r="P54" s="3585"/>
      <x:c r="Q54" s="3586"/>
      <x:c r="R54" s="1277"/>
      <x:c r="S54" s="1277"/>
      <x:c r="T54" s="1277"/>
      <x:c r="U54" s="1277"/>
      <x:c r="V54" s="1277"/>
      <x:c r="W54" s="1277"/>
      <x:c r="X54" s="1277"/>
      <x:c r="Y54" s="1277"/>
      <x:c r="Z54" s="1277"/>
    </x:row>
    <x:row r="55">
      <x:c r="A55" s="1277"/>
      <x:c r="B55" s="1277"/>
      <x:c r="C55" s="1277"/>
      <x:c r="D55" s="1277"/>
      <x:c r="E55" s="1277"/>
      <x:c r="F55" s="1277"/>
      <x:c r="G55" s="1277"/>
      <x:c r="H55" s="1277"/>
      <x:c r="I55" s="3584"/>
      <x:c r="J55" s="3585"/>
      <x:c r="K55" s="3585"/>
      <x:c r="L55" s="3585"/>
      <x:c r="M55" s="3585"/>
      <x:c r="N55" s="3585"/>
      <x:c r="O55" s="3585"/>
      <x:c r="P55" s="3585"/>
      <x:c r="Q55" s="3586"/>
      <x:c r="R55" s="1277"/>
      <x:c r="S55" s="1277"/>
      <x:c r="T55" s="1277"/>
      <x:c r="U55" s="1277"/>
      <x:c r="V55" s="1277"/>
      <x:c r="W55" s="1277"/>
      <x:c r="X55" s="1277"/>
      <x:c r="Y55" s="1277"/>
      <x:c r="Z55" s="1277"/>
    </x:row>
    <x:row r="56">
      <x:c r="A56" s="1277"/>
      <x:c r="B56" s="1277"/>
      <x:c r="C56" s="1277"/>
      <x:c r="D56" s="1277"/>
      <x:c r="E56" s="1277"/>
      <x:c r="F56" s="1277"/>
      <x:c r="G56" s="1277"/>
      <x:c r="H56" s="1277"/>
      <x:c r="I56" s="3590"/>
      <x:c r="J56" s="3591"/>
      <x:c r="K56" s="3591"/>
      <x:c r="L56" s="3591"/>
      <x:c r="M56" s="3591"/>
      <x:c r="N56" s="3591"/>
      <x:c r="O56" s="3591"/>
      <x:c r="P56" s="3591"/>
      <x:c r="Q56" s="3592"/>
      <x:c r="R56" s="1277"/>
      <x:c r="S56" s="1277"/>
      <x:c r="T56" s="1277"/>
      <x:c r="U56" s="1277"/>
      <x:c r="V56" s="1277"/>
      <x:c r="W56" s="1277"/>
      <x:c r="X56" s="1277"/>
      <x:c r="Y56" s="1277"/>
      <x:c r="Z56" s="1277"/>
    </x:row>
    <x:row r="57">
      <x:c r="A57" s="1277"/>
      <x:c r="B57" s="1277"/>
      <x:c r="C57" s="1277"/>
      <x:c r="D57" s="1277"/>
      <x:c r="E57" s="1277"/>
      <x:c r="F57" s="1277"/>
      <x:c r="G57" s="1277"/>
      <x:c r="H57" s="1277"/>
      <x:c r="I57" s="1277"/>
      <x:c r="J57" s="1277"/>
      <x:c r="K57" s="1277"/>
      <x:c r="L57" s="1277"/>
      <x:c r="M57" s="1277"/>
      <x:c r="N57" s="1277"/>
      <x:c r="O57" s="1277"/>
      <x:c r="P57" s="1277"/>
      <x:c r="Q57" s="1277"/>
      <x:c r="R57" s="1277"/>
      <x:c r="S57" s="1277"/>
      <x:c r="T57" s="1277"/>
      <x:c r="U57" s="1277"/>
      <x:c r="V57" s="1277"/>
      <x:c r="W57" s="1277"/>
      <x:c r="X57" s="1277"/>
      <x:c r="Y57" s="1277"/>
      <x:c r="Z57" s="1277"/>
    </x:row>
    <x:row r="58">
      <x:c r="A58" s="1277"/>
      <x:c r="B58" s="1277"/>
      <x:c r="C58" s="1277"/>
      <x:c r="D58" s="1277"/>
      <x:c r="E58" s="1277"/>
      <x:c r="F58" s="1277"/>
      <x:c r="G58" s="1277"/>
      <x:c r="H58" s="1277"/>
      <x:c r="I58" s="1277"/>
      <x:c r="J58" s="1277"/>
      <x:c r="K58" s="1277"/>
      <x:c r="L58" s="1277"/>
      <x:c r="M58" s="1277"/>
      <x:c r="N58" s="1277"/>
      <x:c r="O58" s="1277"/>
      <x:c r="P58" s="1277"/>
      <x:c r="Q58" s="1277"/>
      <x:c r="R58" s="1277"/>
      <x:c r="S58" s="1277"/>
      <x:c r="T58" s="1277"/>
      <x:c r="U58" s="1277"/>
      <x:c r="V58" s="1277"/>
      <x:c r="W58" s="1277"/>
      <x:c r="X58" s="1277"/>
      <x:c r="Y58" s="1277"/>
      <x:c r="Z58" s="1277"/>
    </x:row>
    <x:row r="59">
      <x:c r="A59" s="1277"/>
      <x:c r="B59" s="1277"/>
      <x:c r="C59" s="1277"/>
      <x:c r="D59" s="1277"/>
      <x:c r="E59" s="1277"/>
      <x:c r="F59" s="1277"/>
      <x:c r="G59" s="1277"/>
      <x:c r="H59" s="1277"/>
      <x:c r="I59" s="3596" t="str">
        <x:v>I-B · EJECUCIÓN → CERTIFICACIÓN · CONTRATO FUNCIONAL CANDIDATO</x:v>
      </x:c>
      <x:c r="J59" s="3596"/>
      <x:c r="K59" s="3596"/>
      <x:c r="L59" s="3596"/>
      <x:c r="M59" s="3596"/>
      <x:c r="N59" s="3596"/>
      <x:c r="O59" s="3596"/>
      <x:c r="P59" s="3596"/>
      <x:c r="Q59" s="3596"/>
      <x:c r="R59" s="3596"/>
      <x:c r="S59" s="3596"/>
      <x:c r="T59" s="3596"/>
      <x:c r="U59" s="3596"/>
      <x:c r="V59" s="3596"/>
      <x:c r="W59" s="3596"/>
      <x:c r="X59" s="3596"/>
      <x:c r="Y59" s="3596"/>
      <x:c r="Z59" s="3596"/>
    </x:row>
    <x:row r="60">
      <x:c r="A60" s="1277"/>
      <x:c r="B60" s="1277"/>
      <x:c r="C60" s="1277"/>
      <x:c r="D60" s="1277"/>
      <x:c r="E60" s="1277"/>
      <x:c r="F60" s="1277"/>
      <x:c r="G60" s="1277"/>
      <x:c r="H60" s="1277"/>
      <x:c r="I60" s="3597" t="str">
        <x:v>UE cerradas + tiempos/transiciones + personas/recursos reales + ubicación/activo + Item/CC + mediciones/evidencia + desvíos + PlanificacionVersion + versión fuente + EnmiendasOperativas. Parte ≠ UC y Certificación no edita campo.</x:v>
      </x:c>
      <x:c r="J60" s="3597"/>
      <x:c r="K60" s="3597"/>
      <x:c r="L60" s="3597"/>
      <x:c r="M60" s="3597"/>
      <x:c r="N60" s="3597"/>
      <x:c r="O60" s="3597"/>
      <x:c r="P60" s="3597"/>
      <x:c r="Q60" s="3597"/>
      <x:c r="R60" s="3597"/>
      <x:c r="S60" s="3597"/>
      <x:c r="T60" s="3597"/>
      <x:c r="U60" s="3597"/>
      <x:c r="V60" s="3597"/>
      <x:c r="W60" s="3597"/>
      <x:c r="X60" s="3597"/>
      <x:c r="Y60" s="3597"/>
      <x:c r="Z60" s="3597"/>
    </x:row>
    <x:row r="61">
      <x:c r="A61" s="1277"/>
      <x:c r="B61" s="1277"/>
      <x:c r="C61" s="1277"/>
      <x:c r="D61" s="1277"/>
      <x:c r="E61" s="1277"/>
      <x:c r="F61" s="1277"/>
      <x:c r="G61" s="1277"/>
      <x:c r="H61" s="1277"/>
      <x:c r="I61" s="3597"/>
      <x:c r="J61" s="3597"/>
      <x:c r="K61" s="3597"/>
      <x:c r="L61" s="3597"/>
      <x:c r="M61" s="3597"/>
      <x:c r="N61" s="3597"/>
      <x:c r="O61" s="3597"/>
      <x:c r="P61" s="3597"/>
      <x:c r="Q61" s="3597"/>
      <x:c r="R61" s="3597"/>
      <x:c r="S61" s="3597"/>
      <x:c r="T61" s="3597"/>
      <x:c r="U61" s="3597"/>
      <x:c r="V61" s="3597"/>
      <x:c r="W61" s="3597"/>
      <x:c r="X61" s="3597"/>
      <x:c r="Y61" s="3597"/>
      <x:c r="Z61" s="3597"/>
    </x:row>
    <x:row r="62">
      <x:c r="A62" s="1277"/>
      <x:c r="B62" s="1277"/>
      <x:c r="C62" s="1277"/>
      <x:c r="D62" s="1277"/>
      <x:c r="E62" s="1277"/>
      <x:c r="F62" s="1277"/>
      <x:c r="G62" s="1277"/>
      <x:c r="H62" s="1277"/>
      <x:c r="I62" s="3597"/>
      <x:c r="J62" s="3597"/>
      <x:c r="K62" s="3597"/>
      <x:c r="L62" s="3597"/>
      <x:c r="M62" s="3597"/>
      <x:c r="N62" s="3597"/>
      <x:c r="O62" s="3597"/>
      <x:c r="P62" s="3597"/>
      <x:c r="Q62" s="3597"/>
      <x:c r="R62" s="3597"/>
      <x:c r="S62" s="3597"/>
      <x:c r="T62" s="3597"/>
      <x:c r="U62" s="3597"/>
      <x:c r="V62" s="3597"/>
      <x:c r="W62" s="3597"/>
      <x:c r="X62" s="3597"/>
      <x:c r="Y62" s="3597"/>
      <x:c r="Z62" s="3597"/>
    </x:row>
    <x:row r="63">
      <x:c r="A63" s="1277"/>
      <x:c r="B63" s="1277"/>
      <x:c r="C63" s="1277"/>
      <x:c r="D63" s="1277"/>
      <x:c r="E63" s="1277"/>
      <x:c r="F63" s="1277"/>
      <x:c r="G63" s="1277"/>
      <x:c r="H63" s="1277"/>
      <x:c r="I63" s="3597"/>
      <x:c r="J63" s="3597"/>
      <x:c r="K63" s="3597"/>
      <x:c r="L63" s="3597"/>
      <x:c r="M63" s="3597"/>
      <x:c r="N63" s="3597"/>
      <x:c r="O63" s="3597"/>
      <x:c r="P63" s="3597"/>
      <x:c r="Q63" s="3597"/>
      <x:c r="R63" s="3597"/>
      <x:c r="S63" s="3597"/>
      <x:c r="T63" s="3597"/>
      <x:c r="U63" s="3597"/>
      <x:c r="V63" s="3597"/>
      <x:c r="W63" s="3597"/>
      <x:c r="X63" s="3597"/>
      <x:c r="Y63" s="3597"/>
      <x:c r="Z63" s="3597"/>
    </x:row>
    <x:row r="64">
      <x:c r="A64" s="1277"/>
      <x:c r="B64" s="1277"/>
      <x:c r="C64" s="1277"/>
      <x:c r="D64" s="1277"/>
      <x:c r="E64" s="1277"/>
      <x:c r="F64" s="1277"/>
      <x:c r="G64" s="1277"/>
      <x:c r="H64" s="1277"/>
      <x:c r="I64" s="1277"/>
      <x:c r="J64" s="1277"/>
      <x:c r="K64" s="1277"/>
      <x:c r="L64" s="1277"/>
      <x:c r="M64" s="1277"/>
      <x:c r="N64" s="1277"/>
      <x:c r="O64" s="1277"/>
      <x:c r="P64" s="1277"/>
      <x:c r="Q64" s="1277"/>
      <x:c r="R64" s="1277"/>
      <x:c r="S64" s="1277"/>
      <x:c r="T64" s="1277"/>
      <x:c r="U64" s="1277"/>
      <x:c r="V64" s="1277"/>
      <x:c r="W64" s="1277"/>
      <x:c r="X64" s="1277"/>
      <x:c r="Y64" s="1277"/>
      <x:c r="Z64" s="1277"/>
    </x:row>
    <x:row r="65">
      <x:c r="A65" s="1277"/>
      <x:c r="B65" s="1277"/>
      <x:c r="C65" s="1277"/>
      <x:c r="D65" s="1277"/>
      <x:c r="E65" s="1277"/>
      <x:c r="F65" s="1277"/>
      <x:c r="G65" s="1277"/>
      <x:c r="H65" s="1277"/>
      <x:c r="I65" s="1277"/>
      <x:c r="J65" s="1277"/>
      <x:c r="K65" s="1277"/>
      <x:c r="L65" s="1277"/>
      <x:c r="M65" s="1277"/>
      <x:c r="N65" s="1277"/>
      <x:c r="O65" s="1277"/>
      <x:c r="P65" s="1277"/>
      <x:c r="Q65" s="1277"/>
      <x:c r="R65" s="1277"/>
      <x:c r="S65" s="1277"/>
      <x:c r="T65" s="1277"/>
      <x:c r="U65" s="1277"/>
      <x:c r="V65" s="1277"/>
      <x:c r="W65" s="1277"/>
      <x:c r="X65" s="1277"/>
      <x:c r="Y65" s="1277"/>
      <x:c r="Z65" s="1277"/>
    </x:row>
    <x:row r="66">
      <x:c r="A66" s="3400" t="str">
        <x:v>02 — CONTROL PLANE · CAMBIOS POST-DESPACHO</x:v>
      </x:c>
      <x:c r="B66" s="3400"/>
      <x:c r="C66" s="3400"/>
      <x:c r="D66" s="3400"/>
      <x:c r="E66" s="3400"/>
      <x:c r="F66" s="3400"/>
      <x:c r="G66" s="3400"/>
      <x:c r="H66" s="3400"/>
      <x:c r="I66" s="3400"/>
      <x:c r="J66" s="3400"/>
      <x:c r="K66" s="3400"/>
      <x:c r="L66" s="3400"/>
      <x:c r="M66" s="3400"/>
      <x:c r="N66" s="3400"/>
      <x:c r="O66" s="3400"/>
      <x:c r="P66" s="3400"/>
      <x:c r="Q66" s="3400"/>
      <x:c r="R66" s="3400"/>
      <x:c r="S66" s="3400"/>
      <x:c r="T66" s="3400"/>
      <x:c r="U66" s="3400"/>
      <x:c r="V66" s="3400"/>
      <x:c r="W66" s="3400"/>
      <x:c r="X66" s="3400"/>
      <x:c r="Y66" s="3400"/>
      <x:c r="Z66" s="3400"/>
    </x:row>
    <x:row r="67">
      <x:c r="A67" s="1277"/>
      <x:c r="B67" s="1277"/>
      <x:c r="C67" s="1277"/>
      <x:c r="D67" s="1277"/>
      <x:c r="E67" s="1277"/>
      <x:c r="F67" s="1277"/>
      <x:c r="G67" s="1277"/>
      <x:c r="H67" s="1277"/>
      <x:c r="I67" s="1277"/>
      <x:c r="J67" s="1277"/>
      <x:c r="K67" s="1277"/>
      <x:c r="L67" s="1277"/>
      <x:c r="M67" s="1277"/>
      <x:c r="N67" s="1277"/>
      <x:c r="O67" s="1277"/>
      <x:c r="P67" s="1277"/>
      <x:c r="Q67" s="1277"/>
      <x:c r="R67" s="1277"/>
      <x:c r="S67" s="1277"/>
      <x:c r="T67" s="1277"/>
      <x:c r="U67" s="1277"/>
      <x:c r="V67" s="1277"/>
      <x:c r="W67" s="1277"/>
      <x:c r="X67" s="1277"/>
      <x:c r="Y67" s="1277"/>
      <x:c r="Z67" s="1277"/>
    </x:row>
    <x:row r="68">
      <x:c r="A68" s="3575" t="str">
        <x:v>PLANIFICACIÓN /
SUPERVISIÓN /
Habilita</x:v>
      </x:c>
      <x:c r="B68" s="3576"/>
      <x:c r="C68" s="3576"/>
      <x:c r="D68" s="3576"/>
      <x:c r="E68" s="3576"/>
      <x:c r="F68" s="3577"/>
      <x:c r="G68" s="1277"/>
      <x:c r="H68" s="3575" t="str">
        <x:v>DIRECTIVA OPERATIVA
CANCELAR · SUSPENDER · REPROGRAMAR
REPRIORIZAR · CAMBIO ALCANCE</x:v>
      </x:c>
      <x:c r="I68" s="3576"/>
      <x:c r="J68" s="3576"/>
      <x:c r="K68" s="3576"/>
      <x:c r="L68" s="3576"/>
      <x:c r="M68" s="3576"/>
      <x:c r="N68" s="3577"/>
      <x:c r="O68" s="1277"/>
      <x:c r="P68" s="3575" t="str">
        <x:v>EJECUCIÓN
RECIBIR → ACK
APLICAR / RECHAZAR</x:v>
      </x:c>
      <x:c r="Q68" s="3576"/>
      <x:c r="R68" s="3576"/>
      <x:c r="S68" s="3576"/>
      <x:c r="T68" s="3576"/>
      <x:c r="U68" s="3576"/>
      <x:c r="V68" s="3577"/>
      <x:c r="W68" s="1277"/>
      <x:c r="X68" s="3598" t="str">
        <x:v>OFFLINE
FRESCURA
BUNDLE</x:v>
      </x:c>
      <x:c r="Y68" s="3599"/>
      <x:c r="Z68" s="3600"/>
    </x:row>
    <x:row r="69">
      <x:c r="A69" s="3581"/>
      <x:c r="B69" s="3582"/>
      <x:c r="C69" s="3582"/>
      <x:c r="D69" s="3582"/>
      <x:c r="E69" s="3582"/>
      <x:c r="F69" s="3583"/>
      <x:c r="G69" s="1277"/>
      <x:c r="H69" s="3581"/>
      <x:c r="I69" s="3582"/>
      <x:c r="J69" s="3582"/>
      <x:c r="K69" s="3582"/>
      <x:c r="L69" s="3582"/>
      <x:c r="M69" s="3582"/>
      <x:c r="N69" s="3583"/>
      <x:c r="O69" s="1277"/>
      <x:c r="P69" s="3581"/>
      <x:c r="Q69" s="3582"/>
      <x:c r="R69" s="3582"/>
      <x:c r="S69" s="3582"/>
      <x:c r="T69" s="3582"/>
      <x:c r="U69" s="3582"/>
      <x:c r="V69" s="3583"/>
      <x:c r="W69" s="1277"/>
      <x:c r="X69" s="3601"/>
      <x:c r="Y69" s="3602"/>
      <x:c r="Z69" s="3603"/>
    </x:row>
    <x:row r="70">
      <x:c r="A70" s="3581"/>
      <x:c r="B70" s="3582"/>
      <x:c r="C70" s="3582"/>
      <x:c r="D70" s="3582"/>
      <x:c r="E70" s="3582"/>
      <x:c r="F70" s="3583"/>
      <x:c r="G70" s="1297" t="str">
        <x:v>→</x:v>
      </x:c>
      <x:c r="H70" s="3581"/>
      <x:c r="I70" s="3582"/>
      <x:c r="J70" s="3582"/>
      <x:c r="K70" s="3582"/>
      <x:c r="L70" s="3582"/>
      <x:c r="M70" s="3582"/>
      <x:c r="N70" s="3583"/>
      <x:c r="O70" s="1297" t="str">
        <x:v>→</x:v>
      </x:c>
      <x:c r="P70" s="3581"/>
      <x:c r="Q70" s="3582"/>
      <x:c r="R70" s="3582"/>
      <x:c r="S70" s="3582"/>
      <x:c r="T70" s="3582"/>
      <x:c r="U70" s="3582"/>
      <x:c r="V70" s="3583"/>
      <x:c r="W70" s="1277"/>
      <x:c r="X70" s="3601"/>
      <x:c r="Y70" s="3602"/>
      <x:c r="Z70" s="3603"/>
    </x:row>
    <x:row r="71">
      <x:c r="A71" s="3581"/>
      <x:c r="B71" s="3582"/>
      <x:c r="C71" s="3582"/>
      <x:c r="D71" s="3582"/>
      <x:c r="E71" s="3582"/>
      <x:c r="F71" s="3583"/>
      <x:c r="G71" s="1277"/>
      <x:c r="H71" s="3581"/>
      <x:c r="I71" s="3582"/>
      <x:c r="J71" s="3582"/>
      <x:c r="K71" s="3582"/>
      <x:c r="L71" s="3582"/>
      <x:c r="M71" s="3582"/>
      <x:c r="N71" s="3583"/>
      <x:c r="O71" s="1277"/>
      <x:c r="P71" s="3581"/>
      <x:c r="Q71" s="3582"/>
      <x:c r="R71" s="3582"/>
      <x:c r="S71" s="3582"/>
      <x:c r="T71" s="3582"/>
      <x:c r="U71" s="3582"/>
      <x:c r="V71" s="3583"/>
      <x:c r="W71" s="1277"/>
      <x:c r="X71" s="3601"/>
      <x:c r="Y71" s="3602"/>
      <x:c r="Z71" s="3603"/>
    </x:row>
    <x:row r="72">
      <x:c r="A72" s="3587"/>
      <x:c r="B72" s="3588"/>
      <x:c r="C72" s="3588"/>
      <x:c r="D72" s="3588"/>
      <x:c r="E72" s="3588"/>
      <x:c r="F72" s="3589"/>
      <x:c r="G72" s="1277"/>
      <x:c r="H72" s="3587"/>
      <x:c r="I72" s="3588"/>
      <x:c r="J72" s="3588"/>
      <x:c r="K72" s="3588"/>
      <x:c r="L72" s="3588"/>
      <x:c r="M72" s="3588"/>
      <x:c r="N72" s="3589"/>
      <x:c r="O72" s="1277"/>
      <x:c r="P72" s="3587"/>
      <x:c r="Q72" s="3588"/>
      <x:c r="R72" s="3588"/>
      <x:c r="S72" s="3588"/>
      <x:c r="T72" s="3588"/>
      <x:c r="U72" s="3588"/>
      <x:c r="V72" s="3589"/>
      <x:c r="W72" s="1277"/>
      <x:c r="X72" s="3604"/>
      <x:c r="Y72" s="3605"/>
      <x:c r="Z72" s="3606"/>
    </x:row>
    <x:row r="73">
      <x:c r="A73" s="1277"/>
      <x:c r="B73" s="1277"/>
      <x:c r="C73" s="1277"/>
      <x:c r="D73" s="1277"/>
      <x:c r="E73" s="1277"/>
      <x:c r="F73" s="1277"/>
      <x:c r="G73" s="1277"/>
      <x:c r="H73" s="1277"/>
      <x:c r="I73" s="1277"/>
      <x:c r="J73" s="1277"/>
      <x:c r="K73" s="1277"/>
      <x:c r="L73" s="1277"/>
      <x:c r="M73" s="1277"/>
      <x:c r="N73" s="1277"/>
      <x:c r="O73" s="1277"/>
      <x:c r="P73" s="1277"/>
      <x:c r="Q73" s="1277"/>
      <x:c r="R73" s="1277"/>
      <x:c r="S73" s="1277"/>
      <x:c r="T73" s="1277"/>
      <x:c r="U73" s="1277"/>
      <x:c r="V73" s="1277"/>
      <x:c r="W73" s="1277"/>
      <x:c r="X73" s="1277"/>
      <x:c r="Y73" s="1277"/>
      <x:c r="Z73" s="1277"/>
    </x:row>
    <x:row r="74">
      <x:c r="A74" s="1277"/>
      <x:c r="B74" s="1277"/>
      <x:c r="C74" s="1277"/>
      <x:c r="D74" s="1277"/>
      <x:c r="E74" s="1277"/>
      <x:c r="F74" s="1277"/>
      <x:c r="G74" s="1277"/>
      <x:c r="H74" s="1277"/>
      <x:c r="I74" s="1277"/>
      <x:c r="J74" s="1277"/>
      <x:c r="K74" s="1277"/>
      <x:c r="L74" s="1277"/>
      <x:c r="M74" s="1277"/>
      <x:c r="N74" s="1277"/>
      <x:c r="O74" s="1277"/>
      <x:c r="P74" s="1277"/>
      <x:c r="Q74" s="1277"/>
      <x:c r="R74" s="1277"/>
      <x:c r="S74" s="1277"/>
      <x:c r="T74" s="1277"/>
      <x:c r="U74" s="1277"/>
      <x:c r="V74" s="1277"/>
      <x:c r="W74" s="1277"/>
      <x:c r="X74" s="1277"/>
      <x:c r="Y74" s="1277"/>
      <x:c r="Z74" s="1277"/>
    </x:row>
    <x:row r="75">
      <x:c r="A75" s="3400" t="str">
        <x:v>03 — HABILITA PLANE · PREVENT + RESPOND &amp; LEARN</x:v>
      </x:c>
      <x:c r="B75" s="3400"/>
      <x:c r="C75" s="3400"/>
      <x:c r="D75" s="3400"/>
      <x:c r="E75" s="3400"/>
      <x:c r="F75" s="3400"/>
      <x:c r="G75" s="3400"/>
      <x:c r="H75" s="3400"/>
      <x:c r="I75" s="3400"/>
      <x:c r="J75" s="3400"/>
      <x:c r="K75" s="3400"/>
      <x:c r="L75" s="3400"/>
      <x:c r="M75" s="3400"/>
      <x:c r="N75" s="3400"/>
      <x:c r="O75" s="3400"/>
      <x:c r="P75" s="3400"/>
      <x:c r="Q75" s="3400"/>
      <x:c r="R75" s="3400"/>
      <x:c r="S75" s="3400"/>
      <x:c r="T75" s="3400"/>
      <x:c r="U75" s="3400"/>
      <x:c r="V75" s="3400"/>
      <x:c r="W75" s="3400"/>
      <x:c r="X75" s="3400"/>
      <x:c r="Y75" s="3400"/>
      <x:c r="Z75" s="3400"/>
    </x:row>
    <x:row r="76">
      <x:c r="A76" s="1277"/>
      <x:c r="B76" s="1277"/>
      <x:c r="C76" s="1277"/>
      <x:c r="D76" s="1277"/>
      <x:c r="E76" s="1277"/>
      <x:c r="F76" s="1277"/>
      <x:c r="G76" s="1277"/>
      <x:c r="H76" s="1277"/>
      <x:c r="I76" s="1277"/>
      <x:c r="J76" s="1277"/>
      <x:c r="K76" s="1277"/>
      <x:c r="L76" s="1277"/>
      <x:c r="M76" s="1277"/>
      <x:c r="N76" s="1277"/>
      <x:c r="O76" s="1277"/>
      <x:c r="P76" s="1277"/>
      <x:c r="Q76" s="1277"/>
      <x:c r="R76" s="1277"/>
      <x:c r="S76" s="1277"/>
      <x:c r="T76" s="1277"/>
      <x:c r="U76" s="1277"/>
      <x:c r="V76" s="1277"/>
      <x:c r="W76" s="1277"/>
      <x:c r="X76" s="1277"/>
      <x:c r="Y76" s="1277"/>
      <x:c r="Z76" s="1277"/>
    </x:row>
    <x:row r="77">
      <x:c r="A77" s="3593" t="str">
        <x:v>PREVENT · CANDIDATO A FREEZE</x:v>
      </x:c>
      <x:c r="B77" s="3593"/>
      <x:c r="C77" s="3593"/>
      <x:c r="D77" s="3593"/>
      <x:c r="E77" s="3593"/>
      <x:c r="F77" s="3593"/>
      <x:c r="G77" s="3593"/>
      <x:c r="H77" s="3593"/>
      <x:c r="I77" s="3593"/>
      <x:c r="J77" s="3593"/>
      <x:c r="K77" s="3593"/>
      <x:c r="L77" s="3593"/>
      <x:c r="M77" s="1277"/>
      <x:c r="N77" s="3607" t="str">
        <x:v>RESPOND &amp; LEARN · CORE FREEZE / REGLAS PENDIENTES</x:v>
      </x:c>
      <x:c r="O77" s="3607"/>
      <x:c r="P77" s="3607"/>
      <x:c r="Q77" s="3607"/>
      <x:c r="R77" s="3607"/>
      <x:c r="S77" s="3607"/>
      <x:c r="T77" s="3607"/>
      <x:c r="U77" s="3607"/>
      <x:c r="V77" s="3607"/>
      <x:c r="W77" s="3607"/>
      <x:c r="X77" s="3607"/>
      <x:c r="Y77" s="3607"/>
      <x:c r="Z77" s="3607"/>
    </x:row>
    <x:row r="78">
      <x:c r="A78" s="1277"/>
      <x:c r="B78" s="1277"/>
      <x:c r="C78" s="1277"/>
      <x:c r="D78" s="1277"/>
      <x:c r="E78" s="1277"/>
      <x:c r="F78" s="1277"/>
      <x:c r="G78" s="1277"/>
      <x:c r="H78" s="1277"/>
      <x:c r="I78" s="1277"/>
      <x:c r="J78" s="1277"/>
      <x:c r="K78" s="1277"/>
      <x:c r="L78" s="1277"/>
      <x:c r="M78" s="1277"/>
      <x:c r="N78" s="1277"/>
      <x:c r="O78" s="1277"/>
      <x:c r="P78" s="1277"/>
      <x:c r="Q78" s="1277"/>
      <x:c r="R78" s="1277"/>
      <x:c r="S78" s="1277"/>
      <x:c r="T78" s="1277"/>
      <x:c r="U78" s="1277"/>
      <x:c r="V78" s="1277"/>
      <x:c r="W78" s="1277"/>
      <x:c r="X78" s="1277"/>
      <x:c r="Y78" s="1277"/>
      <x:c r="Z78" s="1277"/>
    </x:row>
    <x:row r="79">
      <x:c r="A79" s="3575" t="str">
        <x:v>READINESS Habilita
+ DOCUMENTAL</x:v>
      </x:c>
      <x:c r="B79" s="3576"/>
      <x:c r="C79" s="3576"/>
      <x:c r="D79" s="3576"/>
      <x:c r="E79" s="3577"/>
      <x:c r="F79" s="1277"/>
      <x:c r="G79" s="3575" t="str">
        <x:v>PTW
APROBAR · VIGENTE
SUSPENDER · HANDOVER</x:v>
      </x:c>
      <x:c r="H79" s="3576"/>
      <x:c r="I79" s="3576"/>
      <x:c r="J79" s="3576"/>
      <x:c r="K79" s="3577"/>
      <x:c r="L79" s="1277"/>
      <x:c r="M79" s="1277"/>
      <x:c r="N79" s="3575" t="str">
        <x:v>EVENTO Habilita
hecho independiente
standalone o vinculado</x:v>
      </x:c>
      <x:c r="O79" s="3576"/>
      <x:c r="P79" s="3576"/>
      <x:c r="Q79" s="3576"/>
      <x:c r="R79" s="3577"/>
      <x:c r="S79" s="1277"/>
      <x:c r="T79" s="3598" t="str">
        <x:v>TRIAGE
Tipo + severidad real
+ potencial</x:v>
      </x:c>
      <x:c r="U79" s="3599"/>
      <x:c r="V79" s="3599"/>
      <x:c r="W79" s="3600"/>
      <x:c r="X79" s="1277"/>
      <x:c r="Y79" s="3598" t="str">
        <x:v>CASO
Habilita</x:v>
      </x:c>
      <x:c r="Z79" s="3600"/>
    </x:row>
    <x:row r="80">
      <x:c r="A80" s="3581"/>
      <x:c r="B80" s="3582"/>
      <x:c r="C80" s="3582"/>
      <x:c r="D80" s="3582"/>
      <x:c r="E80" s="3583"/>
      <x:c r="F80" s="1277"/>
      <x:c r="G80" s="3581"/>
      <x:c r="H80" s="3582"/>
      <x:c r="I80" s="3582"/>
      <x:c r="J80" s="3582"/>
      <x:c r="K80" s="3583"/>
      <x:c r="L80" s="1277"/>
      <x:c r="M80" s="1277"/>
      <x:c r="N80" s="3581"/>
      <x:c r="O80" s="3582"/>
      <x:c r="P80" s="3582"/>
      <x:c r="Q80" s="3582"/>
      <x:c r="R80" s="3583"/>
      <x:c r="S80" s="1277"/>
      <x:c r="T80" s="3601"/>
      <x:c r="U80" s="3602"/>
      <x:c r="V80" s="3602"/>
      <x:c r="W80" s="3603"/>
      <x:c r="X80" s="1277"/>
      <x:c r="Y80" s="3601"/>
      <x:c r="Z80" s="3603"/>
    </x:row>
    <x:row r="81">
      <x:c r="A81" s="3581"/>
      <x:c r="B81" s="3582"/>
      <x:c r="C81" s="3582"/>
      <x:c r="D81" s="3582"/>
      <x:c r="E81" s="3583"/>
      <x:c r="F81" s="1297" t="str">
        <x:v>→</x:v>
      </x:c>
      <x:c r="G81" s="3581"/>
      <x:c r="H81" s="3582"/>
      <x:c r="I81" s="3582"/>
      <x:c r="J81" s="3582"/>
      <x:c r="K81" s="3583"/>
      <x:c r="L81" s="1297" t="str">
        <x:v>→</x:v>
      </x:c>
      <x:c r="M81" s="1277"/>
      <x:c r="N81" s="3581"/>
      <x:c r="O81" s="3582"/>
      <x:c r="P81" s="3582"/>
      <x:c r="Q81" s="3582"/>
      <x:c r="R81" s="3583"/>
      <x:c r="S81" s="1297" t="str">
        <x:v>→</x:v>
      </x:c>
      <x:c r="T81" s="3601"/>
      <x:c r="U81" s="3602"/>
      <x:c r="V81" s="3602"/>
      <x:c r="W81" s="3603"/>
      <x:c r="X81" s="1297" t="str">
        <x:v>→</x:v>
      </x:c>
      <x:c r="Y81" s="3601"/>
      <x:c r="Z81" s="3603"/>
    </x:row>
    <x:row r="82">
      <x:c r="A82" s="3581"/>
      <x:c r="B82" s="3582"/>
      <x:c r="C82" s="3582"/>
      <x:c r="D82" s="3582"/>
      <x:c r="E82" s="3583"/>
      <x:c r="F82" s="1277"/>
      <x:c r="G82" s="3581"/>
      <x:c r="H82" s="3582"/>
      <x:c r="I82" s="3582"/>
      <x:c r="J82" s="3582"/>
      <x:c r="K82" s="3583"/>
      <x:c r="L82" s="1277"/>
      <x:c r="M82" s="1277"/>
      <x:c r="N82" s="3581"/>
      <x:c r="O82" s="3582"/>
      <x:c r="P82" s="3582"/>
      <x:c r="Q82" s="3582"/>
      <x:c r="R82" s="3583"/>
      <x:c r="S82" s="1277"/>
      <x:c r="T82" s="3601"/>
      <x:c r="U82" s="3602"/>
      <x:c r="V82" s="3602"/>
      <x:c r="W82" s="3603"/>
      <x:c r="X82" s="1277"/>
      <x:c r="Y82" s="3601"/>
      <x:c r="Z82" s="3603"/>
    </x:row>
    <x:row r="83">
      <x:c r="A83" s="3587"/>
      <x:c r="B83" s="3588"/>
      <x:c r="C83" s="3588"/>
      <x:c r="D83" s="3588"/>
      <x:c r="E83" s="3589"/>
      <x:c r="F83" s="1277"/>
      <x:c r="G83" s="3587"/>
      <x:c r="H83" s="3588"/>
      <x:c r="I83" s="3588"/>
      <x:c r="J83" s="3588"/>
      <x:c r="K83" s="3589"/>
      <x:c r="L83" s="1277"/>
      <x:c r="M83" s="1277"/>
      <x:c r="N83" s="3587"/>
      <x:c r="O83" s="3588"/>
      <x:c r="P83" s="3588"/>
      <x:c r="Q83" s="3588"/>
      <x:c r="R83" s="3589"/>
      <x:c r="S83" s="1277"/>
      <x:c r="T83" s="3604"/>
      <x:c r="U83" s="3605"/>
      <x:c r="V83" s="3605"/>
      <x:c r="W83" s="3606"/>
      <x:c r="X83" s="1277"/>
      <x:c r="Y83" s="3604"/>
      <x:c r="Z83" s="3606"/>
    </x:row>
    <x:row r="84">
      <x:c r="A84" s="1277"/>
      <x:c r="B84" s="1277"/>
      <x:c r="C84" s="1277"/>
      <x:c r="D84" s="1277"/>
      <x:c r="E84" s="1277"/>
      <x:c r="F84" s="1277"/>
      <x:c r="G84" s="1277"/>
      <x:c r="H84" s="1277"/>
      <x:c r="I84" s="1277"/>
      <x:c r="J84" s="1277"/>
      <x:c r="K84" s="1277"/>
      <x:c r="L84" s="1277"/>
      <x:c r="M84" s="1277"/>
      <x:c r="N84" s="1277"/>
      <x:c r="O84" s="1277"/>
      <x:c r="P84" s="1277"/>
      <x:c r="Q84" s="1277"/>
      <x:c r="R84" s="1277"/>
      <x:c r="S84" s="1277"/>
      <x:c r="T84" s="1277"/>
      <x:c r="U84" s="1277"/>
      <x:c r="V84" s="1277"/>
      <x:c r="W84" s="1277"/>
      <x:c r="X84" s="1277"/>
      <x:c r="Y84" s="1277"/>
      <x:c r="Z84" s="1277"/>
    </x:row>
    <x:row r="85">
      <x:c r="A85" s="1277"/>
      <x:c r="B85" s="1277"/>
      <x:c r="C85" s="1277"/>
      <x:c r="D85" s="1277"/>
      <x:c r="E85" s="1277"/>
      <x:c r="F85" s="1277"/>
      <x:c r="G85" s="1277"/>
      <x:c r="H85" s="1277"/>
      <x:c r="I85" s="1277"/>
      <x:c r="J85" s="1277"/>
      <x:c r="K85" s="1277"/>
      <x:c r="L85" s="1277"/>
      <x:c r="M85" s="1277"/>
      <x:c r="N85" s="3608" t="str">
        <x:v>Q-05..Q-09 cierran taxonomía, escalamiento, flash report, notificaciones y gate de cierre. La decisión estructural Habilita transversal ya es candidata a freeze.</x:v>
      </x:c>
      <x:c r="O85" s="3608"/>
      <x:c r="P85" s="3608"/>
      <x:c r="Q85" s="3608"/>
      <x:c r="R85" s="3608"/>
      <x:c r="S85" s="3608"/>
      <x:c r="T85" s="3608"/>
      <x:c r="U85" s="3608"/>
      <x:c r="V85" s="3608"/>
      <x:c r="W85" s="3608"/>
      <x:c r="X85" s="3608"/>
      <x:c r="Y85" s="3608"/>
      <x:c r="Z85" s="3608"/>
    </x:row>
    <x:row r="86">
      <x:c r="A86" s="1277"/>
      <x:c r="B86" s="1277"/>
      <x:c r="C86" s="1277"/>
      <x:c r="D86" s="1277"/>
      <x:c r="E86" s="1277"/>
      <x:c r="F86" s="1277"/>
      <x:c r="G86" s="1277"/>
      <x:c r="H86" s="1277"/>
      <x:c r="I86" s="1277"/>
      <x:c r="J86" s="1277"/>
      <x:c r="K86" s="1277"/>
      <x:c r="L86" s="1277"/>
      <x:c r="M86" s="1277"/>
      <x:c r="N86" s="3608"/>
      <x:c r="O86" s="3608"/>
      <x:c r="P86" s="3608"/>
      <x:c r="Q86" s="3608"/>
      <x:c r="R86" s="3608"/>
      <x:c r="S86" s="3608"/>
      <x:c r="T86" s="3608"/>
      <x:c r="U86" s="3608"/>
      <x:c r="V86" s="3608"/>
      <x:c r="W86" s="3608"/>
      <x:c r="X86" s="3608"/>
      <x:c r="Y86" s="3608"/>
      <x:c r="Z86" s="3608"/>
    </x:row>
    <x:row r="87">
      <x:c r="A87" s="1277"/>
      <x:c r="B87" s="1277"/>
      <x:c r="C87" s="1277"/>
      <x:c r="D87" s="1277"/>
      <x:c r="E87" s="1277"/>
      <x:c r="F87" s="1277"/>
      <x:c r="G87" s="1277"/>
      <x:c r="H87" s="1277"/>
      <x:c r="I87" s="1277"/>
      <x:c r="J87" s="1277"/>
      <x:c r="K87" s="1277"/>
      <x:c r="L87" s="1277"/>
      <x:c r="M87" s="1277"/>
      <x:c r="N87" s="3608"/>
      <x:c r="O87" s="3608"/>
      <x:c r="P87" s="3608"/>
      <x:c r="Q87" s="3608"/>
      <x:c r="R87" s="3608"/>
      <x:c r="S87" s="3608"/>
      <x:c r="T87" s="3608"/>
      <x:c r="U87" s="3608"/>
      <x:c r="V87" s="3608"/>
      <x:c r="W87" s="3608"/>
      <x:c r="X87" s="3608"/>
      <x:c r="Y87" s="3608"/>
      <x:c r="Z87" s="3608"/>
    </x:row>
    <x:row r="88">
      <x:c r="A88" s="1277"/>
      <x:c r="B88" s="1277"/>
      <x:c r="C88" s="1277"/>
      <x:c r="D88" s="1277"/>
      <x:c r="E88" s="1277"/>
      <x:c r="F88" s="1277"/>
      <x:c r="G88" s="1277"/>
      <x:c r="H88" s="1277"/>
      <x:c r="I88" s="1277"/>
      <x:c r="J88" s="1277"/>
      <x:c r="K88" s="1277"/>
      <x:c r="L88" s="1277"/>
      <x:c r="M88" s="1277"/>
      <x:c r="N88" s="3608"/>
      <x:c r="O88" s="3608"/>
      <x:c r="P88" s="3608"/>
      <x:c r="Q88" s="3608"/>
      <x:c r="R88" s="3608"/>
      <x:c r="S88" s="3608"/>
      <x:c r="T88" s="3608"/>
      <x:c r="U88" s="3608"/>
      <x:c r="V88" s="3608"/>
      <x:c r="W88" s="3608"/>
      <x:c r="X88" s="3608"/>
      <x:c r="Y88" s="3608"/>
      <x:c r="Z88" s="3608"/>
    </x:row>
    <x:row r="89">
      <x:c r="A89" s="1277"/>
      <x:c r="B89" s="1277"/>
      <x:c r="C89" s="1277"/>
      <x:c r="D89" s="1277"/>
      <x:c r="E89" s="1277"/>
      <x:c r="F89" s="1277"/>
      <x:c r="G89" s="1277"/>
      <x:c r="H89" s="1277"/>
      <x:c r="I89" s="1277"/>
      <x:c r="J89" s="1277"/>
      <x:c r="K89" s="1277"/>
      <x:c r="L89" s="1277"/>
      <x:c r="M89" s="1277"/>
      <x:c r="N89" s="1277"/>
      <x:c r="O89" s="1277"/>
      <x:c r="P89" s="1277"/>
      <x:c r="Q89" s="1277"/>
      <x:c r="R89" s="1277"/>
      <x:c r="S89" s="1277"/>
      <x:c r="T89" s="1277"/>
      <x:c r="U89" s="1277"/>
      <x:c r="V89" s="1277"/>
      <x:c r="W89" s="1277"/>
      <x:c r="X89" s="1277"/>
      <x:c r="Y89" s="1277"/>
      <x:c r="Z89" s="1277"/>
    </x:row>
    <x:row r="90">
      <x:c r="A90" s="1277"/>
      <x:c r="B90" s="1277"/>
      <x:c r="C90" s="1277"/>
      <x:c r="D90" s="1277"/>
      <x:c r="E90" s="1277"/>
      <x:c r="F90" s="1277"/>
      <x:c r="G90" s="1277"/>
      <x:c r="H90" s="1277"/>
      <x:c r="I90" s="1277"/>
      <x:c r="J90" s="1277"/>
      <x:c r="K90" s="1277"/>
      <x:c r="L90" s="1277"/>
      <x:c r="M90" s="1277"/>
      <x:c r="N90" s="1277"/>
      <x:c r="O90" s="1277"/>
      <x:c r="P90" s="1277"/>
      <x:c r="Q90" s="1277"/>
      <x:c r="R90" s="1277"/>
      <x:c r="S90" s="1277"/>
      <x:c r="T90" s="1277"/>
      <x:c r="U90" s="1277"/>
      <x:c r="V90" s="1277"/>
      <x:c r="W90" s="1277"/>
      <x:c r="X90" s="1277"/>
      <x:c r="Y90" s="1277"/>
      <x:c r="Z90" s="1277"/>
    </x:row>
    <x:row r="91">
      <x:c r="A91" s="3400" t="str">
        <x:v>04 — TEMPORAL + TRACE BUS · NO PERDER HISTORIA</x:v>
      </x:c>
      <x:c r="B91" s="3400"/>
      <x:c r="C91" s="3400"/>
      <x:c r="D91" s="3400"/>
      <x:c r="E91" s="3400"/>
      <x:c r="F91" s="3400"/>
      <x:c r="G91" s="3400"/>
      <x:c r="H91" s="3400"/>
      <x:c r="I91" s="3400"/>
      <x:c r="J91" s="3400"/>
      <x:c r="K91" s="3400"/>
      <x:c r="L91" s="3400"/>
      <x:c r="M91" s="3400"/>
      <x:c r="N91" s="3400"/>
      <x:c r="O91" s="3400"/>
      <x:c r="P91" s="3400"/>
      <x:c r="Q91" s="3400"/>
      <x:c r="R91" s="3400"/>
      <x:c r="S91" s="3400"/>
      <x:c r="T91" s="3400"/>
      <x:c r="U91" s="3400"/>
      <x:c r="V91" s="3400"/>
      <x:c r="W91" s="3400"/>
      <x:c r="X91" s="3400"/>
      <x:c r="Y91" s="3400"/>
      <x:c r="Z91" s="3400"/>
    </x:row>
    <x:row r="92">
      <x:c r="A92" s="1277"/>
      <x:c r="B92" s="1277"/>
      <x:c r="C92" s="1277"/>
      <x:c r="D92" s="1277"/>
      <x:c r="E92" s="1277"/>
      <x:c r="F92" s="1277"/>
      <x:c r="G92" s="1277"/>
      <x:c r="H92" s="1277"/>
      <x:c r="I92" s="1277"/>
      <x:c r="J92" s="1277"/>
      <x:c r="K92" s="1277"/>
      <x:c r="L92" s="1277"/>
      <x:c r="M92" s="1277"/>
      <x:c r="N92" s="1277"/>
      <x:c r="O92" s="1277"/>
      <x:c r="P92" s="1277"/>
      <x:c r="Q92" s="1277"/>
      <x:c r="R92" s="1277"/>
      <x:c r="S92" s="1277"/>
      <x:c r="T92" s="1277"/>
      <x:c r="U92" s="1277"/>
      <x:c r="V92" s="1277"/>
      <x:c r="W92" s="1277"/>
      <x:c r="X92" s="1277"/>
      <x:c r="Y92" s="1277"/>
      <x:c r="Z92" s="1277"/>
    </x:row>
    <x:row r="93">
      <x:c r="A93" s="3575" t="str">
        <x:v>PERSONAS / RECURSOS
POR INTERVALO
handover · reemplazo</x:v>
      </x:c>
      <x:c r="B93" s="3576"/>
      <x:c r="C93" s="3576"/>
      <x:c r="D93" s="3576"/>
      <x:c r="E93" s="3576"/>
      <x:c r="F93" s="3577"/>
      <x:c r="G93" s="1277"/>
      <x:c r="H93" s="3575" t="str">
        <x:v>TRANSICIÓN OPERATIVA
origen → traslado/espera → destino</x:v>
      </x:c>
      <x:c r="I93" s="3576"/>
      <x:c r="J93" s="3576"/>
      <x:c r="K93" s="3576"/>
      <x:c r="L93" s="3576"/>
      <x:c r="M93" s="3577"/>
      <x:c r="N93" s="1277"/>
      <x:c r="O93" s="3575" t="str">
        <x:v>TRACE BUS
versiones · eventos · ACK
overrides · PTW · Habilita</x:v>
      </x:c>
      <x:c r="P93" s="3576"/>
      <x:c r="Q93" s="3576"/>
      <x:c r="R93" s="3576"/>
      <x:c r="S93" s="3576"/>
      <x:c r="T93" s="3577"/>
      <x:c r="U93" s="1277"/>
      <x:c r="V93" s="3575" t="str">
        <x:v>LINEAGE COMERCIAL
fuente ejecución → UC
recalcular si cambia</x:v>
      </x:c>
      <x:c r="W93" s="3576"/>
      <x:c r="X93" s="3576"/>
      <x:c r="Y93" s="3576"/>
      <x:c r="Z93" s="3577"/>
    </x:row>
    <x:row r="94">
      <x:c r="A94" s="3581"/>
      <x:c r="B94" s="3582"/>
      <x:c r="C94" s="3582"/>
      <x:c r="D94" s="3582"/>
      <x:c r="E94" s="3582"/>
      <x:c r="F94" s="3583"/>
      <x:c r="G94" s="1277"/>
      <x:c r="H94" s="3581"/>
      <x:c r="I94" s="3582"/>
      <x:c r="J94" s="3582"/>
      <x:c r="K94" s="3582"/>
      <x:c r="L94" s="3582"/>
      <x:c r="M94" s="3583"/>
      <x:c r="N94" s="1277"/>
      <x:c r="O94" s="3581"/>
      <x:c r="P94" s="3582"/>
      <x:c r="Q94" s="3582"/>
      <x:c r="R94" s="3582"/>
      <x:c r="S94" s="3582"/>
      <x:c r="T94" s="3583"/>
      <x:c r="U94" s="1277"/>
      <x:c r="V94" s="3581"/>
      <x:c r="W94" s="3582"/>
      <x:c r="X94" s="3582"/>
      <x:c r="Y94" s="3582"/>
      <x:c r="Z94" s="3583"/>
    </x:row>
    <x:row r="95">
      <x:c r="A95" s="3581"/>
      <x:c r="B95" s="3582"/>
      <x:c r="C95" s="3582"/>
      <x:c r="D95" s="3582"/>
      <x:c r="E95" s="3582"/>
      <x:c r="F95" s="3583"/>
      <x:c r="G95" s="1277"/>
      <x:c r="H95" s="3581"/>
      <x:c r="I95" s="3582"/>
      <x:c r="J95" s="3582"/>
      <x:c r="K95" s="3582"/>
      <x:c r="L95" s="3582"/>
      <x:c r="M95" s="3583"/>
      <x:c r="N95" s="1277"/>
      <x:c r="O95" s="3581"/>
      <x:c r="P95" s="3582"/>
      <x:c r="Q95" s="3582"/>
      <x:c r="R95" s="3582"/>
      <x:c r="S95" s="3582"/>
      <x:c r="T95" s="3583"/>
      <x:c r="U95" s="1277"/>
      <x:c r="V95" s="3581"/>
      <x:c r="W95" s="3582"/>
      <x:c r="X95" s="3582"/>
      <x:c r="Y95" s="3582"/>
      <x:c r="Z95" s="3583"/>
    </x:row>
    <x:row r="96">
      <x:c r="A96" s="3581"/>
      <x:c r="B96" s="3582"/>
      <x:c r="C96" s="3582"/>
      <x:c r="D96" s="3582"/>
      <x:c r="E96" s="3582"/>
      <x:c r="F96" s="3583"/>
      <x:c r="G96" s="1277"/>
      <x:c r="H96" s="3581"/>
      <x:c r="I96" s="3582"/>
      <x:c r="J96" s="3582"/>
      <x:c r="K96" s="3582"/>
      <x:c r="L96" s="3582"/>
      <x:c r="M96" s="3583"/>
      <x:c r="N96" s="1277"/>
      <x:c r="O96" s="3581"/>
      <x:c r="P96" s="3582"/>
      <x:c r="Q96" s="3582"/>
      <x:c r="R96" s="3582"/>
      <x:c r="S96" s="3582"/>
      <x:c r="T96" s="3583"/>
      <x:c r="U96" s="1277"/>
      <x:c r="V96" s="3581"/>
      <x:c r="W96" s="3582"/>
      <x:c r="X96" s="3582"/>
      <x:c r="Y96" s="3582"/>
      <x:c r="Z96" s="3583"/>
    </x:row>
    <x:row r="97">
      <x:c r="A97" s="3587"/>
      <x:c r="B97" s="3588"/>
      <x:c r="C97" s="3588"/>
      <x:c r="D97" s="3588"/>
      <x:c r="E97" s="3588"/>
      <x:c r="F97" s="3589"/>
      <x:c r="G97" s="1277"/>
      <x:c r="H97" s="3587"/>
      <x:c r="I97" s="3588"/>
      <x:c r="J97" s="3588"/>
      <x:c r="K97" s="3588"/>
      <x:c r="L97" s="3588"/>
      <x:c r="M97" s="3589"/>
      <x:c r="N97" s="1277"/>
      <x:c r="O97" s="3587"/>
      <x:c r="P97" s="3588"/>
      <x:c r="Q97" s="3588"/>
      <x:c r="R97" s="3588"/>
      <x:c r="S97" s="3588"/>
      <x:c r="T97" s="3589"/>
      <x:c r="U97" s="1277"/>
      <x:c r="V97" s="3587"/>
      <x:c r="W97" s="3588"/>
      <x:c r="X97" s="3588"/>
      <x:c r="Y97" s="3588"/>
      <x:c r="Z97" s="3589"/>
    </x:row>
    <x:row r="98">
      <x:c r="A98" s="1277"/>
      <x:c r="B98" s="1277"/>
      <x:c r="C98" s="1277"/>
      <x:c r="D98" s="1277"/>
      <x:c r="E98" s="1277"/>
      <x:c r="F98" s="1277"/>
      <x:c r="G98" s="1277"/>
      <x:c r="H98" s="1277"/>
      <x:c r="I98" s="1277"/>
      <x:c r="J98" s="1277"/>
      <x:c r="K98" s="1277"/>
      <x:c r="L98" s="1277"/>
      <x:c r="M98" s="1277"/>
      <x:c r="N98" s="1277"/>
      <x:c r="O98" s="1277"/>
      <x:c r="P98" s="1277"/>
      <x:c r="Q98" s="1277"/>
      <x:c r="R98" s="1277"/>
      <x:c r="S98" s="1277"/>
      <x:c r="T98" s="1277"/>
      <x:c r="U98" s="1277"/>
      <x:c r="V98" s="1277"/>
      <x:c r="W98" s="1277"/>
      <x:c r="X98" s="1277"/>
      <x:c r="Y98" s="1277"/>
      <x:c r="Z98" s="1277"/>
    </x:row>
    <x:row r="99">
      <x:c r="A99" s="1277"/>
      <x:c r="B99" s="1277"/>
      <x:c r="C99" s="1277"/>
      <x:c r="D99" s="1277"/>
      <x:c r="E99" s="1277"/>
      <x:c r="F99" s="1277"/>
      <x:c r="G99" s="1277"/>
      <x:c r="H99" s="1277"/>
      <x:c r="I99" s="1277"/>
      <x:c r="J99" s="1277"/>
      <x:c r="K99" s="1277"/>
      <x:c r="L99" s="1277"/>
      <x:c r="M99" s="1277"/>
      <x:c r="N99" s="1277"/>
      <x:c r="O99" s="1277"/>
      <x:c r="P99" s="1277"/>
      <x:c r="Q99" s="1277"/>
      <x:c r="R99" s="1277"/>
      <x:c r="S99" s="1277"/>
      <x:c r="T99" s="1277"/>
      <x:c r="U99" s="1277"/>
      <x:c r="V99" s="1277"/>
      <x:c r="W99" s="1277"/>
      <x:c r="X99" s="1277"/>
      <x:c r="Y99" s="1277"/>
      <x:c r="Z99" s="1277"/>
    </x:row>
    <x:row r="100">
      <x:c r="A100" s="3400" t="str">
        <x:v>05 — GATES ANTES DE REV E FINAL</x:v>
      </x:c>
      <x:c r="B100" s="3400"/>
      <x:c r="C100" s="3400"/>
      <x:c r="D100" s="3400"/>
      <x:c r="E100" s="3400"/>
      <x:c r="F100" s="3400"/>
      <x:c r="G100" s="3400"/>
      <x:c r="H100" s="3400"/>
      <x:c r="I100" s="3400"/>
      <x:c r="J100" s="3400"/>
      <x:c r="K100" s="3400"/>
      <x:c r="L100" s="3400"/>
      <x:c r="M100" s="3400"/>
      <x:c r="N100" s="3400"/>
      <x:c r="O100" s="3400"/>
      <x:c r="P100" s="3400"/>
      <x:c r="Q100" s="3400"/>
      <x:c r="R100" s="3400"/>
      <x:c r="S100" s="3400"/>
      <x:c r="T100" s="3400"/>
      <x:c r="U100" s="3400"/>
      <x:c r="V100" s="3400"/>
      <x:c r="W100" s="3400"/>
      <x:c r="X100" s="3400"/>
      <x:c r="Y100" s="3400"/>
      <x:c r="Z100" s="3400"/>
    </x:row>
    <x:row r="101">
      <x:c r="A101" s="1277"/>
      <x:c r="B101" s="1277"/>
      <x:c r="C101" s="1277"/>
      <x:c r="D101" s="1277"/>
      <x:c r="E101" s="1277"/>
      <x:c r="F101" s="1277"/>
      <x:c r="G101" s="1277"/>
      <x:c r="H101" s="1277"/>
      <x:c r="I101" s="1277"/>
      <x:c r="J101" s="1277"/>
      <x:c r="K101" s="1277"/>
      <x:c r="L101" s="1277"/>
      <x:c r="M101" s="1277"/>
      <x:c r="N101" s="1277"/>
      <x:c r="O101" s="1277"/>
      <x:c r="P101" s="1277"/>
      <x:c r="Q101" s="1277"/>
      <x:c r="R101" s="1277"/>
      <x:c r="S101" s="1277"/>
      <x:c r="T101" s="1277"/>
      <x:c r="U101" s="1277"/>
      <x:c r="V101" s="1277"/>
      <x:c r="W101" s="1277"/>
      <x:c r="X101" s="1277"/>
      <x:c r="Y101" s="1277"/>
      <x:c r="Z101" s="1277"/>
    </x:row>
    <x:row r="102">
      <x:c r="A102" s="3598" t="str">
        <x:v>Q-01
TP-01 + TURNO
handover vs split
por regla</x:v>
      </x:c>
      <x:c r="B102" s="3599"/>
      <x:c r="C102" s="3599"/>
      <x:c r="D102" s="3599"/>
      <x:c r="E102" s="3599"/>
      <x:c r="F102" s="3600"/>
      <x:c r="G102" s="1277"/>
      <x:c r="H102" s="3598" t="str">
        <x:v>Q-02
EMERGENTE / OFFLINE
bloqueo vs autorización</x:v>
      </x:c>
      <x:c r="I102" s="3599"/>
      <x:c r="J102" s="3599"/>
      <x:c r="K102" s="3599"/>
      <x:c r="L102" s="3599"/>
      <x:c r="M102" s="3600"/>
      <x:c r="N102" s="1277"/>
      <x:c r="O102" s="3598" t="str">
        <x:v>Q-03
RECURSO ADICIONAL
apoyo vs ejecución
independiente</x:v>
      </x:c>
      <x:c r="P102" s="3599"/>
      <x:c r="Q102" s="3599"/>
      <x:c r="R102" s="3599"/>
      <x:c r="S102" s="3599"/>
      <x:c r="T102" s="3600"/>
      <x:c r="U102" s="1277"/>
      <x:c r="V102" s="3598" t="str">
        <x:v>Q-04
ENMIENDA POST-CERT
reabrir vs reversión</x:v>
      </x:c>
      <x:c r="W102" s="3599"/>
      <x:c r="X102" s="3599"/>
      <x:c r="Y102" s="3599"/>
      <x:c r="Z102" s="3600"/>
    </x:row>
    <x:row r="103">
      <x:c r="A103" s="3601"/>
      <x:c r="B103" s="3602"/>
      <x:c r="C103" s="3602"/>
      <x:c r="D103" s="3602"/>
      <x:c r="E103" s="3602"/>
      <x:c r="F103" s="3603"/>
      <x:c r="G103" s="1277"/>
      <x:c r="H103" s="3601"/>
      <x:c r="I103" s="3602"/>
      <x:c r="J103" s="3602"/>
      <x:c r="K103" s="3602"/>
      <x:c r="L103" s="3602"/>
      <x:c r="M103" s="3603"/>
      <x:c r="N103" s="1277"/>
      <x:c r="O103" s="3601"/>
      <x:c r="P103" s="3602"/>
      <x:c r="Q103" s="3602"/>
      <x:c r="R103" s="3602"/>
      <x:c r="S103" s="3602"/>
      <x:c r="T103" s="3603"/>
      <x:c r="U103" s="1277"/>
      <x:c r="V103" s="3601"/>
      <x:c r="W103" s="3602"/>
      <x:c r="X103" s="3602"/>
      <x:c r="Y103" s="3602"/>
      <x:c r="Z103" s="3603"/>
    </x:row>
    <x:row r="104">
      <x:c r="A104" s="3601"/>
      <x:c r="B104" s="3602"/>
      <x:c r="C104" s="3602"/>
      <x:c r="D104" s="3602"/>
      <x:c r="E104" s="3602"/>
      <x:c r="F104" s="3603"/>
      <x:c r="G104" s="1277"/>
      <x:c r="H104" s="3601"/>
      <x:c r="I104" s="3602"/>
      <x:c r="J104" s="3602"/>
      <x:c r="K104" s="3602"/>
      <x:c r="L104" s="3602"/>
      <x:c r="M104" s="3603"/>
      <x:c r="N104" s="1277"/>
      <x:c r="O104" s="3601"/>
      <x:c r="P104" s="3602"/>
      <x:c r="Q104" s="3602"/>
      <x:c r="R104" s="3602"/>
      <x:c r="S104" s="3602"/>
      <x:c r="T104" s="3603"/>
      <x:c r="U104" s="1277"/>
      <x:c r="V104" s="3601"/>
      <x:c r="W104" s="3602"/>
      <x:c r="X104" s="3602"/>
      <x:c r="Y104" s="3602"/>
      <x:c r="Z104" s="3603"/>
    </x:row>
    <x:row r="105">
      <x:c r="A105" s="3601"/>
      <x:c r="B105" s="3602"/>
      <x:c r="C105" s="3602"/>
      <x:c r="D105" s="3602"/>
      <x:c r="E105" s="3602"/>
      <x:c r="F105" s="3603"/>
      <x:c r="G105" s="1277"/>
      <x:c r="H105" s="3601"/>
      <x:c r="I105" s="3602"/>
      <x:c r="J105" s="3602"/>
      <x:c r="K105" s="3602"/>
      <x:c r="L105" s="3602"/>
      <x:c r="M105" s="3603"/>
      <x:c r="N105" s="1277"/>
      <x:c r="O105" s="3601"/>
      <x:c r="P105" s="3602"/>
      <x:c r="Q105" s="3602"/>
      <x:c r="R105" s="3602"/>
      <x:c r="S105" s="3602"/>
      <x:c r="T105" s="3603"/>
      <x:c r="U105" s="1277"/>
      <x:c r="V105" s="3601"/>
      <x:c r="W105" s="3602"/>
      <x:c r="X105" s="3602"/>
      <x:c r="Y105" s="3602"/>
      <x:c r="Z105" s="3603"/>
    </x:row>
    <x:row r="106">
      <x:c r="A106" s="3601"/>
      <x:c r="B106" s="3602"/>
      <x:c r="C106" s="3602"/>
      <x:c r="D106" s="3602"/>
      <x:c r="E106" s="3602"/>
      <x:c r="F106" s="3603"/>
      <x:c r="G106" s="1277"/>
      <x:c r="H106" s="3601"/>
      <x:c r="I106" s="3602"/>
      <x:c r="J106" s="3602"/>
      <x:c r="K106" s="3602"/>
      <x:c r="L106" s="3602"/>
      <x:c r="M106" s="3603"/>
      <x:c r="N106" s="1277"/>
      <x:c r="O106" s="3601"/>
      <x:c r="P106" s="3602"/>
      <x:c r="Q106" s="3602"/>
      <x:c r="R106" s="3602"/>
      <x:c r="S106" s="3602"/>
      <x:c r="T106" s="3603"/>
      <x:c r="U106" s="1277"/>
      <x:c r="V106" s="3601"/>
      <x:c r="W106" s="3602"/>
      <x:c r="X106" s="3602"/>
      <x:c r="Y106" s="3602"/>
      <x:c r="Z106" s="3603"/>
    </x:row>
    <x:row r="107">
      <x:c r="A107" s="3604"/>
      <x:c r="B107" s="3605"/>
      <x:c r="C107" s="3605"/>
      <x:c r="D107" s="3605"/>
      <x:c r="E107" s="3605"/>
      <x:c r="F107" s="3606"/>
      <x:c r="G107" s="1277"/>
      <x:c r="H107" s="3604"/>
      <x:c r="I107" s="3605"/>
      <x:c r="J107" s="3605"/>
      <x:c r="K107" s="3605"/>
      <x:c r="L107" s="3605"/>
      <x:c r="M107" s="3606"/>
      <x:c r="N107" s="1277"/>
      <x:c r="O107" s="3604"/>
      <x:c r="P107" s="3605"/>
      <x:c r="Q107" s="3605"/>
      <x:c r="R107" s="3605"/>
      <x:c r="S107" s="3605"/>
      <x:c r="T107" s="3606"/>
      <x:c r="U107" s="1277"/>
      <x:c r="V107" s="3604"/>
      <x:c r="W107" s="3605"/>
      <x:c r="X107" s="3605"/>
      <x:c r="Y107" s="3605"/>
      <x:c r="Z107" s="3606"/>
    </x:row>
    <x:row r="108">
      <x:c r="A108" s="1277"/>
      <x:c r="B108" s="1277"/>
      <x:c r="C108" s="1277"/>
      <x:c r="D108" s="1277"/>
      <x:c r="E108" s="1277"/>
      <x:c r="F108" s="1277"/>
      <x:c r="G108" s="1277"/>
      <x:c r="H108" s="1277"/>
      <x:c r="I108" s="1277"/>
      <x:c r="J108" s="1277"/>
      <x:c r="K108" s="1277"/>
      <x:c r="L108" s="1277"/>
      <x:c r="M108" s="1277"/>
      <x:c r="N108" s="1277"/>
      <x:c r="O108" s="1277"/>
      <x:c r="P108" s="1277"/>
      <x:c r="Q108" s="1277"/>
      <x:c r="R108" s="1277"/>
      <x:c r="S108" s="1277"/>
      <x:c r="T108" s="1277"/>
      <x:c r="U108" s="1277"/>
      <x:c r="V108" s="1277"/>
      <x:c r="W108" s="1277"/>
      <x:c r="X108" s="1277"/>
      <x:c r="Y108" s="1277"/>
      <x:c r="Z108" s="1277"/>
    </x:row>
    <x:row r="109">
      <x:c r="A109" s="1277"/>
      <x:c r="B109" s="1277"/>
      <x:c r="C109" s="1277"/>
      <x:c r="D109" s="1277"/>
      <x:c r="E109" s="1277"/>
      <x:c r="F109" s="1277"/>
      <x:c r="G109" s="1277"/>
      <x:c r="H109" s="1277"/>
      <x:c r="I109" s="1277"/>
      <x:c r="J109" s="1277"/>
      <x:c r="K109" s="1277"/>
      <x:c r="L109" s="1277"/>
      <x:c r="M109" s="1277"/>
      <x:c r="N109" s="1277"/>
      <x:c r="O109" s="1277"/>
      <x:c r="P109" s="1277"/>
      <x:c r="Q109" s="1277"/>
      <x:c r="R109" s="1277"/>
      <x:c r="S109" s="1277"/>
      <x:c r="T109" s="1277"/>
      <x:c r="U109" s="1277"/>
      <x:c r="V109" s="1277"/>
      <x:c r="W109" s="1277"/>
      <x:c r="X109" s="1277"/>
      <x:c r="Y109" s="1277"/>
      <x:c r="Z109" s="1277"/>
    </x:row>
    <x:row r="110">
      <x:c r="A110" s="3598" t="str">
        <x:v>Q-06/Q-07/Q-09
Habilita
escalamiento · flash report · cierre</x:v>
      </x:c>
      <x:c r="B110" s="3599"/>
      <x:c r="C110" s="3599"/>
      <x:c r="D110" s="3599"/>
      <x:c r="E110" s="3599"/>
      <x:c r="F110" s="3599"/>
      <x:c r="G110" s="3599"/>
      <x:c r="H110" s="3600"/>
      <x:c r="I110" s="1277"/>
      <x:c r="J110" s="3598" t="str">
        <x:v>CONTRATOS REALES
items · UM · tiempos
grano UC · agrupación</x:v>
      </x:c>
      <x:c r="K110" s="3599"/>
      <x:c r="L110" s="3599"/>
      <x:c r="M110" s="3599"/>
      <x:c r="N110" s="3599"/>
      <x:c r="O110" s="3599"/>
      <x:c r="P110" s="3599"/>
      <x:c r="Q110" s="3600"/>
      <x:c r="R110" s="1277"/>
      <x:c r="S110" s="3609" t="str">
        <x:v>FUERA DEL FREEZE
DB física · APIs · UI
ERP · stack offline</x:v>
      </x:c>
      <x:c r="T110" s="3610"/>
      <x:c r="U110" s="3610"/>
      <x:c r="V110" s="3610"/>
      <x:c r="W110" s="3610"/>
      <x:c r="X110" s="3610"/>
      <x:c r="Y110" s="3610"/>
      <x:c r="Z110" s="3611"/>
    </x:row>
    <x:row r="111">
      <x:c r="A111" s="3601"/>
      <x:c r="B111" s="3602"/>
      <x:c r="C111" s="3602"/>
      <x:c r="D111" s="3602"/>
      <x:c r="E111" s="3602"/>
      <x:c r="F111" s="3602"/>
      <x:c r="G111" s="3602"/>
      <x:c r="H111" s="3603"/>
      <x:c r="I111" s="1277"/>
      <x:c r="J111" s="3601"/>
      <x:c r="K111" s="3602"/>
      <x:c r="L111" s="3602"/>
      <x:c r="M111" s="3602"/>
      <x:c r="N111" s="3602"/>
      <x:c r="O111" s="3602"/>
      <x:c r="P111" s="3602"/>
      <x:c r="Q111" s="3603"/>
      <x:c r="R111" s="1277"/>
      <x:c r="S111" s="3612"/>
      <x:c r="T111" s="3613"/>
      <x:c r="U111" s="3613"/>
      <x:c r="V111" s="3613"/>
      <x:c r="W111" s="3613"/>
      <x:c r="X111" s="3613"/>
      <x:c r="Y111" s="3613"/>
      <x:c r="Z111" s="3614"/>
    </x:row>
    <x:row r="112">
      <x:c r="A112" s="3601"/>
      <x:c r="B112" s="3602"/>
      <x:c r="C112" s="3602"/>
      <x:c r="D112" s="3602"/>
      <x:c r="E112" s="3602"/>
      <x:c r="F112" s="3602"/>
      <x:c r="G112" s="3602"/>
      <x:c r="H112" s="3603"/>
      <x:c r="I112" s="1277"/>
      <x:c r="J112" s="3601"/>
      <x:c r="K112" s="3602"/>
      <x:c r="L112" s="3602"/>
      <x:c r="M112" s="3602"/>
      <x:c r="N112" s="3602"/>
      <x:c r="O112" s="3602"/>
      <x:c r="P112" s="3602"/>
      <x:c r="Q112" s="3603"/>
      <x:c r="R112" s="1277"/>
      <x:c r="S112" s="3612"/>
      <x:c r="T112" s="3613"/>
      <x:c r="U112" s="3613"/>
      <x:c r="V112" s="3613"/>
      <x:c r="W112" s="3613"/>
      <x:c r="X112" s="3613"/>
      <x:c r="Y112" s="3613"/>
      <x:c r="Z112" s="3614"/>
    </x:row>
    <x:row r="113">
      <x:c r="A113" s="3601"/>
      <x:c r="B113" s="3602"/>
      <x:c r="C113" s="3602"/>
      <x:c r="D113" s="3602"/>
      <x:c r="E113" s="3602"/>
      <x:c r="F113" s="3602"/>
      <x:c r="G113" s="3602"/>
      <x:c r="H113" s="3603"/>
      <x:c r="I113" s="1277"/>
      <x:c r="J113" s="3601"/>
      <x:c r="K113" s="3602"/>
      <x:c r="L113" s="3602"/>
      <x:c r="M113" s="3602"/>
      <x:c r="N113" s="3602"/>
      <x:c r="O113" s="3602"/>
      <x:c r="P113" s="3602"/>
      <x:c r="Q113" s="3603"/>
      <x:c r="R113" s="1277"/>
      <x:c r="S113" s="3612"/>
      <x:c r="T113" s="3613"/>
      <x:c r="U113" s="3613"/>
      <x:c r="V113" s="3613"/>
      <x:c r="W113" s="3613"/>
      <x:c r="X113" s="3613"/>
      <x:c r="Y113" s="3613"/>
      <x:c r="Z113" s="3614"/>
    </x:row>
    <x:row r="114">
      <x:c r="A114" s="3601"/>
      <x:c r="B114" s="3602"/>
      <x:c r="C114" s="3602"/>
      <x:c r="D114" s="3602"/>
      <x:c r="E114" s="3602"/>
      <x:c r="F114" s="3602"/>
      <x:c r="G114" s="3602"/>
      <x:c r="H114" s="3603"/>
      <x:c r="I114" s="1277"/>
      <x:c r="J114" s="3601"/>
      <x:c r="K114" s="3602"/>
      <x:c r="L114" s="3602"/>
      <x:c r="M114" s="3602"/>
      <x:c r="N114" s="3602"/>
      <x:c r="O114" s="3602"/>
      <x:c r="P114" s="3602"/>
      <x:c r="Q114" s="3603"/>
      <x:c r="R114" s="1277"/>
      <x:c r="S114" s="3612"/>
      <x:c r="T114" s="3613"/>
      <x:c r="U114" s="3613"/>
      <x:c r="V114" s="3613"/>
      <x:c r="W114" s="3613"/>
      <x:c r="X114" s="3613"/>
      <x:c r="Y114" s="3613"/>
      <x:c r="Z114" s="3614"/>
    </x:row>
    <x:row r="115">
      <x:c r="A115" s="3604"/>
      <x:c r="B115" s="3605"/>
      <x:c r="C115" s="3605"/>
      <x:c r="D115" s="3605"/>
      <x:c r="E115" s="3605"/>
      <x:c r="F115" s="3605"/>
      <x:c r="G115" s="3605"/>
      <x:c r="H115" s="3606"/>
      <x:c r="I115" s="1277"/>
      <x:c r="J115" s="3604"/>
      <x:c r="K115" s="3605"/>
      <x:c r="L115" s="3605"/>
      <x:c r="M115" s="3605"/>
      <x:c r="N115" s="3605"/>
      <x:c r="O115" s="3605"/>
      <x:c r="P115" s="3605"/>
      <x:c r="Q115" s="3606"/>
      <x:c r="R115" s="1277"/>
      <x:c r="S115" s="3615"/>
      <x:c r="T115" s="3616"/>
      <x:c r="U115" s="3616"/>
      <x:c r="V115" s="3616"/>
      <x:c r="W115" s="3616"/>
      <x:c r="X115" s="3616"/>
      <x:c r="Y115" s="3616"/>
      <x:c r="Z115" s="3617"/>
    </x:row>
    <x:row r="116">
      <x:c r="A116" s="1277"/>
      <x:c r="B116" s="1277"/>
      <x:c r="C116" s="1277"/>
      <x:c r="D116" s="1277"/>
      <x:c r="E116" s="1277"/>
      <x:c r="F116" s="1277"/>
      <x:c r="G116" s="1277"/>
      <x:c r="H116" s="1277"/>
      <x:c r="I116" s="1277"/>
      <x:c r="J116" s="1277"/>
      <x:c r="K116" s="1277"/>
      <x:c r="L116" s="1277"/>
      <x:c r="M116" s="1277"/>
      <x:c r="N116" s="1277"/>
      <x:c r="O116" s="1277"/>
      <x:c r="P116" s="1277"/>
      <x:c r="Q116" s="1277"/>
      <x:c r="R116" s="1277"/>
      <x:c r="S116" s="1277"/>
      <x:c r="T116" s="1277"/>
      <x:c r="U116" s="1277"/>
      <x:c r="V116" s="1277"/>
      <x:c r="W116" s="1277"/>
      <x:c r="X116" s="1277"/>
      <x:c r="Y116" s="1277"/>
      <x:c r="Z116" s="1277"/>
    </x:row>
    <x:row r="117">
      <x:c r="A117" s="1277"/>
      <x:c r="B117" s="1277"/>
      <x:c r="C117" s="1277"/>
      <x:c r="D117" s="1277"/>
      <x:c r="E117" s="1277"/>
      <x:c r="F117" s="1277"/>
      <x:c r="G117" s="1277"/>
      <x:c r="H117" s="1277"/>
      <x:c r="I117" s="1277"/>
      <x:c r="J117" s="1277"/>
      <x:c r="K117" s="1277"/>
      <x:c r="L117" s="1277"/>
      <x:c r="M117" s="1277"/>
      <x:c r="N117" s="1277"/>
      <x:c r="O117" s="1277"/>
      <x:c r="P117" s="1277"/>
      <x:c r="Q117" s="1277"/>
      <x:c r="R117" s="1277"/>
      <x:c r="S117" s="1277"/>
      <x:c r="T117" s="1277"/>
      <x:c r="U117" s="1277"/>
      <x:c r="V117" s="1277"/>
      <x:c r="W117" s="1277"/>
      <x:c r="X117" s="1277"/>
      <x:c r="Y117" s="1277"/>
      <x:c r="Z117" s="1277"/>
    </x:row>
    <x:row r="118">
      <x:c r="A118" s="3400" t="str">
        <x:v>DECLARACIÓN DE CANDIDATA</x:v>
      </x:c>
      <x:c r="B118" s="3400"/>
      <x:c r="C118" s="3400"/>
      <x:c r="D118" s="3400"/>
      <x:c r="E118" s="3400"/>
      <x:c r="F118" s="3400"/>
      <x:c r="G118" s="3400"/>
      <x:c r="H118" s="3400"/>
      <x:c r="I118" s="3400"/>
      <x:c r="J118" s="3400"/>
      <x:c r="K118" s="3400"/>
      <x:c r="L118" s="3400"/>
      <x:c r="M118" s="3400"/>
      <x:c r="N118" s="3400"/>
      <x:c r="O118" s="3400"/>
      <x:c r="P118" s="3400"/>
      <x:c r="Q118" s="3400"/>
      <x:c r="R118" s="3400"/>
      <x:c r="S118" s="3400"/>
      <x:c r="T118" s="3400"/>
      <x:c r="U118" s="3400"/>
      <x:c r="V118" s="3400"/>
      <x:c r="W118" s="3400"/>
      <x:c r="X118" s="3400"/>
      <x:c r="Y118" s="3400"/>
      <x:c r="Z118" s="3400"/>
    </x:row>
    <x:row r="119">
      <x:c r="A119" s="1277"/>
      <x:c r="B119" s="1277"/>
      <x:c r="C119" s="1277"/>
      <x:c r="D119" s="1277"/>
      <x:c r="E119" s="1277"/>
      <x:c r="F119" s="1277"/>
      <x:c r="G119" s="1277"/>
      <x:c r="H119" s="1277"/>
      <x:c r="I119" s="1277"/>
      <x:c r="J119" s="1277"/>
      <x:c r="K119" s="1277"/>
      <x:c r="L119" s="1277"/>
      <x:c r="M119" s="1277"/>
      <x:c r="N119" s="1277"/>
      <x:c r="O119" s="1277"/>
      <x:c r="P119" s="1277"/>
      <x:c r="Q119" s="1277"/>
      <x:c r="R119" s="1277"/>
      <x:c r="S119" s="1277"/>
      <x:c r="T119" s="1277"/>
      <x:c r="U119" s="1277"/>
      <x:c r="V119" s="1277"/>
      <x:c r="W119" s="1277"/>
      <x:c r="X119" s="1277"/>
      <x:c r="Y119" s="1277"/>
      <x:c r="Z119" s="1277"/>
    </x:row>
    <x:row r="120">
      <x:c r="A120" s="3618" t="str">
        <x:v>REV E CANDIDATE congela la FORMA del sistema, no todos sus parámetros.
CANDIDATO A FREEZE: dominios, interfaces, 3 TiposParte, Habilita transversal, Parte/UE, versionado, Control Plane, HABILITA Plane, UnidadComercial, lineage, correcciones y trazabilidad.
CONFIGURABLE: reglas de corte, tiempos, readiness, routing, grano/composición comercial, agrupaciones y escalamiento.
PENDIENTE: cuatro políticas operativas, reglas Habilita críticas y contratos reales.
IMPLEMENTACIÓN: BD/API/UI/sync/ERP se diseñan después y deben respetar estos contratos funcionales.</x:v>
      </x:c>
      <x:c r="B120" s="3618"/>
      <x:c r="C120" s="3618"/>
      <x:c r="D120" s="3618"/>
      <x:c r="E120" s="3618"/>
      <x:c r="F120" s="3618"/>
      <x:c r="G120" s="3618"/>
      <x:c r="H120" s="3618"/>
      <x:c r="I120" s="3618"/>
      <x:c r="J120" s="3618"/>
      <x:c r="K120" s="3618"/>
      <x:c r="L120" s="3618"/>
      <x:c r="M120" s="3618"/>
      <x:c r="N120" s="3618"/>
      <x:c r="O120" s="3618"/>
      <x:c r="P120" s="3618"/>
      <x:c r="Q120" s="3618"/>
      <x:c r="R120" s="3618"/>
      <x:c r="S120" s="3618"/>
      <x:c r="T120" s="3618"/>
      <x:c r="U120" s="3618"/>
      <x:c r="V120" s="3618"/>
      <x:c r="W120" s="3618"/>
      <x:c r="X120" s="3618"/>
      <x:c r="Y120" s="3618"/>
      <x:c r="Z120" s="3618"/>
    </x:row>
    <x:row r="121">
      <x:c r="A121" s="3618"/>
      <x:c r="B121" s="3618"/>
      <x:c r="C121" s="3618"/>
      <x:c r="D121" s="3618"/>
      <x:c r="E121" s="3618"/>
      <x:c r="F121" s="3618"/>
      <x:c r="G121" s="3618"/>
      <x:c r="H121" s="3618"/>
      <x:c r="I121" s="3618"/>
      <x:c r="J121" s="3618"/>
      <x:c r="K121" s="3618"/>
      <x:c r="L121" s="3618"/>
      <x:c r="M121" s="3618"/>
      <x:c r="N121" s="3618"/>
      <x:c r="O121" s="3618"/>
      <x:c r="P121" s="3618"/>
      <x:c r="Q121" s="3618"/>
      <x:c r="R121" s="3618"/>
      <x:c r="S121" s="3618"/>
      <x:c r="T121" s="3618"/>
      <x:c r="U121" s="3618"/>
      <x:c r="V121" s="3618"/>
      <x:c r="W121" s="3618"/>
      <x:c r="X121" s="3618"/>
      <x:c r="Y121" s="3618"/>
      <x:c r="Z121" s="3618"/>
    </x:row>
    <x:row r="122">
      <x:c r="A122" s="3618"/>
      <x:c r="B122" s="3618"/>
      <x:c r="C122" s="3618"/>
      <x:c r="D122" s="3618"/>
      <x:c r="E122" s="3618"/>
      <x:c r="F122" s="3618"/>
      <x:c r="G122" s="3618"/>
      <x:c r="H122" s="3618"/>
      <x:c r="I122" s="3618"/>
      <x:c r="J122" s="3618"/>
      <x:c r="K122" s="3618"/>
      <x:c r="L122" s="3618"/>
      <x:c r="M122" s="3618"/>
      <x:c r="N122" s="3618"/>
      <x:c r="O122" s="3618"/>
      <x:c r="P122" s="3618"/>
      <x:c r="Q122" s="3618"/>
      <x:c r="R122" s="3618"/>
      <x:c r="S122" s="3618"/>
      <x:c r="T122" s="3618"/>
      <x:c r="U122" s="3618"/>
      <x:c r="V122" s="3618"/>
      <x:c r="W122" s="3618"/>
      <x:c r="X122" s="3618"/>
      <x:c r="Y122" s="3618"/>
      <x:c r="Z122" s="3618"/>
    </x:row>
    <x:row r="123">
      <x:c r="A123" s="3618"/>
      <x:c r="B123" s="3618"/>
      <x:c r="C123" s="3618"/>
      <x:c r="D123" s="3618"/>
      <x:c r="E123" s="3618"/>
      <x:c r="F123" s="3618"/>
      <x:c r="G123" s="3618"/>
      <x:c r="H123" s="3618"/>
      <x:c r="I123" s="3618"/>
      <x:c r="J123" s="3618"/>
      <x:c r="K123" s="3618"/>
      <x:c r="L123" s="3618"/>
      <x:c r="M123" s="3618"/>
      <x:c r="N123" s="3618"/>
      <x:c r="O123" s="3618"/>
      <x:c r="P123" s="3618"/>
      <x:c r="Q123" s="3618"/>
      <x:c r="R123" s="3618"/>
      <x:c r="S123" s="3618"/>
      <x:c r="T123" s="3618"/>
      <x:c r="U123" s="3618"/>
      <x:c r="V123" s="3618"/>
      <x:c r="W123" s="3618"/>
      <x:c r="X123" s="3618"/>
      <x:c r="Y123" s="3618"/>
      <x:c r="Z123" s="3618"/>
    </x:row>
    <x:row r="124">
      <x:c r="A124" s="3618"/>
      <x:c r="B124" s="3618"/>
      <x:c r="C124" s="3618"/>
      <x:c r="D124" s="3618"/>
      <x:c r="E124" s="3618"/>
      <x:c r="F124" s="3618"/>
      <x:c r="G124" s="3618"/>
      <x:c r="H124" s="3618"/>
      <x:c r="I124" s="3618"/>
      <x:c r="J124" s="3618"/>
      <x:c r="K124" s="3618"/>
      <x:c r="L124" s="3618"/>
      <x:c r="M124" s="3618"/>
      <x:c r="N124" s="3618"/>
      <x:c r="O124" s="3618"/>
      <x:c r="P124" s="3618"/>
      <x:c r="Q124" s="3618"/>
      <x:c r="R124" s="3618"/>
      <x:c r="S124" s="3618"/>
      <x:c r="T124" s="3618"/>
      <x:c r="U124" s="3618"/>
      <x:c r="V124" s="3618"/>
      <x:c r="W124" s="3618"/>
      <x:c r="X124" s="3618"/>
      <x:c r="Y124" s="3618"/>
      <x:c r="Z124" s="3618"/>
    </x:row>
    <x:row r="125">
      <x:c r="A125" s="3618"/>
      <x:c r="B125" s="3618"/>
      <x:c r="C125" s="3618"/>
      <x:c r="D125" s="3618"/>
      <x:c r="E125" s="3618"/>
      <x:c r="F125" s="3618"/>
      <x:c r="G125" s="3618"/>
      <x:c r="H125" s="3618"/>
      <x:c r="I125" s="3618"/>
      <x:c r="J125" s="3618"/>
      <x:c r="K125" s="3618"/>
      <x:c r="L125" s="3618"/>
      <x:c r="M125" s="3618"/>
      <x:c r="N125" s="3618"/>
      <x:c r="O125" s="3618"/>
      <x:c r="P125" s="3618"/>
      <x:c r="Q125" s="3618"/>
      <x:c r="R125" s="3618"/>
      <x:c r="S125" s="3618"/>
      <x:c r="T125" s="3618"/>
      <x:c r="U125" s="3618"/>
      <x:c r="V125" s="3618"/>
      <x:c r="W125" s="3618"/>
      <x:c r="X125" s="3618"/>
      <x:c r="Y125" s="3618"/>
      <x:c r="Z125" s="3618"/>
    </x:row>
    <x:row r="126">
      <x:c r="A126" s="3618"/>
      <x:c r="B126" s="3618"/>
      <x:c r="C126" s="3618"/>
      <x:c r="D126" s="3618"/>
      <x:c r="E126" s="3618"/>
      <x:c r="F126" s="3618"/>
      <x:c r="G126" s="3618"/>
      <x:c r="H126" s="3618"/>
      <x:c r="I126" s="3618"/>
      <x:c r="J126" s="3618"/>
      <x:c r="K126" s="3618"/>
      <x:c r="L126" s="3618"/>
      <x:c r="M126" s="3618"/>
      <x:c r="N126" s="3618"/>
      <x:c r="O126" s="3618"/>
      <x:c r="P126" s="3618"/>
      <x:c r="Q126" s="3618"/>
      <x:c r="R126" s="3618"/>
      <x:c r="S126" s="3618"/>
      <x:c r="T126" s="3618"/>
      <x:c r="U126" s="3618"/>
      <x:c r="V126" s="3618"/>
      <x:c r="W126" s="3618"/>
      <x:c r="X126" s="3618"/>
      <x:c r="Y126" s="3618"/>
      <x:c r="Z126" s="3618"/>
    </x:row>
  </x:sheetData>
  <x:mergeCells>
    <x:mergeCell ref="A1:Z1"/>
    <x:mergeCell ref="A2:Z2"/>
    <x:mergeCell ref="A4:Z4"/>
    <x:mergeCell ref="A6:D10"/>
    <x:mergeCell ref="F6:I10"/>
    <x:mergeCell ref="K6:N10"/>
    <x:mergeCell ref="P6:T10"/>
    <x:mergeCell ref="V6:Z10"/>
    <x:mergeCell ref="A13:Z13"/>
    <x:mergeCell ref="A15:H15"/>
    <x:mergeCell ref="I15:Q15"/>
    <x:mergeCell ref="R15:Z15"/>
    <x:mergeCell ref="A17:H20"/>
    <x:mergeCell ref="A22:H25"/>
    <x:mergeCell ref="A27:H31"/>
    <x:mergeCell ref="A34:Q34"/>
    <x:mergeCell ref="A35:Q38"/>
    <x:mergeCell ref="I17:Q20"/>
    <x:mergeCell ref="I22:Q22"/>
    <x:mergeCell ref="I24:K29"/>
    <x:mergeCell ref="L24:N29"/>
    <x:mergeCell ref="O24:Q29"/>
    <x:mergeCell ref="I31:Q32"/>
    <x:mergeCell ref="I40:L44"/>
    <x:mergeCell ref="N40:Q44"/>
    <x:mergeCell ref="I46:Q51"/>
    <x:mergeCell ref="I53:Q56"/>
    <x:mergeCell ref="R17:Z20"/>
    <x:mergeCell ref="R22:Z25"/>
    <x:mergeCell ref="R27:Z30"/>
    <x:mergeCell ref="R32:Z36"/>
    <x:mergeCell ref="R38:Z42"/>
    <x:mergeCell ref="I59:Z59"/>
    <x:mergeCell ref="I60:Z63"/>
    <x:mergeCell ref="A66:Z66"/>
    <x:mergeCell ref="A68:F72"/>
    <x:mergeCell ref="H68:N72"/>
    <x:mergeCell ref="P68:V72"/>
    <x:mergeCell ref="X68:Z72"/>
    <x:mergeCell ref="A75:Z75"/>
    <x:mergeCell ref="A77:L77"/>
    <x:mergeCell ref="N77:Z77"/>
    <x:mergeCell ref="A79:E83"/>
    <x:mergeCell ref="G79:K83"/>
    <x:mergeCell ref="N79:R83"/>
    <x:mergeCell ref="T79:W83"/>
    <x:mergeCell ref="Y79:Z83"/>
    <x:mergeCell ref="N85:Z88"/>
    <x:mergeCell ref="A91:Z91"/>
    <x:mergeCell ref="A93:F97"/>
    <x:mergeCell ref="H93:M97"/>
    <x:mergeCell ref="O93:T97"/>
    <x:mergeCell ref="V93:Z97"/>
    <x:mergeCell ref="A100:Z100"/>
    <x:mergeCell ref="A102:F107"/>
    <x:mergeCell ref="H102:M107"/>
    <x:mergeCell ref="O102:T107"/>
    <x:mergeCell ref="V102:Z107"/>
    <x:mergeCell ref="A110:H115"/>
    <x:mergeCell ref="J110:Q115"/>
    <x:mergeCell ref="S110:Z115"/>
    <x:mergeCell ref="A118:Z118"/>
    <x:mergeCell ref="A120:Z126"/>
  </x:mergeCells>
  <x:pageMargins left="0.7" right="0.7" top="0.75" bottom="0.75" header="0.3" footer="0.3"/>
</x:worksheet>
</file>

<file path=xl/worksheets/sheet40.xml><?xml version="1.0" encoding="utf-8"?>
<x:worksheet xmlns:x="http://schemas.openxmlformats.org/spreadsheetml/2006/main">
  <x:sheetFormatPr defaultRowHeight="15"/>
  <x:cols>
    <x:col min="1" max="1" width="9" hidden="0" customWidth="1"/>
    <x:col min="2" max="2" width="28" hidden="0" customWidth="1"/>
    <x:col min="3" max="3" width="38" hidden="0" customWidth="1"/>
    <x:col min="4" max="4" width="18" hidden="0" customWidth="1"/>
    <x:col min="5" max="5" width="42" hidden="0" customWidth="1"/>
    <x:col min="6" max="6" width="40" hidden="0" customWidth="1"/>
    <x:col min="7" max="7" width="24" hidden="0" customWidth="1"/>
    <x:col min="8" max="8" width="18" hidden="0" customWidth="1"/>
  </x:cols>
  <x:sheetData>
    <x:row r="1">
      <x:c r="A1" s="3802" t="str">
        <x:v>AUDITORÍA GEMINI REV E · INTEGRACIÓN CRÍTICA</x:v>
      </x:c>
      <x:c r="B1" s="3802"/>
      <x:c r="C1" s="3802"/>
      <x:c r="D1" s="3802"/>
      <x:c r="E1" s="3802"/>
      <x:c r="F1" s="3802"/>
      <x:c r="G1" s="3802"/>
      <x:c r="H1" s="3802"/>
    </x:row>
    <x:row r="2">
      <x:c r="A2" s="3663" t="str">
        <x:v>Fuente: respuesta Gemini 30/09/2026 (archivo Pasted markdown). La auditoría se usa como stress test: se adopta el problema/idea útil, no automáticamente la solución propuesta.</x:v>
      </x:c>
      <x:c r="B2" s="3663"/>
      <x:c r="C2" s="3663"/>
      <x:c r="D2" s="3663"/>
      <x:c r="E2" s="3663"/>
      <x:c r="F2" s="3663"/>
      <x:c r="G2" s="3663"/>
      <x:c r="H2" s="3663"/>
    </x:row>
    <x:row r="3">
      <x:c r="A3" s="1277"/>
      <x:c r="B3" s="1277"/>
      <x:c r="C3" s="1277"/>
      <x:c r="D3" s="1277"/>
      <x:c r="E3" s="1277"/>
      <x:c r="F3" s="1277"/>
      <x:c r="G3" s="1277"/>
      <x:c r="H3" s="1277"/>
    </x:row>
    <x:row r="4">
      <x:c r="A4" s="3803" t="str">
        <x:v>Q</x:v>
      </x:c>
      <x:c r="B4" s="3803" t="str">
        <x:v>Tema</x:v>
      </x:c>
      <x:c r="C4" s="3803" t="str">
        <x:v>Gemini propone</x:v>
      </x:c>
      <x:c r="D4" s="3803" t="str">
        <x:v>Nuestra lectura</x:v>
      </x:c>
      <x:c r="E4" s="3803" t="str">
        <x:v>Decisión VDS Architecture</x:v>
      </x:c>
      <x:c r="F4" s="3803" t="str">
        <x:v>Patch aplicado v1.4</x:v>
      </x:c>
      <x:c r="G4" s="3803" t="str">
        <x:v>¿Gate humano?</x:v>
      </x:c>
      <x:c r="H4" s="3803" t="str">
        <x:v>Estado</x:v>
      </x:c>
    </x:row>
    <x:row r="5" ht="78" customHeight="1">
      <x:c r="A5" s="1327" t="str">
        <x:v>Q-01</x:v>
      </x:c>
      <x:c r="B5" s="1327" t="str">
        <x:v>Cambio turno TP-01</x:v>
      </x:c>
      <x:c r="C5" s="1327" t="str">
        <x:v>Mismo TP-01 + EventoHandover; no cortar por turno.</x:v>
      </x:c>
      <x:c r="D5" s="1327" t="str">
        <x:v>Problema/respuesta bien orientados, pero 'nunca split' no debe convertirse en política universal.</x:v>
      </x:c>
      <x:c r="E5" s="1327" t="str">
        <x:v>Default continuidad + handover; ReglaCorte configurable puede imponer split por contexto validado.</x:v>
      </x:c>
      <x:c r="F5" s="1327" t="str">
        <x:v>TP-01 y Freeze Map actualizados.</x:v>
      </x:c>
      <x:c r="G5" s="1327" t="str">
        <x:v>Sí</x:v>
      </x:c>
      <x:c r="H5" s="3651" t="str">
        <x:v>ADAPTAR</x:v>
      </x:c>
    </x:row>
    <x:row r="6" ht="78" customHeight="1">
      <x:c r="A6" s="1327" t="str">
        <x:v>Q-02</x:v>
      </x:c>
      <x:c r="B6" s="1327" t="str">
        <x:v>Emergente/offline</x:v>
      </x:c>
      <x:c r="C6" s="1327" t="str">
        <x:v>Siempre permitir Start Work con Pending_Resolution si Habilita está OK.</x:v>
      </x:c>
      <x:c r="D6" s="1327" t="str">
        <x:v>Capacidad de contingencia sí; 'jamás bloquear por comercial' es demasiado absoluto.</x:v>
      </x:c>
      <x:c r="E6" s="1327" t="str">
        <x:v>estado_contexto_contractual + ReglaInicioEmergente; bloquear o permitir autorizado según política.</x:v>
      </x:c>
      <x:c r="F6" s="1327" t="str">
        <x:v>V0-172/V0-173 + Control Plane.</x:v>
      </x:c>
      <x:c r="G6" s="1327" t="str">
        <x:v>Sí</x:v>
      </x:c>
      <x:c r="H6" s="3651" t="str">
        <x:v>ADAPTAR FUERTE</x:v>
      </x:c>
    </x:row>
    <x:row r="7" ht="78" customHeight="1">
      <x:c r="A7" s="1327" t="str">
        <x:v>Q-03</x:v>
      </x:c>
      <x:c r="B7" s="1327" t="str">
        <x:v>Recurso adicional</x:v>
      </x:c>
      <x:c r="C7" s="1327" t="str">
        <x:v>Mismo objetivo+PTW → apoyo; PTW distinto → nuevo TP-01.</x:v>
      </x:c>
      <x:c r="D7" s="1327" t="str">
        <x:v>Gemini usa PTW como identidad de ejecución; contradice separación Parte/PTW.</x:v>
      </x:c>
      <x:c r="E7" s="1327" t="str">
        <x:v>Work package define Parte. Apoyo misma UE; subtrabajo autónomo nueva UE; nuevo work package nuevo TP-01. PTW distinto no basta.</x:v>
      </x:c>
      <x:c r="F7" s="1327" t="str">
        <x:v>TP-01 + Freeze Map + FC-05.</x:v>
      </x:c>
      <x:c r="G7" s="1327" t="str">
        <x:v>No</x:v>
      </x:c>
      <x:c r="H7" s="3804" t="str">
        <x:v>CORREGIR</x:v>
      </x:c>
    </x:row>
    <x:row r="8" ht="78" customHeight="1">
      <x:c r="A8" s="1327" t="str">
        <x:v>Q-04</x:v>
      </x:c>
      <x:c r="B8" s="1327" t="str">
        <x:v>Enmienda post-certificación</x:v>
      </x:c>
      <x:c r="C8" s="1327" t="str">
        <x:v>Enmienda + invalidar UC; si facturado, Ajuste/Nota crédito-débito.</x:v>
      </x:c>
      <x:c r="D8" s="1327" t="str">
        <x:v>Patrón de lineage correcto; redescubre entidades ya existentes y adelanta documento contable.</x:v>
      </x:c>
      <x:c r="E8" s="1327" t="str">
        <x:v>Agregar supersession UC; original nunca se borra. Política post-aceptación/factura sigue abierta.</x:v>
      </x:c>
      <x:c r="F8" s="1327" t="str">
        <x:v>V0-177/V0-178 + FC-10/11.</x:v>
      </x:c>
      <x:c r="G8" s="1327" t="str">
        <x:v>Sí</x:v>
      </x:c>
      <x:c r="H8" s="3651" t="str">
        <x:v>ADAPTAR</x:v>
      </x:c>
    </x:row>
    <x:row r="9" ht="78" customHeight="1">
      <x:c r="A9" s="1327" t="str">
        <x:v>Q-05</x:v>
      </x:c>
      <x:c r="B9" s="1327" t="str">
        <x:v>Scope EventoHabilita</x:v>
      </x:c>
      <x:c r="C9" s="1327" t="str">
        <x:v>Core universal + extensiones especializadas.</x:v>
      </x:c>
      <x:c r="D9" s="1327" t="str">
        <x:v>Consistente con D.6 y stress Habilita.</x:v>
      </x:c>
      <x:c r="E9" s="1327" t="str">
        <x:v>Congelar patrón Core+Extensiones; catálogo concreto configurable.</x:v>
      </x:c>
      <x:c r="F9" s="1327" t="str">
        <x:v>Q-05 deja de bloquear.</x:v>
      </x:c>
      <x:c r="G9" s="1327" t="str">
        <x:v>No</x:v>
      </x:c>
      <x:c r="H9" s="3652" t="str">
        <x:v>ACEPTAR</x:v>
      </x:c>
    </x:row>
    <x:row r="10" ht="78" customHeight="1">
      <x:c r="A10" s="1327" t="str">
        <x:v>Q-06</x:v>
      </x:c>
      <x:c r="B10" s="1327" t="str">
        <x:v>Escalamiento Habilita</x:v>
      </x:c>
      <x:c r="C10" s="1327" t="str">
        <x:v>Motor RAM + DirectivaHabilita; propone 5x5 y thresholds.</x:v>
      </x:c>
      <x:c r="D10" s="1327" t="str">
        <x:v>Motor correcto; thresholds inventados y DirectivaHabilita duplicaría Control Plane.</x:v>
      </x:c>
      <x:c r="E10" s="1327" t="str">
        <x:v>ReglaEscalamiento + EvaluacionEscalamientoHabilita; outputs usan DirectivaOperativa/PTW/Caso/Notificación existentes.</x:v>
      </x:c>
      <x:c r="F10" s="1327" t="str">
        <x:v>V0-174 + FC-07.</x:v>
      </x:c>
      <x:c r="G10" s="1327" t="str">
        <x:v>Sí</x:v>
      </x:c>
      <x:c r="H10" s="3652" t="str">
        <x:v>ACEPTAR ESTRUCTURA / RECHAZAR DEFAULT</x:v>
      </x:c>
    </x:row>
    <x:row r="11" ht="78" customHeight="1">
      <x:c r="A11" s="1327" t="str">
        <x:v>Q-07</x:v>
      </x:c>
      <x:c r="B11" s="1327" t="str">
        <x:v>Flash Report</x:v>
      </x:c>
      <x:c r="C11" s="1327" t="str">
        <x:v>Autoderivar contexto + categoría + descripción + controlada sí/no + foto opcional.</x:v>
      </x:c>
      <x:c r="D11" s="1327" t="str">
        <x:v>Muy buen contrato mínimo; corrige fricción. Debe funcionar para TP-01/02/03/standalone.</x:v>
      </x:c>
      <x:c r="E11" s="1327" t="str">
        <x:v>Congelar contrato mínimo funcional; triage avanzado después.</x:v>
      </x:c>
      <x:c r="F11" s="1327" t="str">
        <x:v>Habilita sheet + FC-06.</x:v>
      </x:c>
      <x:c r="G11" s="1327" t="str">
        <x:v>No</x:v>
      </x:c>
      <x:c r="H11" s="3652" t="str">
        <x:v>ACEPTAR</x:v>
      </x:c>
    </x:row>
    <x:row r="12" ht="78" customHeight="1">
      <x:c r="A12" s="1327" t="str">
        <x:v>Q-08</x:v>
      </x:c>
      <x:c r="B12" s="1327" t="str">
        <x:v>Notificaciones</x:v>
      </x:c>
      <x:c r="C12" s="1327" t="str">
        <x:v>Modelo asíncrono Pub/Sub con SLA y estados.</x:v>
      </x:c>
      <x:c r="D12" s="1327" t="str">
        <x:v>Dominio correcto; Pub/Sub es implementación, no arquitectura funcional.</x:v>
      </x:c>
      <x:c r="E12" s="1327" t="str">
        <x:v>Congelar NotificacionHabilita funcional; canales/colas/stack fuera de freeze.</x:v>
      </x:c>
      <x:c r="F12" s="1327" t="str">
        <x:v>FC-13.</x:v>
      </x:c>
      <x:c r="G12" s="1327" t="str">
        <x:v>No</x:v>
      </x:c>
      <x:c r="H12" s="3652" t="str">
        <x:v>ACEPTAR DOMINIO</x:v>
      </x:c>
    </x:row>
    <x:row r="13" ht="78" customHeight="1">
      <x:c r="A13" s="1327" t="str">
        <x:v>Q-09</x:v>
      </x:c>
      <x:c r="B13" s="1327" t="str">
        <x:v>Cierre CasoHabilita</x:v>
      </x:c>
      <x:c r="C13" s="1327" t="str">
        <x:v>Cerrar investigación con acciones asignadas; CAPAs siguen lifecycle independiente.</x:v>
      </x:c>
      <x:c r="D13" s="1327" t="str">
        <x:v>Separación lifecycle excelente; gate exacto de CERRADO debe quedar a Habilita.</x:v>
      </x:c>
      <x:c r="E13" s="1327" t="str">
        <x:v>Separar estado_investigacion / estado_caso / estado_accion; política de cierre sigue abierta.</x:v>
      </x:c>
      <x:c r="F13" s="1327" t="str">
        <x:v>V0-175/V0-176 + FC-14.</x:v>
      </x:c>
      <x:c r="G13" s="1327" t="str">
        <x:v>Sí</x:v>
      </x:c>
      <x:c r="H13" s="3652" t="str">
        <x:v>ACEPTAR PRINCIPIO</x:v>
      </x:c>
    </x:row>
    <x:row r="14">
      <x:c r="A14" s="1277"/>
      <x:c r="B14" s="1277"/>
      <x:c r="C14" s="1277"/>
      <x:c r="D14" s="1277"/>
      <x:c r="E14" s="1277"/>
      <x:c r="F14" s="1277"/>
      <x:c r="G14" s="1277"/>
      <x:c r="H14" s="1277"/>
    </x:row>
    <x:row r="15">
      <x:c r="A15" s="1277"/>
      <x:c r="B15" s="1277"/>
      <x:c r="C15" s="1277"/>
      <x:c r="D15" s="1277"/>
      <x:c r="E15" s="1277"/>
      <x:c r="F15" s="1277"/>
      <x:c r="G15" s="1277"/>
      <x:c r="H15" s="1277"/>
    </x:row>
    <x:row r="16">
      <x:c r="A16" s="3805" t="str">
        <x:v>RESULTADO DE LA AUDITORÍA</x:v>
      </x:c>
      <x:c r="B16" s="3805"/>
      <x:c r="C16" s="3805"/>
      <x:c r="D16" s="3805"/>
      <x:c r="E16" s="3805"/>
      <x:c r="F16" s="3805"/>
      <x:c r="G16" s="3805"/>
      <x:c r="H16" s="3805"/>
    </x:row>
    <x:row r="17">
      <x:c r="A17" s="3672" t="str">
        <x:v>4 preguntas dejan de bloquear arquitectura: Q-03, Q-05, Q-07 y la estructura de Q-08.
5 gates reales permanecen antes de REV E FINAL:
Q-01 política de turno TP-01 · Q-02 autoridad/regla emergente · Q-04 corrección post-aceptación/factura · Q-06 matriz/acciones Habilita · Q-09 gate de cierre CasoHabilita.
Conclusión: REV E Candidate mejora a v2, pero todavía NO corresponde declararla Frozen.</x:v>
      </x:c>
      <x:c r="B17" s="3672"/>
      <x:c r="C17" s="3672"/>
      <x:c r="D17" s="3672"/>
      <x:c r="E17" s="3672"/>
      <x:c r="F17" s="3672"/>
      <x:c r="G17" s="3672"/>
      <x:c r="H17" s="3672"/>
    </x:row>
    <x:row r="18">
      <x:c r="A18" s="3672"/>
      <x:c r="B18" s="3672"/>
      <x:c r="C18" s="3672"/>
      <x:c r="D18" s="3672"/>
      <x:c r="E18" s="3672"/>
      <x:c r="F18" s="3672"/>
      <x:c r="G18" s="3672"/>
      <x:c r="H18" s="3672"/>
    </x:row>
    <x:row r="19">
      <x:c r="A19" s="3672"/>
      <x:c r="B19" s="3672"/>
      <x:c r="C19" s="3672"/>
      <x:c r="D19" s="3672"/>
      <x:c r="E19" s="3672"/>
      <x:c r="F19" s="3672"/>
      <x:c r="G19" s="3672"/>
      <x:c r="H19" s="3672"/>
    </x:row>
    <x:row r="20">
      <x:c r="A20" s="3672"/>
      <x:c r="B20" s="3672"/>
      <x:c r="C20" s="3672"/>
      <x:c r="D20" s="3672"/>
      <x:c r="E20" s="3672"/>
      <x:c r="F20" s="3672"/>
      <x:c r="G20" s="3672"/>
      <x:c r="H20" s="3672"/>
    </x:row>
    <x:row r="21">
      <x:c r="A21" s="3672"/>
      <x:c r="B21" s="3672"/>
      <x:c r="C21" s="3672"/>
      <x:c r="D21" s="3672"/>
      <x:c r="E21" s="3672"/>
      <x:c r="F21" s="3672"/>
      <x:c r="G21" s="3672"/>
      <x:c r="H21" s="3672"/>
    </x:row>
    <x:row r="22">
      <x:c r="A22" s="3672"/>
      <x:c r="B22" s="3672"/>
      <x:c r="C22" s="3672"/>
      <x:c r="D22" s="3672"/>
      <x:c r="E22" s="3672"/>
      <x:c r="F22" s="3672"/>
      <x:c r="G22" s="3672"/>
      <x:c r="H22" s="3672"/>
    </x:row>
  </x:sheetData>
  <x:mergeCells>
    <x:mergeCell ref="A1:H1"/>
    <x:mergeCell ref="A2:H2"/>
    <x:mergeCell ref="A16:H16"/>
    <x:mergeCell ref="A17:H22"/>
  </x:mergeCells>
  <x:pageMargins left="0.7" right="0.7" top="0.75" bottom="0.75" header="0.3" footer="0.3"/>
</x:worksheet>
</file>

<file path=xl/worksheets/sheet41.xml><?xml version="1.0" encoding="utf-8"?>
<x:worksheet xmlns:x="http://schemas.openxmlformats.org/spreadsheetml/2006/main">
  <x:sheetFormatPr defaultRowHeight="15"/>
  <x:cols>
    <x:col min="1" max="1" width="9" hidden="0" customWidth="1"/>
    <x:col min="2" max="2" width="26" hidden="0" customWidth="1"/>
    <x:col min="3" max="3" width="38" hidden="0" customWidth="1"/>
    <x:col min="4" max="4" width="42" hidden="0" customWidth="1"/>
    <x:col min="5" max="5" width="34" hidden="0" customWidth="1"/>
    <x:col min="6" max="6" width="28" hidden="0" customWidth="1"/>
    <x:col min="7" max="7" width="20" hidden="0" customWidth="1"/>
    <x:col min="8" max="8" width="18" hidden="0" customWidth="1"/>
  </x:cols>
  <x:sheetData>
    <x:row r="1">
      <x:c r="A1" s="3802" t="str">
        <x:v>HISTÓRICO · GATES REV E · RESUELTOS COMO DEFAULTS EN BASELINE 1.0</x:v>
      </x:c>
      <x:c r="B1" s="3802"/>
      <x:c r="C1" s="3802"/>
      <x:c r="D1" s="3802"/>
      <x:c r="E1" s="3802"/>
      <x:c r="F1" s="3802"/>
      <x:c r="G1" s="3802"/>
      <x:c r="H1" s="3802"/>
    </x:row>
    <x:row r="2">
      <x:c r="A2" s="3663" t="str">
        <x:v>Conservar para trazabilidad. Las decisiones baseline vigentes están en 41_REV_E_Final_Baseline; pueden reabrirse ante evidencia real.</x:v>
      </x:c>
      <x:c r="B2" s="3663"/>
      <x:c r="C2" s="3663"/>
      <x:c r="D2" s="3663"/>
      <x:c r="E2" s="3663"/>
      <x:c r="F2" s="3663"/>
      <x:c r="G2" s="3663"/>
      <x:c r="H2" s="3663"/>
    </x:row>
    <x:row r="3">
      <x:c r="A3" s="1277"/>
      <x:c r="B3" s="1277"/>
      <x:c r="C3" s="1277"/>
      <x:c r="D3" s="1277"/>
      <x:c r="E3" s="1277"/>
      <x:c r="F3" s="1277"/>
      <x:c r="G3" s="1277"/>
      <x:c r="H3" s="1277"/>
    </x:row>
    <x:row r="4">
      <x:c r="A4" s="3803" t="str">
        <x:v>ID</x:v>
      </x:c>
      <x:c r="B4" s="3803" t="str">
        <x:v>Gate</x:v>
      </x:c>
      <x:c r="C4" s="3803" t="str">
        <x:v>Decisión que falta</x:v>
      </x:c>
      <x:c r="D4" s="3803" t="str">
        <x:v>Opciones soportadas por arquitectura</x:v>
      </x:c>
      <x:c r="E4" s="3803" t="str">
        <x:v>Quién debe cerrar</x:v>
      </x:c>
      <x:c r="F4" s="3803" t="str">
        <x:v>Patch cuando responda</x:v>
      </x:c>
      <x:c r="G4" s="3803" t="str">
        <x:v>Bloquea</x:v>
      </x:c>
      <x:c r="H4" s="3803" t="str">
        <x:v>Estado</x:v>
      </x:c>
    </x:row>
    <x:row r="5" ht="84" customHeight="1">
      <x:c r="A5" s="1327" t="str">
        <x:v>G-01</x:v>
      </x:c>
      <x:c r="B5" s="1327" t="str">
        <x:v>TP-01 cruza turno</x:v>
      </x:c>
      <x:c r="C5" s="1327" t="str">
        <x:v>Cuándo se mantiene mismo TP-01 y cuándo un contexto obliga split.</x:v>
      </x:c>
      <x:c r="D5" s="1327" t="str">
        <x:v>DEFAULT continuidad+Handover / excepción ReglaCorte por servicio-cliente-PTW-procedimiento.</x:v>
      </x:c>
      <x:c r="E5" s="1327" t="str">
        <x:v>Operaciones + Habilita</x:v>
      </x:c>
      <x:c r="F5" s="1327" t="str">
        <x:v>Cerrar Q-01; ReglaCorte + handover.</x:v>
      </x:c>
      <x:c r="G5" s="1327" t="str">
        <x:v>REV E Final</x:v>
      </x:c>
      <x:c r="H5" s="3937" t="str">
        <x:v>RESUELTO DEFAULT / REABRIBLE</x:v>
      </x:c>
    </x:row>
    <x:row r="6" ht="84" customHeight="1">
      <x:c r="A6" s="1327" t="str">
        <x:v>G-02</x:v>
      </x:c>
      <x:c r="B6" s="1327" t="str">
        <x:v>Emergente/offline</x:v>
      </x:c>
      <x:c r="C6" s="1327" t="str">
        <x:v>Quién puede autorizar y en qué condiciones iniciar con contexto contractual PENDIENTE.</x:v>
      </x:c>
      <x:c r="D6" s="1327" t="str">
        <x:v>BLOQUEAR / PERMITIR_AUTORIZADO / política por riesgo-contexto.</x:v>
      </x:c>
      <x:c r="E6" s="1327" t="str">
        <x:v>Operaciones + Contratos + Habilita</x:v>
      </x:c>
      <x:c r="F6" s="1327" t="str">
        <x:v>Cerrar Q-02; ReglaInicioEmergente + autoridad/mínimos.</x:v>
      </x:c>
      <x:c r="G6" s="1327" t="str">
        <x:v>REV E Final</x:v>
      </x:c>
      <x:c r="H6" s="3937" t="str">
        <x:v>RESUELTO DEFAULT / REABRIBLE</x:v>
      </x:c>
    </x:row>
    <x:row r="7" ht="84" customHeight="1">
      <x:c r="A7" s="1327" t="str">
        <x:v>G-03</x:v>
      </x:c>
      <x:c r="B7" s="1327" t="str">
        <x:v>Enmienda post-aceptación/factura</x:v>
      </x:c>
      <x:c r="C7" s="1327" t="str">
        <x:v>Qué workflow aplica si verdad operativa cambia después de certificación y/o factura.</x:v>
      </x:c>
      <x:c r="D7" s="1327" t="str">
        <x:v>Re-certificar/supersede antes de factura / reversión-ajuste downstream después de barrera financiera.</x:v>
      </x:c>
      <x:c r="E7" s="1327" t="str">
        <x:v>Certificaciones + Facturación/Administración</x:v>
      </x:c>
      <x:c r="F7" s="1327" t="str">
        <x:v>Cerrar Q-04; estados UC/Paquete/Lote.</x:v>
      </x:c>
      <x:c r="G7" s="1327" t="str">
        <x:v>REV E Final</x:v>
      </x:c>
      <x:c r="H7" s="3937" t="str">
        <x:v>RESUELTO DEFAULT / REABRIBLE</x:v>
      </x:c>
    </x:row>
    <x:row r="8" ht="84" customHeight="1">
      <x:c r="A8" s="1327" t="str">
        <x:v>G-04</x:v>
      </x:c>
      <x:c r="B8" s="1327" t="str">
        <x:v>Escalamiento Habilita</x:v>
      </x:c>
      <x:c r="C8" s="1327" t="str">
        <x:v>Matriz VDS y qué outputs se disparan por tipo/severidad/contexto.</x:v>
      </x:c>
      <x:c r="D8" s="1327" t="str">
        <x:v>EvaluacionEscalamientoHabilita → DirectivaOperativa / PTW / CasoHabilita / NotificacionHabilita.</x:v>
      </x:c>
      <x:c r="E8" s="1327" t="str">
        <x:v>Habilita + Operaciones</x:v>
      </x:c>
      <x:c r="F8" s="1327" t="str">
        <x:v>Cerrar Q-06; cargar reglas reales.</x:v>
      </x:c>
      <x:c r="G8" s="1327" t="str">
        <x:v>Módulo Habilita final</x:v>
      </x:c>
      <x:c r="H8" s="3937" t="str">
        <x:v>RESUELTO DEFAULT / REABRIBLE</x:v>
      </x:c>
    </x:row>
    <x:row r="9" ht="84" customHeight="1">
      <x:c r="A9" s="1327" t="str">
        <x:v>G-05</x:v>
      </x:c>
      <x:c r="B9" s="1327" t="str">
        <x:v>Cierre CasoHabilita</x:v>
      </x:c>
      <x:c r="C9" s="1327" t="str">
        <x:v>Cuándo estado_caso_habilita puede pasar a CERRADO respecto de acciones correctivas.</x:v>
      </x:c>
      <x:c r="D9" s="1327" t="str">
        <x:v>Cerrar con acciones asignadas / implementadas / verificadas / política por severidad.</x:v>
      </x:c>
      <x:c r="E9" s="1327" t="str">
        <x:v>Habilita</x:v>
      </x:c>
      <x:c r="F9" s="1327" t="str">
        <x:v>Cerrar Q-09; gate de estado_caso_habilita.</x:v>
      </x:c>
      <x:c r="G9" s="1327" t="str">
        <x:v>Módulo Habilita final</x:v>
      </x:c>
      <x:c r="H9" s="3937" t="str">
        <x:v>RESUELTO DEFAULT / REABRIBLE</x:v>
      </x:c>
    </x:row>
    <x:row r="10">
      <x:c r="A10" s="1277"/>
      <x:c r="B10" s="1277"/>
      <x:c r="C10" s="1277"/>
      <x:c r="D10" s="1277"/>
      <x:c r="E10" s="1277"/>
      <x:c r="F10" s="1277"/>
      <x:c r="G10" s="1277"/>
      <x:c r="H10" s="1277"/>
    </x:row>
    <x:row r="11">
      <x:c r="A11" s="1277"/>
      <x:c r="B11" s="1277"/>
      <x:c r="C11" s="1277"/>
      <x:c r="D11" s="1277"/>
      <x:c r="E11" s="1277"/>
      <x:c r="F11" s="1277"/>
      <x:c r="G11" s="1277"/>
      <x:c r="H11" s="1277"/>
    </x:row>
    <x:row r="12">
      <x:c r="A12" s="3805" t="str">
        <x:v>NO BLOQUEAN EL FREEZE ESTRUCTURAL</x:v>
      </x:c>
      <x:c r="B12" s="3805"/>
      <x:c r="C12" s="3805"/>
      <x:c r="D12" s="3805"/>
      <x:c r="E12" s="3805"/>
      <x:c r="F12" s="3805"/>
      <x:c r="G12" s="3805"/>
      <x:c r="H12" s="3805"/>
    </x:row>
    <x:row r="13">
      <x:c r="A13" s="1327" t="str">
        <x:v>Tema</x:v>
      </x:c>
      <x:c r="B13" s="1327" t="str">
        <x:v>Decisión ya tomada</x:v>
      </x:c>
      <x:c r="C13" s="1327" t="str">
        <x:v>Qué sigue configurable</x:v>
      </x:c>
      <x:c r="D13" s="1327" t="str">
        <x:v>Estado</x:v>
      </x:c>
      <x:c r="E13" s="1277"/>
      <x:c r="F13" s="1277"/>
      <x:c r="G13" s="1277"/>
      <x:c r="H13" s="1277"/>
    </x:row>
    <x:row r="14" ht="54" customHeight="1">
      <x:c r="A14" s="1327" t="str">
        <x:v>Q-03 recurso adicional</x:v>
      </x:c>
      <x:c r="B14" s="1327" t="str">
        <x:v>Work package define Parte; autonomía define UE; PTW distinto no corta por sí solo.</x:v>
      </x:c>
      <x:c r="C14" s="1327" t="str">
        <x:v>Criterios de subtrabajo autónomo por servicio.</x:v>
      </x:c>
      <x:c r="D14" s="3652" t="str">
        <x:v>Verde</x:v>
      </x:c>
      <x:c r="E14" s="1277"/>
      <x:c r="F14" s="1277"/>
      <x:c r="G14" s="1277"/>
      <x:c r="H14" s="1277"/>
    </x:row>
    <x:row r="15" ht="54" customHeight="1">
      <x:c r="A15" s="1327" t="str">
        <x:v>Q-05 scope Habilita</x:v>
      </x:c>
      <x:c r="B15" s="1327" t="str">
        <x:v>EventoHabilita core + extensiones.</x:v>
      </x:c>
      <x:c r="C15" s="1327" t="str">
        <x:v>Taxonomía/campos por categoría.</x:v>
      </x:c>
      <x:c r="D15" s="3652" t="str">
        <x:v>Verde</x:v>
      </x:c>
      <x:c r="E15" s="1277"/>
      <x:c r="F15" s="1277"/>
      <x:c r="G15" s="1277"/>
      <x:c r="H15" s="1277"/>
    </x:row>
    <x:row r="16" ht="54" customHeight="1">
      <x:c r="A16" s="1327" t="str">
        <x:v>Q-07 flash report</x:v>
      </x:c>
      <x:c r="B16" s="1327" t="str">
        <x:v>Contrato mínimo contextual y triage posterior.</x:v>
      </x:c>
      <x:c r="C16" s="1327" t="str">
        <x:v>Obligatoriedad específica por tipo de evento.</x:v>
      </x:c>
      <x:c r="D16" s="3652" t="str">
        <x:v>Verde</x:v>
      </x:c>
      <x:c r="E16" s="1277"/>
      <x:c r="F16" s="1277"/>
      <x:c r="G16" s="1277"/>
      <x:c r="H16" s="1277"/>
    </x:row>
    <x:row r="17" ht="54" customHeight="1">
      <x:c r="A17" s="1327" t="str">
        <x:v>Q-08 notificaciones</x:v>
      </x:c>
      <x:c r="B17" s="1327" t="str">
        <x:v>NotificacionHabilita + SLA/estado/evidencia como dominio.</x:v>
      </x:c>
      <x:c r="C17" s="1327" t="str">
        <x:v>Destinatarios, plazos, canales y stack.</x:v>
      </x:c>
      <x:c r="D17" s="3652" t="str">
        <x:v>Verde</x:v>
      </x:c>
      <x:c r="E17" s="1277"/>
      <x:c r="F17" s="1277"/>
      <x:c r="G17" s="1277"/>
      <x:c r="H17" s="1277"/>
    </x:row>
  </x:sheetData>
  <x:mergeCells>
    <x:mergeCell ref="A1:H1"/>
    <x:mergeCell ref="A2:H2"/>
    <x:mergeCell ref="A12:H12"/>
  </x:mergeCells>
  <x:pageMargins left="0.7" right="0.7" top="0.75" bottom="0.75" header="0.3" footer="0.3"/>
</x:worksheet>
</file>

<file path=xl/worksheets/sheet42.xml><?xml version="1.0" encoding="utf-8"?>
<x:worksheet xmlns:x="http://schemas.openxmlformats.org/spreadsheetml/2006/main">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s>
  <x:sheetData>
    <x:row r="1">
      <x:c r="A1" s="3802" t="str">
        <x:v>HISTÓRICO · REV E CANDIDATE v2 · SUPERSEDIDA POR BASELINE 1.0</x:v>
      </x:c>
      <x:c r="B1" s="3802"/>
      <x:c r="C1" s="3802"/>
      <x:c r="D1" s="3802"/>
      <x:c r="E1" s="3802"/>
      <x:c r="F1" s="3802"/>
      <x:c r="G1" s="3802"/>
      <x:c r="H1" s="3802"/>
      <x:c r="I1" s="3802"/>
      <x:c r="J1" s="3802"/>
      <x:c r="K1" s="3802"/>
      <x:c r="L1" s="3802"/>
      <x:c r="M1" s="3802"/>
      <x:c r="N1" s="3802"/>
      <x:c r="O1" s="3802"/>
      <x:c r="P1" s="3802"/>
      <x:c r="Q1" s="3802"/>
      <x:c r="R1" s="3802"/>
      <x:c r="S1" s="3802"/>
      <x:c r="T1" s="3802"/>
      <x:c r="U1" s="3802"/>
      <x:c r="V1" s="3802"/>
      <x:c r="W1" s="3802"/>
      <x:c r="X1" s="3802"/>
      <x:c r="Y1" s="3802"/>
      <x:c r="Z1" s="3802"/>
    </x:row>
    <x:row r="2">
      <x:c r="A2" s="3868" t="str">
        <x:v>Conservar como evolución. Ver 41_REV_E_Final_Baseline + 42–46 para el modelo vigente.</x:v>
      </x:c>
      <x:c r="B2" s="3868"/>
      <x:c r="C2" s="3868"/>
      <x:c r="D2" s="3868"/>
      <x:c r="E2" s="3868"/>
      <x:c r="F2" s="3868"/>
      <x:c r="G2" s="3868"/>
      <x:c r="H2" s="3868"/>
      <x:c r="I2" s="3868"/>
      <x:c r="J2" s="3868"/>
      <x:c r="K2" s="3868"/>
      <x:c r="L2" s="3868"/>
      <x:c r="M2" s="3868"/>
      <x:c r="N2" s="3868"/>
      <x:c r="O2" s="3868"/>
      <x:c r="P2" s="3868"/>
      <x:c r="Q2" s="3868"/>
      <x:c r="R2" s="3868"/>
      <x:c r="S2" s="3868"/>
      <x:c r="T2" s="3868"/>
      <x:c r="U2" s="3868"/>
      <x:c r="V2" s="3868"/>
      <x:c r="W2" s="3868"/>
      <x:c r="X2" s="3868"/>
      <x:c r="Y2" s="3868"/>
      <x:c r="Z2" s="3868"/>
    </x:row>
    <x:row r="3">
      <x:c r="A3" s="1277"/>
      <x:c r="B3" s="1277"/>
      <x:c r="C3" s="1277"/>
      <x:c r="D3" s="1277"/>
      <x:c r="E3" s="1277"/>
      <x:c r="F3" s="1277"/>
      <x:c r="G3" s="1277"/>
      <x:c r="H3" s="1277"/>
      <x:c r="I3" s="1277"/>
      <x:c r="J3" s="1277"/>
      <x:c r="K3" s="1277"/>
      <x:c r="L3" s="1277"/>
      <x:c r="M3" s="1277"/>
      <x:c r="N3" s="1277"/>
      <x:c r="O3" s="1277"/>
      <x:c r="P3" s="1277"/>
      <x:c r="Q3" s="1277"/>
      <x:c r="R3" s="1277"/>
      <x:c r="S3" s="1277"/>
      <x:c r="T3" s="1277"/>
      <x:c r="U3" s="1277"/>
      <x:c r="V3" s="1277"/>
      <x:c r="W3" s="1277"/>
      <x:c r="X3" s="1277"/>
      <x:c r="Y3" s="1277"/>
      <x:c r="Z3" s="1277"/>
    </x:row>
    <x:row r="4">
      <x:c r="A4" s="3664" t="str">
        <x:v>00 — CONFIGURATION PLANE</x:v>
      </x:c>
      <x:c r="B4" s="3664"/>
      <x:c r="C4" s="3664"/>
      <x:c r="D4" s="3664"/>
      <x:c r="E4" s="3664"/>
      <x:c r="F4" s="3664"/>
      <x:c r="G4" s="3664"/>
      <x:c r="H4" s="3664"/>
      <x:c r="I4" s="3664"/>
      <x:c r="J4" s="3664"/>
      <x:c r="K4" s="3664"/>
      <x:c r="L4" s="3664"/>
      <x:c r="M4" s="3664"/>
      <x:c r="N4" s="3664"/>
      <x:c r="O4" s="3664"/>
      <x:c r="P4" s="3664"/>
      <x:c r="Q4" s="3664"/>
      <x:c r="R4" s="3664"/>
      <x:c r="S4" s="3664"/>
      <x:c r="T4" s="3664"/>
      <x:c r="U4" s="3664"/>
      <x:c r="V4" s="3664"/>
      <x:c r="W4" s="3664"/>
      <x:c r="X4" s="3664"/>
      <x:c r="Y4" s="3664"/>
      <x:c r="Z4" s="3664"/>
    </x:row>
    <x:row r="5">
      <x:c r="A5" s="1277"/>
      <x:c r="B5" s="1277"/>
      <x:c r="C5" s="1277"/>
      <x:c r="D5" s="1277"/>
      <x:c r="E5" s="1277"/>
      <x:c r="F5" s="1277"/>
      <x:c r="G5" s="1277"/>
      <x:c r="H5" s="1277"/>
      <x:c r="I5" s="1277"/>
      <x:c r="J5" s="1277"/>
      <x:c r="K5" s="1277"/>
      <x:c r="L5" s="1277"/>
      <x:c r="M5" s="1277"/>
      <x:c r="N5" s="1277"/>
      <x:c r="O5" s="1277"/>
      <x:c r="P5" s="1277"/>
      <x:c r="Q5" s="1277"/>
      <x:c r="R5" s="1277"/>
      <x:c r="S5" s="1277"/>
      <x:c r="T5" s="1277"/>
      <x:c r="U5" s="1277"/>
      <x:c r="V5" s="1277"/>
      <x:c r="W5" s="1277"/>
      <x:c r="X5" s="1277"/>
      <x:c r="Y5" s="1277"/>
      <x:c r="Z5" s="1277"/>
    </x:row>
    <x:row r="6">
      <x:c r="A6" s="3869" t="str">
        <x:v>CLIENTE
CONTRATO
VERSIÓN</x:v>
      </x:c>
      <x:c r="B6" s="3870"/>
      <x:c r="C6" s="3870"/>
      <x:c r="D6" s="3871"/>
      <x:c r="E6" s="1277"/>
      <x:c r="F6" s="3869" t="str">
        <x:v>CONTRATO
SERVICIO</x:v>
      </x:c>
      <x:c r="G6" s="3870"/>
      <x:c r="H6" s="3870"/>
      <x:c r="I6" s="3871"/>
      <x:c r="J6" s="1277"/>
      <x:c r="K6" s="3872" t="str">
        <x:v>CC · ITEM · UM
MEDICIÓN / TIEMPO</x:v>
      </x:c>
      <x:c r="L6" s="3873"/>
      <x:c r="M6" s="3873"/>
      <x:c r="N6" s="3874"/>
      <x:c r="O6" s="1277"/>
      <x:c r="P6" s="3872" t="str">
        <x:v>REGLAS OPERATIVAS
TipoParte · corte · readiness
emergente · PTW · offline</x:v>
      </x:c>
      <x:c r="Q6" s="3873"/>
      <x:c r="R6" s="3873"/>
      <x:c r="S6" s="3873"/>
      <x:c r="T6" s="3874"/>
      <x:c r="U6" s="1277"/>
      <x:c r="V6" s="3872" t="str">
        <x:v>REGLAS Habilita + COMERCIALES
escalamiento · grano UC
agrupación · parcialidad</x:v>
      </x:c>
      <x:c r="W6" s="3873"/>
      <x:c r="X6" s="3873"/>
      <x:c r="Y6" s="3873"/>
      <x:c r="Z6" s="3874"/>
    </x:row>
    <x:row r="7">
      <x:c r="A7" s="3875"/>
      <x:c r="B7" s="3876"/>
      <x:c r="C7" s="3876"/>
      <x:c r="D7" s="3877"/>
      <x:c r="E7" s="1277"/>
      <x:c r="F7" s="3875"/>
      <x:c r="G7" s="3876"/>
      <x:c r="H7" s="3876"/>
      <x:c r="I7" s="3877"/>
      <x:c r="J7" s="1277"/>
      <x:c r="K7" s="3878"/>
      <x:c r="L7" s="3659"/>
      <x:c r="M7" s="3659"/>
      <x:c r="N7" s="3879"/>
      <x:c r="O7" s="1277"/>
      <x:c r="P7" s="3878"/>
      <x:c r="Q7" s="3659"/>
      <x:c r="R7" s="3659"/>
      <x:c r="S7" s="3659"/>
      <x:c r="T7" s="3879"/>
      <x:c r="U7" s="1277"/>
      <x:c r="V7" s="3878"/>
      <x:c r="W7" s="3659"/>
      <x:c r="X7" s="3659"/>
      <x:c r="Y7" s="3659"/>
      <x:c r="Z7" s="3879"/>
    </x:row>
    <x:row r="8">
      <x:c r="A8" s="3875"/>
      <x:c r="B8" s="3876"/>
      <x:c r="C8" s="3876"/>
      <x:c r="D8" s="3877"/>
      <x:c r="E8" s="1297" t="str">
        <x:v>→</x:v>
      </x:c>
      <x:c r="F8" s="3875"/>
      <x:c r="G8" s="3876"/>
      <x:c r="H8" s="3876"/>
      <x:c r="I8" s="3877"/>
      <x:c r="J8" s="1297" t="str">
        <x:v>→</x:v>
      </x:c>
      <x:c r="K8" s="3878"/>
      <x:c r="L8" s="3659"/>
      <x:c r="M8" s="3659"/>
      <x:c r="N8" s="3879"/>
      <x:c r="O8" s="1297" t="str">
        <x:v>→</x:v>
      </x:c>
      <x:c r="P8" s="3878"/>
      <x:c r="Q8" s="3659"/>
      <x:c r="R8" s="3659"/>
      <x:c r="S8" s="3659"/>
      <x:c r="T8" s="3879"/>
      <x:c r="U8" s="1297" t="str">
        <x:v>→</x:v>
      </x:c>
      <x:c r="V8" s="3878"/>
      <x:c r="W8" s="3659"/>
      <x:c r="X8" s="3659"/>
      <x:c r="Y8" s="3659"/>
      <x:c r="Z8" s="3879"/>
    </x:row>
    <x:row r="9">
      <x:c r="A9" s="3875"/>
      <x:c r="B9" s="3876"/>
      <x:c r="C9" s="3876"/>
      <x:c r="D9" s="3877"/>
      <x:c r="E9" s="1277"/>
      <x:c r="F9" s="3875"/>
      <x:c r="G9" s="3876"/>
      <x:c r="H9" s="3876"/>
      <x:c r="I9" s="3877"/>
      <x:c r="J9" s="1277"/>
      <x:c r="K9" s="3878"/>
      <x:c r="L9" s="3659"/>
      <x:c r="M9" s="3659"/>
      <x:c r="N9" s="3879"/>
      <x:c r="O9" s="1277"/>
      <x:c r="P9" s="3878"/>
      <x:c r="Q9" s="3659"/>
      <x:c r="R9" s="3659"/>
      <x:c r="S9" s="3659"/>
      <x:c r="T9" s="3879"/>
      <x:c r="U9" s="1277"/>
      <x:c r="V9" s="3878"/>
      <x:c r="W9" s="3659"/>
      <x:c r="X9" s="3659"/>
      <x:c r="Y9" s="3659"/>
      <x:c r="Z9" s="3879"/>
    </x:row>
    <x:row r="10">
      <x:c r="A10" s="3880"/>
      <x:c r="B10" s="3881"/>
      <x:c r="C10" s="3881"/>
      <x:c r="D10" s="3882"/>
      <x:c r="E10" s="1277"/>
      <x:c r="F10" s="3880"/>
      <x:c r="G10" s="3881"/>
      <x:c r="H10" s="3881"/>
      <x:c r="I10" s="3882"/>
      <x:c r="J10" s="1277"/>
      <x:c r="K10" s="3883"/>
      <x:c r="L10" s="3884"/>
      <x:c r="M10" s="3884"/>
      <x:c r="N10" s="3885"/>
      <x:c r="O10" s="1277"/>
      <x:c r="P10" s="3883"/>
      <x:c r="Q10" s="3884"/>
      <x:c r="R10" s="3884"/>
      <x:c r="S10" s="3884"/>
      <x:c r="T10" s="3885"/>
      <x:c r="U10" s="1277"/>
      <x:c r="V10" s="3883"/>
      <x:c r="W10" s="3884"/>
      <x:c r="X10" s="3884"/>
      <x:c r="Y10" s="3884"/>
      <x:c r="Z10" s="3885"/>
    </x:row>
    <x:row r="11">
      <x:c r="A11" s="1277"/>
      <x:c r="B11" s="1277"/>
      <x:c r="C11" s="1277"/>
      <x:c r="D11" s="1277"/>
      <x:c r="E11" s="1277"/>
      <x:c r="F11" s="1277"/>
      <x:c r="G11" s="1277"/>
      <x:c r="H11" s="1277"/>
      <x:c r="I11" s="1277"/>
      <x:c r="J11" s="1277"/>
      <x:c r="K11" s="1277"/>
      <x:c r="L11" s="1277"/>
      <x:c r="M11" s="1277"/>
      <x:c r="N11" s="1277"/>
      <x:c r="O11" s="1277"/>
      <x:c r="P11" s="1277"/>
      <x:c r="Q11" s="1277"/>
      <x:c r="R11" s="1277"/>
      <x:c r="S11" s="1277"/>
      <x:c r="T11" s="1277"/>
      <x:c r="U11" s="1277"/>
      <x:c r="V11" s="1277"/>
      <x:c r="W11" s="1277"/>
      <x:c r="X11" s="1277"/>
      <x:c r="Y11" s="1277"/>
      <x:c r="Z11" s="1277"/>
    </x:row>
    <x:row r="12">
      <x:c r="A12" s="1277"/>
      <x:c r="B12" s="1277"/>
      <x:c r="C12" s="1277"/>
      <x:c r="D12" s="1277"/>
      <x:c r="E12" s="1277"/>
      <x:c r="F12" s="1277"/>
      <x:c r="G12" s="1277"/>
      <x:c r="H12" s="1277"/>
      <x:c r="I12" s="1277"/>
      <x:c r="J12" s="1277"/>
      <x:c r="K12" s="1277"/>
      <x:c r="L12" s="1277"/>
      <x:c r="M12" s="1277"/>
      <x:c r="N12" s="1277"/>
      <x:c r="O12" s="1277"/>
      <x:c r="P12" s="1277"/>
      <x:c r="Q12" s="1277"/>
      <x:c r="R12" s="1277"/>
      <x:c r="S12" s="1277"/>
      <x:c r="T12" s="1277"/>
      <x:c r="U12" s="1277"/>
      <x:c r="V12" s="1277"/>
      <x:c r="W12" s="1277"/>
      <x:c r="X12" s="1277"/>
      <x:c r="Y12" s="1277"/>
      <x:c r="Z12" s="1277"/>
    </x:row>
    <x:row r="13">
      <x:c r="A13" s="3664" t="str">
        <x:v>01 — DATA PLANE · INTENCIÓN → REALIDAD → ACEPTACIÓN</x:v>
      </x:c>
      <x:c r="B13" s="3664"/>
      <x:c r="C13" s="3664"/>
      <x:c r="D13" s="3664"/>
      <x:c r="E13" s="3664"/>
      <x:c r="F13" s="3664"/>
      <x:c r="G13" s="3664"/>
      <x:c r="H13" s="3664"/>
      <x:c r="I13" s="3664"/>
      <x:c r="J13" s="3664"/>
      <x:c r="K13" s="3664"/>
      <x:c r="L13" s="3664"/>
      <x:c r="M13" s="3664"/>
      <x:c r="N13" s="3664"/>
      <x:c r="O13" s="3664"/>
      <x:c r="P13" s="3664"/>
      <x:c r="Q13" s="3664"/>
      <x:c r="R13" s="3664"/>
      <x:c r="S13" s="3664"/>
      <x:c r="T13" s="3664"/>
      <x:c r="U13" s="3664"/>
      <x:c r="V13" s="3664"/>
      <x:c r="W13" s="3664"/>
      <x:c r="X13" s="3664"/>
      <x:c r="Y13" s="3664"/>
      <x:c r="Z13" s="3664"/>
    </x:row>
    <x:row r="14">
      <x:c r="A14" s="1277"/>
      <x:c r="B14" s="1277"/>
      <x:c r="C14" s="1277"/>
      <x:c r="D14" s="1277"/>
      <x:c r="E14" s="1277"/>
      <x:c r="F14" s="1277"/>
      <x:c r="G14" s="1277"/>
      <x:c r="H14" s="1277"/>
      <x:c r="I14" s="1277"/>
      <x:c r="J14" s="1277"/>
      <x:c r="K14" s="1277"/>
      <x:c r="L14" s="1277"/>
      <x:c r="M14" s="1277"/>
      <x:c r="N14" s="1277"/>
      <x:c r="O14" s="1277"/>
      <x:c r="P14" s="1277"/>
      <x:c r="Q14" s="1277"/>
      <x:c r="R14" s="1277"/>
      <x:c r="S14" s="1277"/>
      <x:c r="T14" s="1277"/>
      <x:c r="U14" s="1277"/>
      <x:c r="V14" s="1277"/>
      <x:c r="W14" s="1277"/>
      <x:c r="X14" s="1277"/>
      <x:c r="Y14" s="1277"/>
      <x:c r="Z14" s="1277"/>
    </x:row>
    <x:row r="15">
      <x:c r="A15" s="3886" t="str">
        <x:v>PLANIFICACIÓN</x:v>
      </x:c>
      <x:c r="B15" s="3886"/>
      <x:c r="C15" s="3886"/>
      <x:c r="D15" s="3886"/>
      <x:c r="E15" s="3886"/>
      <x:c r="F15" s="3886"/>
      <x:c r="G15" s="3886"/>
      <x:c r="H15" s="3886"/>
      <x:c r="I15" s="3886" t="str">
        <x:v>EJECUCIÓN / PARTES</x:v>
      </x:c>
      <x:c r="J15" s="3886"/>
      <x:c r="K15" s="3886"/>
      <x:c r="L15" s="3886"/>
      <x:c r="M15" s="3886"/>
      <x:c r="N15" s="3886"/>
      <x:c r="O15" s="3886"/>
      <x:c r="P15" s="3886"/>
      <x:c r="Q15" s="3886"/>
      <x:c r="R15" s="3886" t="str">
        <x:v>CERTIFICACIÓN / FACTURACIÓN</x:v>
      </x:c>
      <x:c r="S15" s="3886"/>
      <x:c r="T15" s="3886"/>
      <x:c r="U15" s="3886"/>
      <x:c r="V15" s="3886"/>
      <x:c r="W15" s="3886"/>
      <x:c r="X15" s="3886"/>
      <x:c r="Y15" s="3886"/>
      <x:c r="Z15" s="3886"/>
    </x:row>
    <x:row r="16">
      <x:c r="A16" s="1277"/>
      <x:c r="B16" s="1277"/>
      <x:c r="C16" s="1277"/>
      <x:c r="D16" s="1277"/>
      <x:c r="E16" s="1277"/>
      <x:c r="F16" s="1277"/>
      <x:c r="G16" s="1277"/>
      <x:c r="H16" s="1277"/>
      <x:c r="I16" s="1277"/>
      <x:c r="J16" s="1277"/>
      <x:c r="K16" s="1277"/>
      <x:c r="L16" s="1277"/>
      <x:c r="M16" s="1277"/>
      <x:c r="N16" s="1277"/>
      <x:c r="O16" s="1277"/>
      <x:c r="P16" s="1277"/>
      <x:c r="Q16" s="1277"/>
      <x:c r="R16" s="1277"/>
      <x:c r="S16" s="1277"/>
      <x:c r="T16" s="1277"/>
      <x:c r="U16" s="1277"/>
      <x:c r="V16" s="1277"/>
      <x:c r="W16" s="1277"/>
      <x:c r="X16" s="1277"/>
      <x:c r="Y16" s="1277"/>
      <x:c r="Z16" s="1277"/>
    </x:row>
    <x:row r="17">
      <x:c r="A17" s="3869" t="str">
        <x:v>DEMANDA → ALCANCE → CAPACIDAD</x:v>
      </x:c>
      <x:c r="B17" s="3870"/>
      <x:c r="C17" s="3870"/>
      <x:c r="D17" s="3870"/>
      <x:c r="E17" s="3870"/>
      <x:c r="F17" s="3870"/>
      <x:c r="G17" s="3870"/>
      <x:c r="H17" s="3871"/>
      <x:c r="I17" s="3869" t="str">
        <x:v>ƒ MOTOR DE RUTEO REAL
NO selector manual</x:v>
      </x:c>
      <x:c r="J17" s="3870"/>
      <x:c r="K17" s="3870"/>
      <x:c r="L17" s="3870"/>
      <x:c r="M17" s="3870"/>
      <x:c r="N17" s="3870"/>
      <x:c r="O17" s="3870"/>
      <x:c r="P17" s="3870"/>
      <x:c r="Q17" s="3871"/>
      <x:c r="R17" s="3869" t="str">
        <x:v>INGESTA
VERDAD OPERATIVA + LINEAGE</x:v>
      </x:c>
      <x:c r="S17" s="3870"/>
      <x:c r="T17" s="3870"/>
      <x:c r="U17" s="3870"/>
      <x:c r="V17" s="3870"/>
      <x:c r="W17" s="3870"/>
      <x:c r="X17" s="3870"/>
      <x:c r="Y17" s="3870"/>
      <x:c r="Z17" s="3871"/>
    </x:row>
    <x:row r="18">
      <x:c r="A18" s="3875"/>
      <x:c r="B18" s="3876"/>
      <x:c r="C18" s="3876"/>
      <x:c r="D18" s="3876"/>
      <x:c r="E18" s="3876"/>
      <x:c r="F18" s="3876"/>
      <x:c r="G18" s="3876"/>
      <x:c r="H18" s="3877"/>
      <x:c r="I18" s="3875"/>
      <x:c r="J18" s="3876"/>
      <x:c r="K18" s="3876"/>
      <x:c r="L18" s="3876"/>
      <x:c r="M18" s="3876"/>
      <x:c r="N18" s="3876"/>
      <x:c r="O18" s="3876"/>
      <x:c r="P18" s="3876"/>
      <x:c r="Q18" s="3877"/>
      <x:c r="R18" s="3875"/>
      <x:c r="S18" s="3876"/>
      <x:c r="T18" s="3876"/>
      <x:c r="U18" s="3876"/>
      <x:c r="V18" s="3876"/>
      <x:c r="W18" s="3876"/>
      <x:c r="X18" s="3876"/>
      <x:c r="Y18" s="3876"/>
      <x:c r="Z18" s="3877"/>
    </x:row>
    <x:row r="19">
      <x:c r="A19" s="3875"/>
      <x:c r="B19" s="3876"/>
      <x:c r="C19" s="3876"/>
      <x:c r="D19" s="3876"/>
      <x:c r="E19" s="3876"/>
      <x:c r="F19" s="3876"/>
      <x:c r="G19" s="3876"/>
      <x:c r="H19" s="3877"/>
      <x:c r="I19" s="3875"/>
      <x:c r="J19" s="3876"/>
      <x:c r="K19" s="3876"/>
      <x:c r="L19" s="3876"/>
      <x:c r="M19" s="3876"/>
      <x:c r="N19" s="3876"/>
      <x:c r="O19" s="3876"/>
      <x:c r="P19" s="3876"/>
      <x:c r="Q19" s="3877"/>
      <x:c r="R19" s="3875"/>
      <x:c r="S19" s="3876"/>
      <x:c r="T19" s="3876"/>
      <x:c r="U19" s="3876"/>
      <x:c r="V19" s="3876"/>
      <x:c r="W19" s="3876"/>
      <x:c r="X19" s="3876"/>
      <x:c r="Y19" s="3876"/>
      <x:c r="Z19" s="3877"/>
    </x:row>
    <x:row r="20">
      <x:c r="A20" s="3880"/>
      <x:c r="B20" s="3881"/>
      <x:c r="C20" s="3881"/>
      <x:c r="D20" s="3881"/>
      <x:c r="E20" s="3881"/>
      <x:c r="F20" s="3881"/>
      <x:c r="G20" s="3881"/>
      <x:c r="H20" s="3882"/>
      <x:c r="I20" s="3880"/>
      <x:c r="J20" s="3881"/>
      <x:c r="K20" s="3881"/>
      <x:c r="L20" s="3881"/>
      <x:c r="M20" s="3881"/>
      <x:c r="N20" s="3881"/>
      <x:c r="O20" s="3881"/>
      <x:c r="P20" s="3881"/>
      <x:c r="Q20" s="3882"/>
      <x:c r="R20" s="3880"/>
      <x:c r="S20" s="3881"/>
      <x:c r="T20" s="3881"/>
      <x:c r="U20" s="3881"/>
      <x:c r="V20" s="3881"/>
      <x:c r="W20" s="3881"/>
      <x:c r="X20" s="3881"/>
      <x:c r="Y20" s="3881"/>
      <x:c r="Z20" s="3882"/>
    </x:row>
    <x:row r="21">
      <x:c r="A21" s="1277"/>
      <x:c r="B21" s="1277"/>
      <x:c r="C21" s="1277"/>
      <x:c r="D21" s="1385" t="str">
        <x:v>↓</x:v>
      </x:c>
      <x:c r="E21" s="1277"/>
      <x:c r="F21" s="1277"/>
      <x:c r="G21" s="1277"/>
      <x:c r="H21" s="1277"/>
      <x:c r="I21" s="1277"/>
      <x:c r="J21" s="1277"/>
      <x:c r="K21" s="1277"/>
      <x:c r="L21" s="1277"/>
      <x:c r="M21" s="1277"/>
      <x:c r="N21" s="1277"/>
      <x:c r="O21" s="1277"/>
      <x:c r="P21" s="1277"/>
      <x:c r="Q21" s="1277"/>
      <x:c r="R21" s="1277"/>
      <x:c r="S21" s="1277"/>
      <x:c r="T21" s="1277"/>
      <x:c r="U21" s="1277"/>
      <x:c r="V21" s="1385" t="str">
        <x:v>↓</x:v>
      </x:c>
      <x:c r="W21" s="1277"/>
      <x:c r="X21" s="1277"/>
      <x:c r="Y21" s="1277"/>
      <x:c r="Z21" s="1277"/>
    </x:row>
    <x:row r="22">
      <x:c r="A22" s="3869" t="str">
        <x:v>MATCHING / DISPONIBILIDAD
+ CONFLICTO TEMPORAL</x:v>
      </x:c>
      <x:c r="B22" s="3870"/>
      <x:c r="C22" s="3870"/>
      <x:c r="D22" s="3870"/>
      <x:c r="E22" s="3870"/>
      <x:c r="F22" s="3870"/>
      <x:c r="G22" s="3870"/>
      <x:c r="H22" s="3871"/>
      <x:c r="I22" s="3887" t="str">
        <x:v>CATÁLOGO DE EJECUCIÓN · 3 TIPOSPARTE</x:v>
      </x:c>
      <x:c r="J22" s="3887"/>
      <x:c r="K22" s="3887"/>
      <x:c r="L22" s="3887"/>
      <x:c r="M22" s="3887"/>
      <x:c r="N22" s="3887"/>
      <x:c r="O22" s="3887"/>
      <x:c r="P22" s="3887"/>
      <x:c r="Q22" s="3887"/>
      <x:c r="R22" s="3869" t="str">
        <x:v>NORMALIZAR
Item/CC · medición · tiempo</x:v>
      </x:c>
      <x:c r="S22" s="3870"/>
      <x:c r="T22" s="3870"/>
      <x:c r="U22" s="3870"/>
      <x:c r="V22" s="3870"/>
      <x:c r="W22" s="3870"/>
      <x:c r="X22" s="3870"/>
      <x:c r="Y22" s="3870"/>
      <x:c r="Z22" s="3871"/>
    </x:row>
    <x:row r="23">
      <x:c r="A23" s="3875"/>
      <x:c r="B23" s="3876"/>
      <x:c r="C23" s="3876"/>
      <x:c r="D23" s="3876"/>
      <x:c r="E23" s="3876"/>
      <x:c r="F23" s="3876"/>
      <x:c r="G23" s="3876"/>
      <x:c r="H23" s="3877"/>
      <x:c r="I23" s="1277"/>
      <x:c r="J23" s="1277"/>
      <x:c r="K23" s="1277"/>
      <x:c r="L23" s="1277"/>
      <x:c r="M23" s="1277"/>
      <x:c r="N23" s="1277"/>
      <x:c r="O23" s="1277"/>
      <x:c r="P23" s="1277"/>
      <x:c r="Q23" s="1277"/>
      <x:c r="R23" s="3875"/>
      <x:c r="S23" s="3876"/>
      <x:c r="T23" s="3876"/>
      <x:c r="U23" s="3876"/>
      <x:c r="V23" s="3876"/>
      <x:c r="W23" s="3876"/>
      <x:c r="X23" s="3876"/>
      <x:c r="Y23" s="3876"/>
      <x:c r="Z23" s="3877"/>
    </x:row>
    <x:row r="24">
      <x:c r="A24" s="3875"/>
      <x:c r="B24" s="3876"/>
      <x:c r="C24" s="3876"/>
      <x:c r="D24" s="3876"/>
      <x:c r="E24" s="3876"/>
      <x:c r="F24" s="3876"/>
      <x:c r="G24" s="3876"/>
      <x:c r="H24" s="3877"/>
      <x:c r="I24" s="3869" t="str">
        <x:v>TP-01
INTERVENCIÓN
WORK PACKAGE
1..N UE</x:v>
      </x:c>
      <x:c r="J24" s="3870"/>
      <x:c r="K24" s="3871"/>
      <x:c r="L24" s="3869" t="str">
        <x:v>TP-02
TRANSPORTE
N MOVIMIENTOS</x:v>
      </x:c>
      <x:c r="M24" s="3870"/>
      <x:c r="N24" s="3871"/>
      <x:c r="O24" s="3869" t="str">
        <x:v>TP-03
CUADRILLA
N UE / TURNO</x:v>
      </x:c>
      <x:c r="P24" s="3870"/>
      <x:c r="Q24" s="3871"/>
      <x:c r="R24" s="3875"/>
      <x:c r="S24" s="3876"/>
      <x:c r="T24" s="3876"/>
      <x:c r="U24" s="3876"/>
      <x:c r="V24" s="3876"/>
      <x:c r="W24" s="3876"/>
      <x:c r="X24" s="3876"/>
      <x:c r="Y24" s="3876"/>
      <x:c r="Z24" s="3877"/>
    </x:row>
    <x:row r="25">
      <x:c r="A25" s="3880"/>
      <x:c r="B25" s="3881"/>
      <x:c r="C25" s="3881"/>
      <x:c r="D25" s="3881"/>
      <x:c r="E25" s="3881"/>
      <x:c r="F25" s="3881"/>
      <x:c r="G25" s="3881"/>
      <x:c r="H25" s="3882"/>
      <x:c r="I25" s="3875"/>
      <x:c r="J25" s="3876"/>
      <x:c r="K25" s="3877"/>
      <x:c r="L25" s="3875"/>
      <x:c r="M25" s="3876"/>
      <x:c r="N25" s="3877"/>
      <x:c r="O25" s="3875"/>
      <x:c r="P25" s="3876"/>
      <x:c r="Q25" s="3877"/>
      <x:c r="R25" s="3880"/>
      <x:c r="S25" s="3881"/>
      <x:c r="T25" s="3881"/>
      <x:c r="U25" s="3881"/>
      <x:c r="V25" s="3881"/>
      <x:c r="W25" s="3881"/>
      <x:c r="X25" s="3881"/>
      <x:c r="Y25" s="3881"/>
      <x:c r="Z25" s="3882"/>
    </x:row>
    <x:row r="26">
      <x:c r="A26" s="1277"/>
      <x:c r="B26" s="1277"/>
      <x:c r="C26" s="1277"/>
      <x:c r="D26" s="1385" t="str">
        <x:v>↓</x:v>
      </x:c>
      <x:c r="E26" s="1277"/>
      <x:c r="F26" s="1277"/>
      <x:c r="G26" s="1277"/>
      <x:c r="H26" s="1277"/>
      <x:c r="I26" s="3875"/>
      <x:c r="J26" s="3876"/>
      <x:c r="K26" s="3877"/>
      <x:c r="L26" s="3875"/>
      <x:c r="M26" s="3876"/>
      <x:c r="N26" s="3877"/>
      <x:c r="O26" s="3875"/>
      <x:c r="P26" s="3876"/>
      <x:c r="Q26" s="3877"/>
      <x:c r="R26" s="1277"/>
      <x:c r="S26" s="1277"/>
      <x:c r="T26" s="1277"/>
      <x:c r="U26" s="1277"/>
      <x:c r="V26" s="1385" t="str">
        <x:v>↓</x:v>
      </x:c>
      <x:c r="W26" s="1277"/>
      <x:c r="X26" s="1277"/>
      <x:c r="Y26" s="1277"/>
      <x:c r="Z26" s="1277"/>
    </x:row>
    <x:row r="27">
      <x:c r="A27" s="3869" t="str">
        <x:v>PROGRAMAR / NOMINAR
→ READINESS TEMPORAL
→ PlanificacionVersion</x:v>
      </x:c>
      <x:c r="B27" s="3870"/>
      <x:c r="C27" s="3870"/>
      <x:c r="D27" s="3870"/>
      <x:c r="E27" s="3870"/>
      <x:c r="F27" s="3870"/>
      <x:c r="G27" s="3870"/>
      <x:c r="H27" s="3871"/>
      <x:c r="I27" s="3875"/>
      <x:c r="J27" s="3876"/>
      <x:c r="K27" s="3877"/>
      <x:c r="L27" s="3875"/>
      <x:c r="M27" s="3876"/>
      <x:c r="N27" s="3877"/>
      <x:c r="O27" s="3875"/>
      <x:c r="P27" s="3876"/>
      <x:c r="Q27" s="3877"/>
      <x:c r="R27" s="3872" t="str">
        <x:v>ƒ GRANO UNIDAD COMERCIAL
UE · movimiento · intervención
ítem · día · período</x:v>
      </x:c>
      <x:c r="S27" s="3873"/>
      <x:c r="T27" s="3873"/>
      <x:c r="U27" s="3873"/>
      <x:c r="V27" s="3873"/>
      <x:c r="W27" s="3873"/>
      <x:c r="X27" s="3873"/>
      <x:c r="Y27" s="3873"/>
      <x:c r="Z27" s="3874"/>
    </x:row>
    <x:row r="28">
      <x:c r="A28" s="3875"/>
      <x:c r="B28" s="3876"/>
      <x:c r="C28" s="3876"/>
      <x:c r="D28" s="3876"/>
      <x:c r="E28" s="3876"/>
      <x:c r="F28" s="3876"/>
      <x:c r="G28" s="3876"/>
      <x:c r="H28" s="3877"/>
      <x:c r="I28" s="3875"/>
      <x:c r="J28" s="3876"/>
      <x:c r="K28" s="3877"/>
      <x:c r="L28" s="3875"/>
      <x:c r="M28" s="3876"/>
      <x:c r="N28" s="3877"/>
      <x:c r="O28" s="3875"/>
      <x:c r="P28" s="3876"/>
      <x:c r="Q28" s="3877"/>
      <x:c r="R28" s="3878"/>
      <x:c r="S28" s="3659"/>
      <x:c r="T28" s="3659"/>
      <x:c r="U28" s="3659"/>
      <x:c r="V28" s="3659"/>
      <x:c r="W28" s="3659"/>
      <x:c r="X28" s="3659"/>
      <x:c r="Y28" s="3659"/>
      <x:c r="Z28" s="3879"/>
    </x:row>
    <x:row r="29">
      <x:c r="A29" s="3875"/>
      <x:c r="B29" s="3876"/>
      <x:c r="C29" s="3876"/>
      <x:c r="D29" s="3876"/>
      <x:c r="E29" s="3876"/>
      <x:c r="F29" s="3876"/>
      <x:c r="G29" s="3876"/>
      <x:c r="H29" s="3877"/>
      <x:c r="I29" s="3880"/>
      <x:c r="J29" s="3881"/>
      <x:c r="K29" s="3882"/>
      <x:c r="L29" s="3880"/>
      <x:c r="M29" s="3881"/>
      <x:c r="N29" s="3882"/>
      <x:c r="O29" s="3880"/>
      <x:c r="P29" s="3881"/>
      <x:c r="Q29" s="3882"/>
      <x:c r="R29" s="3878"/>
      <x:c r="S29" s="3659"/>
      <x:c r="T29" s="3659"/>
      <x:c r="U29" s="3659"/>
      <x:c r="V29" s="3659"/>
      <x:c r="W29" s="3659"/>
      <x:c r="X29" s="3659"/>
      <x:c r="Y29" s="3659"/>
      <x:c r="Z29" s="3879"/>
    </x:row>
    <x:row r="30">
      <x:c r="A30" s="3875"/>
      <x:c r="B30" s="3876"/>
      <x:c r="C30" s="3876"/>
      <x:c r="D30" s="3876"/>
      <x:c r="E30" s="3876"/>
      <x:c r="F30" s="3876"/>
      <x:c r="G30" s="3876"/>
      <x:c r="H30" s="3877"/>
      <x:c r="I30" s="1277"/>
      <x:c r="J30" s="1277"/>
      <x:c r="K30" s="1277"/>
      <x:c r="L30" s="1277"/>
      <x:c r="M30" s="1277"/>
      <x:c r="N30" s="1277"/>
      <x:c r="O30" s="1277"/>
      <x:c r="P30" s="1277"/>
      <x:c r="Q30" s="1277"/>
      <x:c r="R30" s="3883"/>
      <x:c r="S30" s="3884"/>
      <x:c r="T30" s="3884"/>
      <x:c r="U30" s="3884"/>
      <x:c r="V30" s="3884"/>
      <x:c r="W30" s="3884"/>
      <x:c r="X30" s="3884"/>
      <x:c r="Y30" s="3884"/>
      <x:c r="Z30" s="3885"/>
    </x:row>
    <x:row r="31">
      <x:c r="A31" s="3880"/>
      <x:c r="B31" s="3881"/>
      <x:c r="C31" s="3881"/>
      <x:c r="D31" s="3881"/>
      <x:c r="E31" s="3881"/>
      <x:c r="F31" s="3881"/>
      <x:c r="G31" s="3881"/>
      <x:c r="H31" s="3882"/>
      <x:c r="I31" s="3888" t="str">
        <x:v>Q-03 RESUELTA: recurso extra en misma UE si apoya; nueva UE si ejecuta subtrabajo autónomo; nuevo TP-01 solo si cambia work package. PTW distinto NO crea Parte por sí solo.</x:v>
      </x:c>
      <x:c r="J31" s="3888"/>
      <x:c r="K31" s="3888"/>
      <x:c r="L31" s="3888"/>
      <x:c r="M31" s="3888"/>
      <x:c r="N31" s="3888"/>
      <x:c r="O31" s="3888"/>
      <x:c r="P31" s="3888"/>
      <x:c r="Q31" s="3888"/>
      <x:c r="R31" s="1277"/>
      <x:c r="S31" s="1277"/>
      <x:c r="T31" s="1277"/>
      <x:c r="U31" s="1277"/>
      <x:c r="V31" s="1385" t="str">
        <x:v>↓</x:v>
      </x:c>
      <x:c r="W31" s="1277"/>
      <x:c r="X31" s="1277"/>
      <x:c r="Y31" s="1277"/>
      <x:c r="Z31" s="1277"/>
    </x:row>
    <x:row r="32">
      <x:c r="A32" s="1277"/>
      <x:c r="B32" s="1277"/>
      <x:c r="C32" s="1277"/>
      <x:c r="D32" s="1277"/>
      <x:c r="E32" s="1277"/>
      <x:c r="F32" s="1277"/>
      <x:c r="G32" s="1277"/>
      <x:c r="H32" s="1277"/>
      <x:c r="I32" s="3888"/>
      <x:c r="J32" s="3888"/>
      <x:c r="K32" s="3888"/>
      <x:c r="L32" s="3888"/>
      <x:c r="M32" s="3888"/>
      <x:c r="N32" s="3888"/>
      <x:c r="O32" s="3888"/>
      <x:c r="P32" s="3888"/>
      <x:c r="Q32" s="3888"/>
      <x:c r="R32" s="3869" t="str">
        <x:v>UC → AGRUPAR → CERTIFICAR
→ LíneaFacturable → Factura</x:v>
      </x:c>
      <x:c r="S32" s="3870"/>
      <x:c r="T32" s="3870"/>
      <x:c r="U32" s="3870"/>
      <x:c r="V32" s="3870"/>
      <x:c r="W32" s="3870"/>
      <x:c r="X32" s="3870"/>
      <x:c r="Y32" s="3870"/>
      <x:c r="Z32" s="3871"/>
    </x:row>
    <x:row r="33">
      <x:c r="A33" s="1277"/>
      <x:c r="B33" s="1277"/>
      <x:c r="C33" s="1277"/>
      <x:c r="D33" s="1277"/>
      <x:c r="E33" s="1277"/>
      <x:c r="F33" s="1277"/>
      <x:c r="G33" s="1277"/>
      <x:c r="H33" s="1277"/>
      <x:c r="I33" s="3888"/>
      <x:c r="J33" s="3888"/>
      <x:c r="K33" s="3888"/>
      <x:c r="L33" s="3888"/>
      <x:c r="M33" s="3888"/>
      <x:c r="N33" s="3888"/>
      <x:c r="O33" s="3888"/>
      <x:c r="P33" s="3888"/>
      <x:c r="Q33" s="3888"/>
      <x:c r="R33" s="3875"/>
      <x:c r="S33" s="3876"/>
      <x:c r="T33" s="3876"/>
      <x:c r="U33" s="3876"/>
      <x:c r="V33" s="3876"/>
      <x:c r="W33" s="3876"/>
      <x:c r="X33" s="3876"/>
      <x:c r="Y33" s="3876"/>
      <x:c r="Z33" s="3877"/>
    </x:row>
    <x:row r="34">
      <x:c r="A34" s="3889" t="str">
        <x:v>I-A · PLANIFICACIÓN → EJECUCIÓN · VERSIÓN APROBADA + CONTEXTO</x:v>
      </x:c>
      <x:c r="B34" s="3889"/>
      <x:c r="C34" s="3889"/>
      <x:c r="D34" s="3889"/>
      <x:c r="E34" s="3889"/>
      <x:c r="F34" s="3889"/>
      <x:c r="G34" s="3889"/>
      <x:c r="H34" s="3889"/>
      <x:c r="I34" s="3889"/>
      <x:c r="J34" s="3889"/>
      <x:c r="K34" s="3889"/>
      <x:c r="L34" s="3889"/>
      <x:c r="M34" s="3889"/>
      <x:c r="N34" s="3889"/>
      <x:c r="O34" s="3889"/>
      <x:c r="P34" s="3889"/>
      <x:c r="Q34" s="3889"/>
      <x:c r="R34" s="3875"/>
      <x:c r="S34" s="3876"/>
      <x:c r="T34" s="3876"/>
      <x:c r="U34" s="3876"/>
      <x:c r="V34" s="3876"/>
      <x:c r="W34" s="3876"/>
      <x:c r="X34" s="3876"/>
      <x:c r="Y34" s="3876"/>
      <x:c r="Z34" s="3877"/>
    </x:row>
    <x:row r="35">
      <x:c r="A35" s="3890" t="str">
        <x:v>Asignaciones/UE planificadas + ventana + contexto + recursos/personas previstas + readiness/precheck + TipoParte previsto + ExecutionContextBundle versionado.</x:v>
      </x:c>
      <x:c r="B35" s="3890"/>
      <x:c r="C35" s="3890"/>
      <x:c r="D35" s="3890"/>
      <x:c r="E35" s="3890"/>
      <x:c r="F35" s="3890"/>
      <x:c r="G35" s="3890"/>
      <x:c r="H35" s="3890"/>
      <x:c r="I35" s="3890"/>
      <x:c r="J35" s="3890"/>
      <x:c r="K35" s="3890"/>
      <x:c r="L35" s="3890"/>
      <x:c r="M35" s="3890"/>
      <x:c r="N35" s="3890"/>
      <x:c r="O35" s="3890"/>
      <x:c r="P35" s="3890"/>
      <x:c r="Q35" s="3890"/>
      <x:c r="R35" s="3875"/>
      <x:c r="S35" s="3876"/>
      <x:c r="T35" s="3876"/>
      <x:c r="U35" s="3876"/>
      <x:c r="V35" s="3876"/>
      <x:c r="W35" s="3876"/>
      <x:c r="X35" s="3876"/>
      <x:c r="Y35" s="3876"/>
      <x:c r="Z35" s="3877"/>
    </x:row>
    <x:row r="36">
      <x:c r="A36" s="3890"/>
      <x:c r="B36" s="3890"/>
      <x:c r="C36" s="3890"/>
      <x:c r="D36" s="3890"/>
      <x:c r="E36" s="3890"/>
      <x:c r="F36" s="3890"/>
      <x:c r="G36" s="3890"/>
      <x:c r="H36" s="3890"/>
      <x:c r="I36" s="3890"/>
      <x:c r="J36" s="3890"/>
      <x:c r="K36" s="3890"/>
      <x:c r="L36" s="3890"/>
      <x:c r="M36" s="3890"/>
      <x:c r="N36" s="3890"/>
      <x:c r="O36" s="3890"/>
      <x:c r="P36" s="3890"/>
      <x:c r="Q36" s="3890"/>
      <x:c r="R36" s="3880"/>
      <x:c r="S36" s="3881"/>
      <x:c r="T36" s="3881"/>
      <x:c r="U36" s="3881"/>
      <x:c r="V36" s="3881"/>
      <x:c r="W36" s="3881"/>
      <x:c r="X36" s="3881"/>
      <x:c r="Y36" s="3881"/>
      <x:c r="Z36" s="3882"/>
    </x:row>
    <x:row r="37">
      <x:c r="A37" s="3890"/>
      <x:c r="B37" s="3890"/>
      <x:c r="C37" s="3890"/>
      <x:c r="D37" s="3890"/>
      <x:c r="E37" s="3890"/>
      <x:c r="F37" s="3890"/>
      <x:c r="G37" s="3890"/>
      <x:c r="H37" s="3890"/>
      <x:c r="I37" s="3890"/>
      <x:c r="J37" s="3890"/>
      <x:c r="K37" s="3890"/>
      <x:c r="L37" s="3890"/>
      <x:c r="M37" s="3890"/>
      <x:c r="N37" s="3890"/>
      <x:c r="O37" s="3890"/>
      <x:c r="P37" s="3890"/>
      <x:c r="Q37" s="3890"/>
      <x:c r="R37" s="1277"/>
      <x:c r="S37" s="1277"/>
      <x:c r="T37" s="1277"/>
      <x:c r="U37" s="1277"/>
      <x:c r="V37" s="1277"/>
      <x:c r="W37" s="1277"/>
      <x:c r="X37" s="1277"/>
      <x:c r="Y37" s="1277"/>
      <x:c r="Z37" s="1277"/>
    </x:row>
    <x:row r="38">
      <x:c r="A38" s="3890"/>
      <x:c r="B38" s="3890"/>
      <x:c r="C38" s="3890"/>
      <x:c r="D38" s="3890"/>
      <x:c r="E38" s="3890"/>
      <x:c r="F38" s="3890"/>
      <x:c r="G38" s="3890"/>
      <x:c r="H38" s="3890"/>
      <x:c r="I38" s="3890"/>
      <x:c r="J38" s="3890"/>
      <x:c r="K38" s="3890"/>
      <x:c r="L38" s="3890"/>
      <x:c r="M38" s="3890"/>
      <x:c r="N38" s="3890"/>
      <x:c r="O38" s="3890"/>
      <x:c r="P38" s="3890"/>
      <x:c r="Q38" s="3890"/>
      <x:c r="R38" s="3891" t="str">
        <x:v>CORRECCIÓN / SUPERSESSION
EnmiendaOperativa → nueva versión ejecución → UC previa REQUIERE_RECALCULO → UC nueva sustituye UC previa.
Original nunca se borra.
Q-04 define qué ocurre si ya fue aceptada/facturada.</x:v>
      </x:c>
      <x:c r="S38" s="3891"/>
      <x:c r="T38" s="3891"/>
      <x:c r="U38" s="3891"/>
      <x:c r="V38" s="3891"/>
      <x:c r="W38" s="3891"/>
      <x:c r="X38" s="3891"/>
      <x:c r="Y38" s="3891"/>
      <x:c r="Z38" s="3891"/>
    </x:row>
    <x:row r="39">
      <x:c r="A39" s="1277"/>
      <x:c r="B39" s="1277"/>
      <x:c r="C39" s="1277"/>
      <x:c r="D39" s="1277"/>
      <x:c r="E39" s="1277"/>
      <x:c r="F39" s="1277"/>
      <x:c r="G39" s="1277"/>
      <x:c r="H39" s="1277"/>
      <x:c r="I39" s="1277"/>
      <x:c r="J39" s="1277"/>
      <x:c r="K39" s="1277"/>
      <x:c r="L39" s="1277"/>
      <x:c r="M39" s="1277"/>
      <x:c r="N39" s="1277"/>
      <x:c r="O39" s="1277"/>
      <x:c r="P39" s="1277"/>
      <x:c r="Q39" s="1277"/>
      <x:c r="R39" s="3891"/>
      <x:c r="S39" s="3891"/>
      <x:c r="T39" s="3891"/>
      <x:c r="U39" s="3891"/>
      <x:c r="V39" s="3891"/>
      <x:c r="W39" s="3891"/>
      <x:c r="X39" s="3891"/>
      <x:c r="Y39" s="3891"/>
      <x:c r="Z39" s="3891"/>
    </x:row>
    <x:row r="40">
      <x:c r="A40" s="1277"/>
      <x:c r="B40" s="1277"/>
      <x:c r="C40" s="1277"/>
      <x:c r="D40" s="1277"/>
      <x:c r="E40" s="1277"/>
      <x:c r="F40" s="1277"/>
      <x:c r="G40" s="1277"/>
      <x:c r="H40" s="1277"/>
      <x:c r="I40" s="3869" t="str">
        <x:v>DOCUMENTAL REAL
+ OverrideGate
si regla permite</x:v>
      </x:c>
      <x:c r="J40" s="3870"/>
      <x:c r="K40" s="3870"/>
      <x:c r="L40" s="3871"/>
      <x:c r="M40" s="1277"/>
      <x:c r="N40" s="3869" t="str">
        <x:v>PTW / START WORK
PREVENT</x:v>
      </x:c>
      <x:c r="O40" s="3870"/>
      <x:c r="P40" s="3870"/>
      <x:c r="Q40" s="3871"/>
      <x:c r="R40" s="3891"/>
      <x:c r="S40" s="3891"/>
      <x:c r="T40" s="3891"/>
      <x:c r="U40" s="3891"/>
      <x:c r="V40" s="3891"/>
      <x:c r="W40" s="3891"/>
      <x:c r="X40" s="3891"/>
      <x:c r="Y40" s="3891"/>
      <x:c r="Z40" s="3891"/>
    </x:row>
    <x:row r="41">
      <x:c r="A41" s="1277"/>
      <x:c r="B41" s="1277"/>
      <x:c r="C41" s="1277"/>
      <x:c r="D41" s="1277"/>
      <x:c r="E41" s="1277"/>
      <x:c r="F41" s="1277"/>
      <x:c r="G41" s="1277"/>
      <x:c r="H41" s="1277"/>
      <x:c r="I41" s="3875"/>
      <x:c r="J41" s="3876"/>
      <x:c r="K41" s="3876"/>
      <x:c r="L41" s="3877"/>
      <x:c r="M41" s="1277"/>
      <x:c r="N41" s="3875"/>
      <x:c r="O41" s="3876"/>
      <x:c r="P41" s="3876"/>
      <x:c r="Q41" s="3877"/>
      <x:c r="R41" s="3891"/>
      <x:c r="S41" s="3891"/>
      <x:c r="T41" s="3891"/>
      <x:c r="U41" s="3891"/>
      <x:c r="V41" s="3891"/>
      <x:c r="W41" s="3891"/>
      <x:c r="X41" s="3891"/>
      <x:c r="Y41" s="3891"/>
      <x:c r="Z41" s="3891"/>
    </x:row>
    <x:row r="42">
      <x:c r="A42" s="1277"/>
      <x:c r="B42" s="1277"/>
      <x:c r="C42" s="1277"/>
      <x:c r="D42" s="1277"/>
      <x:c r="E42" s="1277"/>
      <x:c r="F42" s="1277"/>
      <x:c r="G42" s="1277"/>
      <x:c r="H42" s="1277"/>
      <x:c r="I42" s="3875"/>
      <x:c r="J42" s="3876"/>
      <x:c r="K42" s="3876"/>
      <x:c r="L42" s="3877"/>
      <x:c r="M42" s="1297" t="str">
        <x:v>→</x:v>
      </x:c>
      <x:c r="N42" s="3875"/>
      <x:c r="O42" s="3876"/>
      <x:c r="P42" s="3876"/>
      <x:c r="Q42" s="3877"/>
      <x:c r="R42" s="3891"/>
      <x:c r="S42" s="3891"/>
      <x:c r="T42" s="3891"/>
      <x:c r="U42" s="3891"/>
      <x:c r="V42" s="3891"/>
      <x:c r="W42" s="3891"/>
      <x:c r="X42" s="3891"/>
      <x:c r="Y42" s="3891"/>
      <x:c r="Z42" s="3891"/>
    </x:row>
    <x:row r="43">
      <x:c r="A43" s="1277"/>
      <x:c r="B43" s="1277"/>
      <x:c r="C43" s="1277"/>
      <x:c r="D43" s="1277"/>
      <x:c r="E43" s="1277"/>
      <x:c r="F43" s="1277"/>
      <x:c r="G43" s="1277"/>
      <x:c r="H43" s="1277"/>
      <x:c r="I43" s="3875"/>
      <x:c r="J43" s="3876"/>
      <x:c r="K43" s="3876"/>
      <x:c r="L43" s="3877"/>
      <x:c r="M43" s="1277"/>
      <x:c r="N43" s="3875"/>
      <x:c r="O43" s="3876"/>
      <x:c r="P43" s="3876"/>
      <x:c r="Q43" s="3877"/>
      <x:c r="R43" s="3891"/>
      <x:c r="S43" s="3891"/>
      <x:c r="T43" s="3891"/>
      <x:c r="U43" s="3891"/>
      <x:c r="V43" s="3891"/>
      <x:c r="W43" s="3891"/>
      <x:c r="X43" s="3891"/>
      <x:c r="Y43" s="3891"/>
      <x:c r="Z43" s="3891"/>
    </x:row>
    <x:row r="44">
      <x:c r="A44" s="1277"/>
      <x:c r="B44" s="1277"/>
      <x:c r="C44" s="1277"/>
      <x:c r="D44" s="1277"/>
      <x:c r="E44" s="1277"/>
      <x:c r="F44" s="1277"/>
      <x:c r="G44" s="1277"/>
      <x:c r="H44" s="1277"/>
      <x:c r="I44" s="3880"/>
      <x:c r="J44" s="3881"/>
      <x:c r="K44" s="3881"/>
      <x:c r="L44" s="3882"/>
      <x:c r="M44" s="1277"/>
      <x:c r="N44" s="3880"/>
      <x:c r="O44" s="3881"/>
      <x:c r="P44" s="3881"/>
      <x:c r="Q44" s="3882"/>
      <x:c r="R44" s="3891"/>
      <x:c r="S44" s="3891"/>
      <x:c r="T44" s="3891"/>
      <x:c r="U44" s="3891"/>
      <x:c r="V44" s="3891"/>
      <x:c r="W44" s="3891"/>
      <x:c r="X44" s="3891"/>
      <x:c r="Y44" s="3891"/>
      <x:c r="Z44" s="3891"/>
    </x:row>
    <x:row r="45">
      <x:c r="A45" s="1277"/>
      <x:c r="B45" s="1277"/>
      <x:c r="C45" s="1277"/>
      <x:c r="D45" s="1277"/>
      <x:c r="E45" s="1277"/>
      <x:c r="F45" s="1277"/>
      <x:c r="G45" s="1277"/>
      <x:c r="H45" s="1277"/>
      <x:c r="I45" s="1277"/>
      <x:c r="J45" s="1277"/>
      <x:c r="K45" s="1277"/>
      <x:c r="L45" s="1277"/>
      <x:c r="M45" s="1385" t="str">
        <x:v>↓</x:v>
      </x:c>
      <x:c r="N45" s="1277"/>
      <x:c r="O45" s="1277"/>
      <x:c r="P45" s="1277"/>
      <x:c r="Q45" s="1277"/>
      <x:c r="R45" s="1277"/>
      <x:c r="S45" s="1277"/>
      <x:c r="T45" s="1277"/>
      <x:c r="U45" s="1277"/>
      <x:c r="V45" s="1277"/>
      <x:c r="W45" s="1277"/>
      <x:c r="X45" s="1277"/>
      <x:c r="Y45" s="1277"/>
      <x:c r="Z45" s="1277"/>
    </x:row>
    <x:row r="46">
      <x:c r="A46" s="1277"/>
      <x:c r="B46" s="1277"/>
      <x:c r="C46" s="1277"/>
      <x:c r="D46" s="1277"/>
      <x:c r="E46" s="1277"/>
      <x:c r="F46" s="1277"/>
      <x:c r="G46" s="1277"/>
      <x:c r="H46" s="1277"/>
      <x:c r="I46" s="3869" t="str">
        <x:v>PARTE + UE [1..N]
intervalos persona/recurso · ubicación · tiempo/transiciones
medición · imputación · evidencia</x:v>
      </x:c>
      <x:c r="J46" s="3870"/>
      <x:c r="K46" s="3870"/>
      <x:c r="L46" s="3870"/>
      <x:c r="M46" s="3870"/>
      <x:c r="N46" s="3870"/>
      <x:c r="O46" s="3870"/>
      <x:c r="P46" s="3870"/>
      <x:c r="Q46" s="3871"/>
      <x:c r="R46" s="1277"/>
      <x:c r="S46" s="1277"/>
      <x:c r="T46" s="1277"/>
      <x:c r="U46" s="1277"/>
      <x:c r="V46" s="1277"/>
      <x:c r="W46" s="1277"/>
      <x:c r="X46" s="1277"/>
      <x:c r="Y46" s="1277"/>
      <x:c r="Z46" s="1277"/>
    </x:row>
    <x:row r="47">
      <x:c r="A47" s="1277"/>
      <x:c r="B47" s="1277"/>
      <x:c r="C47" s="1277"/>
      <x:c r="D47" s="1277"/>
      <x:c r="E47" s="1277"/>
      <x:c r="F47" s="1277"/>
      <x:c r="G47" s="1277"/>
      <x:c r="H47" s="1277"/>
      <x:c r="I47" s="3875"/>
      <x:c r="J47" s="3876"/>
      <x:c r="K47" s="3876"/>
      <x:c r="L47" s="3876"/>
      <x:c r="M47" s="3876"/>
      <x:c r="N47" s="3876"/>
      <x:c r="O47" s="3876"/>
      <x:c r="P47" s="3876"/>
      <x:c r="Q47" s="3877"/>
      <x:c r="R47" s="1277"/>
      <x:c r="S47" s="1277"/>
      <x:c r="T47" s="1277"/>
      <x:c r="U47" s="1277"/>
      <x:c r="V47" s="1277"/>
      <x:c r="W47" s="1277"/>
      <x:c r="X47" s="1277"/>
      <x:c r="Y47" s="1277"/>
      <x:c r="Z47" s="1277"/>
    </x:row>
    <x:row r="48">
      <x:c r="A48" s="1277"/>
      <x:c r="B48" s="1277"/>
      <x:c r="C48" s="1277"/>
      <x:c r="D48" s="1277"/>
      <x:c r="E48" s="1277"/>
      <x:c r="F48" s="1277"/>
      <x:c r="G48" s="1277"/>
      <x:c r="H48" s="1277"/>
      <x:c r="I48" s="3875"/>
      <x:c r="J48" s="3876"/>
      <x:c r="K48" s="3876"/>
      <x:c r="L48" s="3876"/>
      <x:c r="M48" s="3876"/>
      <x:c r="N48" s="3876"/>
      <x:c r="O48" s="3876"/>
      <x:c r="P48" s="3876"/>
      <x:c r="Q48" s="3877"/>
      <x:c r="R48" s="1277"/>
      <x:c r="S48" s="1277"/>
      <x:c r="T48" s="1277"/>
      <x:c r="U48" s="1277"/>
      <x:c r="V48" s="1277"/>
      <x:c r="W48" s="1277"/>
      <x:c r="X48" s="1277"/>
      <x:c r="Y48" s="1277"/>
      <x:c r="Z48" s="1277"/>
    </x:row>
    <x:row r="49">
      <x:c r="A49" s="1277"/>
      <x:c r="B49" s="1277"/>
      <x:c r="C49" s="1277"/>
      <x:c r="D49" s="1277"/>
      <x:c r="E49" s="1277"/>
      <x:c r="F49" s="1277"/>
      <x:c r="G49" s="1277"/>
      <x:c r="H49" s="1277"/>
      <x:c r="I49" s="3875"/>
      <x:c r="J49" s="3876"/>
      <x:c r="K49" s="3876"/>
      <x:c r="L49" s="3876"/>
      <x:c r="M49" s="3876"/>
      <x:c r="N49" s="3876"/>
      <x:c r="O49" s="3876"/>
      <x:c r="P49" s="3876"/>
      <x:c r="Q49" s="3877"/>
      <x:c r="R49" s="1277"/>
      <x:c r="S49" s="1277"/>
      <x:c r="T49" s="1277"/>
      <x:c r="U49" s="1277"/>
      <x:c r="V49" s="1277"/>
      <x:c r="W49" s="1277"/>
      <x:c r="X49" s="1277"/>
      <x:c r="Y49" s="1277"/>
      <x:c r="Z49" s="1277"/>
    </x:row>
    <x:row r="50">
      <x:c r="A50" s="1277"/>
      <x:c r="B50" s="1277"/>
      <x:c r="C50" s="1277"/>
      <x:c r="D50" s="1277"/>
      <x:c r="E50" s="1277"/>
      <x:c r="F50" s="1277"/>
      <x:c r="G50" s="1277"/>
      <x:c r="H50" s="1277"/>
      <x:c r="I50" s="3875"/>
      <x:c r="J50" s="3876"/>
      <x:c r="K50" s="3876"/>
      <x:c r="L50" s="3876"/>
      <x:c r="M50" s="3876"/>
      <x:c r="N50" s="3876"/>
      <x:c r="O50" s="3876"/>
      <x:c r="P50" s="3876"/>
      <x:c r="Q50" s="3877"/>
      <x:c r="R50" s="1277"/>
      <x:c r="S50" s="1277"/>
      <x:c r="T50" s="1277"/>
      <x:c r="U50" s="1277"/>
      <x:c r="V50" s="1277"/>
      <x:c r="W50" s="1277"/>
      <x:c r="X50" s="1277"/>
      <x:c r="Y50" s="1277"/>
      <x:c r="Z50" s="1277"/>
    </x:row>
    <x:row r="51">
      <x:c r="A51" s="1277"/>
      <x:c r="B51" s="1277"/>
      <x:c r="C51" s="1277"/>
      <x:c r="D51" s="1277"/>
      <x:c r="E51" s="1277"/>
      <x:c r="F51" s="1277"/>
      <x:c r="G51" s="1277"/>
      <x:c r="H51" s="1277"/>
      <x:c r="I51" s="3880"/>
      <x:c r="J51" s="3881"/>
      <x:c r="K51" s="3881"/>
      <x:c r="L51" s="3881"/>
      <x:c r="M51" s="3881"/>
      <x:c r="N51" s="3881"/>
      <x:c r="O51" s="3881"/>
      <x:c r="P51" s="3881"/>
      <x:c r="Q51" s="3882"/>
      <x:c r="R51" s="1277"/>
      <x:c r="S51" s="1277"/>
      <x:c r="T51" s="1277"/>
      <x:c r="U51" s="1277"/>
      <x:c r="V51" s="1277"/>
      <x:c r="W51" s="1277"/>
      <x:c r="X51" s="1277"/>
      <x:c r="Y51" s="1277"/>
      <x:c r="Z51" s="1277"/>
    </x:row>
    <x:row r="52">
      <x:c r="A52" s="1277"/>
      <x:c r="B52" s="1277"/>
      <x:c r="C52" s="1277"/>
      <x:c r="D52" s="1277"/>
      <x:c r="E52" s="1277"/>
      <x:c r="F52" s="1277"/>
      <x:c r="G52" s="1277"/>
      <x:c r="H52" s="1277"/>
      <x:c r="I52" s="1277"/>
      <x:c r="J52" s="1277"/>
      <x:c r="K52" s="1277"/>
      <x:c r="L52" s="1277"/>
      <x:c r="M52" s="1277"/>
      <x:c r="N52" s="1277"/>
      <x:c r="O52" s="1277"/>
      <x:c r="P52" s="1277"/>
      <x:c r="Q52" s="1277"/>
      <x:c r="R52" s="1277"/>
      <x:c r="S52" s="1277"/>
      <x:c r="T52" s="1277"/>
      <x:c r="U52" s="1277"/>
      <x:c r="V52" s="1277"/>
      <x:c r="W52" s="1277"/>
      <x:c r="X52" s="1277"/>
      <x:c r="Y52" s="1277"/>
      <x:c r="Z52" s="1277"/>
    </x:row>
    <x:row r="53">
      <x:c r="A53" s="1277"/>
      <x:c r="B53" s="1277"/>
      <x:c r="C53" s="1277"/>
      <x:c r="D53" s="1277"/>
      <x:c r="E53" s="1277"/>
      <x:c r="F53" s="1277"/>
      <x:c r="G53" s="1277"/>
      <x:c r="H53" s="1277"/>
      <x:c r="I53" s="3891" t="str">
        <x:v>TRABAJO EMERGENTE
estado_contexto_contractual = RESUELTO / PENDIENTE / AMBIGUO
ReglaInicioEmergente decide BLOQUEO vs PERMITIR_AUTORIZADO.
Q-02 define autoridad/política; nunca usar CC ficticio.</x:v>
      </x:c>
      <x:c r="J53" s="3891"/>
      <x:c r="K53" s="3891"/>
      <x:c r="L53" s="3891"/>
      <x:c r="M53" s="3891"/>
      <x:c r="N53" s="3891"/>
      <x:c r="O53" s="3891"/>
      <x:c r="P53" s="3891"/>
      <x:c r="Q53" s="3891"/>
      <x:c r="R53" s="1277"/>
      <x:c r="S53" s="1277"/>
      <x:c r="T53" s="1277"/>
      <x:c r="U53" s="1277"/>
      <x:c r="V53" s="1277"/>
      <x:c r="W53" s="1277"/>
      <x:c r="X53" s="1277"/>
      <x:c r="Y53" s="1277"/>
      <x:c r="Z53" s="1277"/>
    </x:row>
    <x:row r="54">
      <x:c r="A54" s="1277"/>
      <x:c r="B54" s="1277"/>
      <x:c r="C54" s="1277"/>
      <x:c r="D54" s="1277"/>
      <x:c r="E54" s="1277"/>
      <x:c r="F54" s="1277"/>
      <x:c r="G54" s="1277"/>
      <x:c r="H54" s="1277"/>
      <x:c r="I54" s="3891"/>
      <x:c r="J54" s="3891"/>
      <x:c r="K54" s="3891"/>
      <x:c r="L54" s="3891"/>
      <x:c r="M54" s="3891"/>
      <x:c r="N54" s="3891"/>
      <x:c r="O54" s="3891"/>
      <x:c r="P54" s="3891"/>
      <x:c r="Q54" s="3891"/>
      <x:c r="R54" s="1277"/>
      <x:c r="S54" s="1277"/>
      <x:c r="T54" s="1277"/>
      <x:c r="U54" s="1277"/>
      <x:c r="V54" s="1277"/>
      <x:c r="W54" s="1277"/>
      <x:c r="X54" s="1277"/>
      <x:c r="Y54" s="1277"/>
      <x:c r="Z54" s="1277"/>
    </x:row>
    <x:row r="55">
      <x:c r="A55" s="1277"/>
      <x:c r="B55" s="1277"/>
      <x:c r="C55" s="1277"/>
      <x:c r="D55" s="1277"/>
      <x:c r="E55" s="1277"/>
      <x:c r="F55" s="1277"/>
      <x:c r="G55" s="1277"/>
      <x:c r="H55" s="1277"/>
      <x:c r="I55" s="3891"/>
      <x:c r="J55" s="3891"/>
      <x:c r="K55" s="3891"/>
      <x:c r="L55" s="3891"/>
      <x:c r="M55" s="3891"/>
      <x:c r="N55" s="3891"/>
      <x:c r="O55" s="3891"/>
      <x:c r="P55" s="3891"/>
      <x:c r="Q55" s="3891"/>
      <x:c r="R55" s="1277"/>
      <x:c r="S55" s="1277"/>
      <x:c r="T55" s="1277"/>
      <x:c r="U55" s="1277"/>
      <x:c r="V55" s="1277"/>
      <x:c r="W55" s="1277"/>
      <x:c r="X55" s="1277"/>
      <x:c r="Y55" s="1277"/>
      <x:c r="Z55" s="1277"/>
    </x:row>
    <x:row r="56">
      <x:c r="A56" s="1277"/>
      <x:c r="B56" s="1277"/>
      <x:c r="C56" s="1277"/>
      <x:c r="D56" s="1277"/>
      <x:c r="E56" s="1277"/>
      <x:c r="F56" s="1277"/>
      <x:c r="G56" s="1277"/>
      <x:c r="H56" s="1277"/>
      <x:c r="I56" s="3891"/>
      <x:c r="J56" s="3891"/>
      <x:c r="K56" s="3891"/>
      <x:c r="L56" s="3891"/>
      <x:c r="M56" s="3891"/>
      <x:c r="N56" s="3891"/>
      <x:c r="O56" s="3891"/>
      <x:c r="P56" s="3891"/>
      <x:c r="Q56" s="3891"/>
      <x:c r="R56" s="1277"/>
      <x:c r="S56" s="1277"/>
      <x:c r="T56" s="1277"/>
      <x:c r="U56" s="1277"/>
      <x:c r="V56" s="1277"/>
      <x:c r="W56" s="1277"/>
      <x:c r="X56" s="1277"/>
      <x:c r="Y56" s="1277"/>
      <x:c r="Z56" s="1277"/>
    </x:row>
    <x:row r="57">
      <x:c r="A57" s="1277"/>
      <x:c r="B57" s="1277"/>
      <x:c r="C57" s="1277"/>
      <x:c r="D57" s="1277"/>
      <x:c r="E57" s="1277"/>
      <x:c r="F57" s="1277"/>
      <x:c r="G57" s="1277"/>
      <x:c r="H57" s="1277"/>
      <x:c r="I57" s="3891"/>
      <x:c r="J57" s="3891"/>
      <x:c r="K57" s="3891"/>
      <x:c r="L57" s="3891"/>
      <x:c r="M57" s="3891"/>
      <x:c r="N57" s="3891"/>
      <x:c r="O57" s="3891"/>
      <x:c r="P57" s="3891"/>
      <x:c r="Q57" s="3891"/>
      <x:c r="R57" s="1277"/>
      <x:c r="S57" s="1277"/>
      <x:c r="T57" s="1277"/>
      <x:c r="U57" s="1277"/>
      <x:c r="V57" s="1277"/>
      <x:c r="W57" s="1277"/>
      <x:c r="X57" s="1277"/>
      <x:c r="Y57" s="1277"/>
      <x:c r="Z57" s="1277"/>
    </x:row>
    <x:row r="58">
      <x:c r="A58" s="1277"/>
      <x:c r="B58" s="1277"/>
      <x:c r="C58" s="1277"/>
      <x:c r="D58" s="1277"/>
      <x:c r="E58" s="1277"/>
      <x:c r="F58" s="1277"/>
      <x:c r="G58" s="1277"/>
      <x:c r="H58" s="1277"/>
      <x:c r="I58" s="1277"/>
      <x:c r="J58" s="1277"/>
      <x:c r="K58" s="1277"/>
      <x:c r="L58" s="1277"/>
      <x:c r="M58" s="1277"/>
      <x:c r="N58" s="1277"/>
      <x:c r="O58" s="1277"/>
      <x:c r="P58" s="1277"/>
      <x:c r="Q58" s="1277"/>
      <x:c r="R58" s="1277"/>
      <x:c r="S58" s="1277"/>
      <x:c r="T58" s="1277"/>
      <x:c r="U58" s="1277"/>
      <x:c r="V58" s="1277"/>
      <x:c r="W58" s="1277"/>
      <x:c r="X58" s="1277"/>
      <x:c r="Y58" s="1277"/>
      <x:c r="Z58" s="1277"/>
    </x:row>
    <x:row r="59">
      <x:c r="A59" s="1277"/>
      <x:c r="B59" s="1277"/>
      <x:c r="C59" s="1277"/>
      <x:c r="D59" s="1277"/>
      <x:c r="E59" s="1277"/>
      <x:c r="F59" s="1277"/>
      <x:c r="G59" s="1277"/>
      <x:c r="H59" s="1277"/>
      <x:c r="I59" s="1277"/>
      <x:c r="J59" s="1277"/>
      <x:c r="K59" s="1277"/>
      <x:c r="L59" s="1277"/>
      <x:c r="M59" s="1277"/>
      <x:c r="N59" s="1277"/>
      <x:c r="O59" s="1277"/>
      <x:c r="P59" s="1277"/>
      <x:c r="Q59" s="1277"/>
      <x:c r="R59" s="1277"/>
      <x:c r="S59" s="1277"/>
      <x:c r="T59" s="1277"/>
      <x:c r="U59" s="1277"/>
      <x:c r="V59" s="1277"/>
      <x:c r="W59" s="1277"/>
      <x:c r="X59" s="1277"/>
      <x:c r="Y59" s="1277"/>
      <x:c r="Z59" s="1277"/>
    </x:row>
    <x:row r="60">
      <x:c r="A60" s="1277"/>
      <x:c r="B60" s="1277"/>
      <x:c r="C60" s="1277"/>
      <x:c r="D60" s="1277"/>
      <x:c r="E60" s="1277"/>
      <x:c r="F60" s="1277"/>
      <x:c r="G60" s="1277"/>
      <x:c r="H60" s="1277"/>
      <x:c r="I60" s="3889" t="str">
        <x:v>I-B · EJECUCIÓN → CERTIFICACIÓN · VERDAD OPERACIONAL + LINEAGE</x:v>
      </x:c>
      <x:c r="J60" s="3889"/>
      <x:c r="K60" s="3889"/>
      <x:c r="L60" s="3889"/>
      <x:c r="M60" s="3889"/>
      <x:c r="N60" s="3889"/>
      <x:c r="O60" s="3889"/>
      <x:c r="P60" s="3889"/>
      <x:c r="Q60" s="3889"/>
      <x:c r="R60" s="3889"/>
      <x:c r="S60" s="3889"/>
      <x:c r="T60" s="3889"/>
      <x:c r="U60" s="3889"/>
      <x:c r="V60" s="3889"/>
      <x:c r="W60" s="3889"/>
      <x:c r="X60" s="3889"/>
      <x:c r="Y60" s="3889"/>
      <x:c r="Z60" s="3889"/>
    </x:row>
    <x:row r="61">
      <x:c r="A61" s="1277"/>
      <x:c r="B61" s="1277"/>
      <x:c r="C61" s="1277"/>
      <x:c r="D61" s="1277"/>
      <x:c r="E61" s="1277"/>
      <x:c r="F61" s="1277"/>
      <x:c r="G61" s="1277"/>
      <x:c r="H61" s="1277"/>
      <x:c r="I61" s="3890" t="str">
        <x:v>UE cerradas + intervalos + recursos/personas + ubicación + tiempo/transiciones + CC/Item o estado_contexto_contractual + medición/evidencia + Enmiendas + versión fuente.</x:v>
      </x:c>
      <x:c r="J61" s="3890"/>
      <x:c r="K61" s="3890"/>
      <x:c r="L61" s="3890"/>
      <x:c r="M61" s="3890"/>
      <x:c r="N61" s="3890"/>
      <x:c r="O61" s="3890"/>
      <x:c r="P61" s="3890"/>
      <x:c r="Q61" s="3890"/>
      <x:c r="R61" s="3890"/>
      <x:c r="S61" s="3890"/>
      <x:c r="T61" s="3890"/>
      <x:c r="U61" s="3890"/>
      <x:c r="V61" s="3890"/>
      <x:c r="W61" s="3890"/>
      <x:c r="X61" s="3890"/>
      <x:c r="Y61" s="3890"/>
      <x:c r="Z61" s="3890"/>
    </x:row>
    <x:row r="62">
      <x:c r="A62" s="1277"/>
      <x:c r="B62" s="1277"/>
      <x:c r="C62" s="1277"/>
      <x:c r="D62" s="1277"/>
      <x:c r="E62" s="1277"/>
      <x:c r="F62" s="1277"/>
      <x:c r="G62" s="1277"/>
      <x:c r="H62" s="1277"/>
      <x:c r="I62" s="3890"/>
      <x:c r="J62" s="3890"/>
      <x:c r="K62" s="3890"/>
      <x:c r="L62" s="3890"/>
      <x:c r="M62" s="3890"/>
      <x:c r="N62" s="3890"/>
      <x:c r="O62" s="3890"/>
      <x:c r="P62" s="3890"/>
      <x:c r="Q62" s="3890"/>
      <x:c r="R62" s="3890"/>
      <x:c r="S62" s="3890"/>
      <x:c r="T62" s="3890"/>
      <x:c r="U62" s="3890"/>
      <x:c r="V62" s="3890"/>
      <x:c r="W62" s="3890"/>
      <x:c r="X62" s="3890"/>
      <x:c r="Y62" s="3890"/>
      <x:c r="Z62" s="3890"/>
    </x:row>
    <x:row r="63">
      <x:c r="A63" s="1277"/>
      <x:c r="B63" s="1277"/>
      <x:c r="C63" s="1277"/>
      <x:c r="D63" s="1277"/>
      <x:c r="E63" s="1277"/>
      <x:c r="F63" s="1277"/>
      <x:c r="G63" s="1277"/>
      <x:c r="H63" s="1277"/>
      <x:c r="I63" s="3890"/>
      <x:c r="J63" s="3890"/>
      <x:c r="K63" s="3890"/>
      <x:c r="L63" s="3890"/>
      <x:c r="M63" s="3890"/>
      <x:c r="N63" s="3890"/>
      <x:c r="O63" s="3890"/>
      <x:c r="P63" s="3890"/>
      <x:c r="Q63" s="3890"/>
      <x:c r="R63" s="3890"/>
      <x:c r="S63" s="3890"/>
      <x:c r="T63" s="3890"/>
      <x:c r="U63" s="3890"/>
      <x:c r="V63" s="3890"/>
      <x:c r="W63" s="3890"/>
      <x:c r="X63" s="3890"/>
      <x:c r="Y63" s="3890"/>
      <x:c r="Z63" s="3890"/>
    </x:row>
    <x:row r="64">
      <x:c r="A64" s="1277"/>
      <x:c r="B64" s="1277"/>
      <x:c r="C64" s="1277"/>
      <x:c r="D64" s="1277"/>
      <x:c r="E64" s="1277"/>
      <x:c r="F64" s="1277"/>
      <x:c r="G64" s="1277"/>
      <x:c r="H64" s="1277"/>
      <x:c r="I64" s="3890"/>
      <x:c r="J64" s="3890"/>
      <x:c r="K64" s="3890"/>
      <x:c r="L64" s="3890"/>
      <x:c r="M64" s="3890"/>
      <x:c r="N64" s="3890"/>
      <x:c r="O64" s="3890"/>
      <x:c r="P64" s="3890"/>
      <x:c r="Q64" s="3890"/>
      <x:c r="R64" s="3890"/>
      <x:c r="S64" s="3890"/>
      <x:c r="T64" s="3890"/>
      <x:c r="U64" s="3890"/>
      <x:c r="V64" s="3890"/>
      <x:c r="W64" s="3890"/>
      <x:c r="X64" s="3890"/>
      <x:c r="Y64" s="3890"/>
      <x:c r="Z64" s="3890"/>
    </x:row>
    <x:row r="65">
      <x:c r="A65" s="1277"/>
      <x:c r="B65" s="1277"/>
      <x:c r="C65" s="1277"/>
      <x:c r="D65" s="1277"/>
      <x:c r="E65" s="1277"/>
      <x:c r="F65" s="1277"/>
      <x:c r="G65" s="1277"/>
      <x:c r="H65" s="1277"/>
      <x:c r="I65" s="1277"/>
      <x:c r="J65" s="1277"/>
      <x:c r="K65" s="1277"/>
      <x:c r="L65" s="1277"/>
      <x:c r="M65" s="1277"/>
      <x:c r="N65" s="1277"/>
      <x:c r="O65" s="1277"/>
      <x:c r="P65" s="1277"/>
      <x:c r="Q65" s="1277"/>
      <x:c r="R65" s="1277"/>
      <x:c r="S65" s="1277"/>
      <x:c r="T65" s="1277"/>
      <x:c r="U65" s="1277"/>
      <x:c r="V65" s="1277"/>
      <x:c r="W65" s="1277"/>
      <x:c r="X65" s="1277"/>
      <x:c r="Y65" s="1277"/>
      <x:c r="Z65" s="1277"/>
    </x:row>
    <x:row r="66">
      <x:c r="A66" s="1277"/>
      <x:c r="B66" s="1277"/>
      <x:c r="C66" s="1277"/>
      <x:c r="D66" s="1277"/>
      <x:c r="E66" s="1277"/>
      <x:c r="F66" s="1277"/>
      <x:c r="G66" s="1277"/>
      <x:c r="H66" s="1277"/>
      <x:c r="I66" s="1277"/>
      <x:c r="J66" s="1277"/>
      <x:c r="K66" s="1277"/>
      <x:c r="L66" s="1277"/>
      <x:c r="M66" s="1277"/>
      <x:c r="N66" s="1277"/>
      <x:c r="O66" s="1277"/>
      <x:c r="P66" s="1277"/>
      <x:c r="Q66" s="1277"/>
      <x:c r="R66" s="1277"/>
      <x:c r="S66" s="1277"/>
      <x:c r="T66" s="1277"/>
      <x:c r="U66" s="1277"/>
      <x:c r="V66" s="1277"/>
      <x:c r="W66" s="1277"/>
      <x:c r="X66" s="1277"/>
      <x:c r="Y66" s="1277"/>
      <x:c r="Z66" s="1277"/>
    </x:row>
    <x:row r="67">
      <x:c r="A67" s="3664" t="str">
        <x:v>02 — CONTROL PLANE</x:v>
      </x:c>
      <x:c r="B67" s="3664"/>
      <x:c r="C67" s="3664"/>
      <x:c r="D67" s="3664"/>
      <x:c r="E67" s="3664"/>
      <x:c r="F67" s="3664"/>
      <x:c r="G67" s="3664"/>
      <x:c r="H67" s="3664"/>
      <x:c r="I67" s="3664"/>
      <x:c r="J67" s="3664"/>
      <x:c r="K67" s="3664"/>
      <x:c r="L67" s="3664"/>
      <x:c r="M67" s="3664"/>
      <x:c r="N67" s="3664"/>
      <x:c r="O67" s="3664"/>
      <x:c r="P67" s="3664"/>
      <x:c r="Q67" s="3664"/>
      <x:c r="R67" s="3664"/>
      <x:c r="S67" s="3664"/>
      <x:c r="T67" s="3664"/>
      <x:c r="U67" s="3664"/>
      <x:c r="V67" s="3664"/>
      <x:c r="W67" s="3664"/>
      <x:c r="X67" s="3664"/>
      <x:c r="Y67" s="3664"/>
      <x:c r="Z67" s="3664"/>
    </x:row>
    <x:row r="68">
      <x:c r="A68" s="1277"/>
      <x:c r="B68" s="1277"/>
      <x:c r="C68" s="1277"/>
      <x:c r="D68" s="1277"/>
      <x:c r="E68" s="1277"/>
      <x:c r="F68" s="1277"/>
      <x:c r="G68" s="1277"/>
      <x:c r="H68" s="1277"/>
      <x:c r="I68" s="1277"/>
      <x:c r="J68" s="1277"/>
      <x:c r="K68" s="1277"/>
      <x:c r="L68" s="1277"/>
      <x:c r="M68" s="1277"/>
      <x:c r="N68" s="1277"/>
      <x:c r="O68" s="1277"/>
      <x:c r="P68" s="1277"/>
      <x:c r="Q68" s="1277"/>
      <x:c r="R68" s="1277"/>
      <x:c r="S68" s="1277"/>
      <x:c r="T68" s="1277"/>
      <x:c r="U68" s="1277"/>
      <x:c r="V68" s="1277"/>
      <x:c r="W68" s="1277"/>
      <x:c r="X68" s="1277"/>
      <x:c r="Y68" s="1277"/>
      <x:c r="Z68" s="1277"/>
    </x:row>
    <x:row r="69">
      <x:c r="A69" s="3869" t="str">
        <x:v>PLANIFICACIÓN /
SUPERVISIÓN /
Habilita</x:v>
      </x:c>
      <x:c r="B69" s="3870"/>
      <x:c r="C69" s="3870"/>
      <x:c r="D69" s="3870"/>
      <x:c r="E69" s="3870"/>
      <x:c r="F69" s="3871"/>
      <x:c r="G69" s="1277"/>
      <x:c r="H69" s="3869" t="str">
        <x:v>DIRECTIVA OPERATIVA
cancelar · suspender · reprogramar
repriorizar · cambiar alcance</x:v>
      </x:c>
      <x:c r="I69" s="3870"/>
      <x:c r="J69" s="3870"/>
      <x:c r="K69" s="3870"/>
      <x:c r="L69" s="3870"/>
      <x:c r="M69" s="3870"/>
      <x:c r="N69" s="3871"/>
      <x:c r="O69" s="1277"/>
      <x:c r="P69" s="3869" t="str">
        <x:v>EJECUCIÓN
received → ACK
aplicar / rechazar</x:v>
      </x:c>
      <x:c r="Q69" s="3870"/>
      <x:c r="R69" s="3870"/>
      <x:c r="S69" s="3870"/>
      <x:c r="T69" s="3870"/>
      <x:c r="U69" s="3870"/>
      <x:c r="V69" s="3871"/>
      <x:c r="W69" s="1277"/>
      <x:c r="X69" s="3872" t="str">
        <x:v>OFFLINE
bundle +
frescura</x:v>
      </x:c>
      <x:c r="Y69" s="3873"/>
      <x:c r="Z69" s="3874"/>
    </x:row>
    <x:row r="70">
      <x:c r="A70" s="3875"/>
      <x:c r="B70" s="3876"/>
      <x:c r="C70" s="3876"/>
      <x:c r="D70" s="3876"/>
      <x:c r="E70" s="3876"/>
      <x:c r="F70" s="3877"/>
      <x:c r="G70" s="1277"/>
      <x:c r="H70" s="3875"/>
      <x:c r="I70" s="3876"/>
      <x:c r="J70" s="3876"/>
      <x:c r="K70" s="3876"/>
      <x:c r="L70" s="3876"/>
      <x:c r="M70" s="3876"/>
      <x:c r="N70" s="3877"/>
      <x:c r="O70" s="1277"/>
      <x:c r="P70" s="3875"/>
      <x:c r="Q70" s="3876"/>
      <x:c r="R70" s="3876"/>
      <x:c r="S70" s="3876"/>
      <x:c r="T70" s="3876"/>
      <x:c r="U70" s="3876"/>
      <x:c r="V70" s="3877"/>
      <x:c r="W70" s="1277"/>
      <x:c r="X70" s="3878"/>
      <x:c r="Y70" s="3659"/>
      <x:c r="Z70" s="3879"/>
    </x:row>
    <x:row r="71">
      <x:c r="A71" s="3875"/>
      <x:c r="B71" s="3876"/>
      <x:c r="C71" s="3876"/>
      <x:c r="D71" s="3876"/>
      <x:c r="E71" s="3876"/>
      <x:c r="F71" s="3877"/>
      <x:c r="G71" s="1297" t="str">
        <x:v>→</x:v>
      </x:c>
      <x:c r="H71" s="3875"/>
      <x:c r="I71" s="3876"/>
      <x:c r="J71" s="3876"/>
      <x:c r="K71" s="3876"/>
      <x:c r="L71" s="3876"/>
      <x:c r="M71" s="3876"/>
      <x:c r="N71" s="3877"/>
      <x:c r="O71" s="1297" t="str">
        <x:v>→</x:v>
      </x:c>
      <x:c r="P71" s="3875"/>
      <x:c r="Q71" s="3876"/>
      <x:c r="R71" s="3876"/>
      <x:c r="S71" s="3876"/>
      <x:c r="T71" s="3876"/>
      <x:c r="U71" s="3876"/>
      <x:c r="V71" s="3877"/>
      <x:c r="W71" s="1277"/>
      <x:c r="X71" s="3878"/>
      <x:c r="Y71" s="3659"/>
      <x:c r="Z71" s="3879"/>
    </x:row>
    <x:row r="72">
      <x:c r="A72" s="3875"/>
      <x:c r="B72" s="3876"/>
      <x:c r="C72" s="3876"/>
      <x:c r="D72" s="3876"/>
      <x:c r="E72" s="3876"/>
      <x:c r="F72" s="3877"/>
      <x:c r="G72" s="1277"/>
      <x:c r="H72" s="3875"/>
      <x:c r="I72" s="3876"/>
      <x:c r="J72" s="3876"/>
      <x:c r="K72" s="3876"/>
      <x:c r="L72" s="3876"/>
      <x:c r="M72" s="3876"/>
      <x:c r="N72" s="3877"/>
      <x:c r="O72" s="1277"/>
      <x:c r="P72" s="3875"/>
      <x:c r="Q72" s="3876"/>
      <x:c r="R72" s="3876"/>
      <x:c r="S72" s="3876"/>
      <x:c r="T72" s="3876"/>
      <x:c r="U72" s="3876"/>
      <x:c r="V72" s="3877"/>
      <x:c r="W72" s="1277"/>
      <x:c r="X72" s="3878"/>
      <x:c r="Y72" s="3659"/>
      <x:c r="Z72" s="3879"/>
    </x:row>
    <x:row r="73">
      <x:c r="A73" s="3880"/>
      <x:c r="B73" s="3881"/>
      <x:c r="C73" s="3881"/>
      <x:c r="D73" s="3881"/>
      <x:c r="E73" s="3881"/>
      <x:c r="F73" s="3882"/>
      <x:c r="G73" s="1277"/>
      <x:c r="H73" s="3880"/>
      <x:c r="I73" s="3881"/>
      <x:c r="J73" s="3881"/>
      <x:c r="K73" s="3881"/>
      <x:c r="L73" s="3881"/>
      <x:c r="M73" s="3881"/>
      <x:c r="N73" s="3882"/>
      <x:c r="O73" s="1277"/>
      <x:c r="P73" s="3880"/>
      <x:c r="Q73" s="3881"/>
      <x:c r="R73" s="3881"/>
      <x:c r="S73" s="3881"/>
      <x:c r="T73" s="3881"/>
      <x:c r="U73" s="3881"/>
      <x:c r="V73" s="3882"/>
      <x:c r="W73" s="1277"/>
      <x:c r="X73" s="3883"/>
      <x:c r="Y73" s="3884"/>
      <x:c r="Z73" s="3885"/>
    </x:row>
    <x:row r="74">
      <x:c r="A74" s="1277"/>
      <x:c r="B74" s="1277"/>
      <x:c r="C74" s="1277"/>
      <x:c r="D74" s="1277"/>
      <x:c r="E74" s="1277"/>
      <x:c r="F74" s="1277"/>
      <x:c r="G74" s="1277"/>
      <x:c r="H74" s="1277"/>
      <x:c r="I74" s="1277"/>
      <x:c r="J74" s="1277"/>
      <x:c r="K74" s="1277"/>
      <x:c r="L74" s="1277"/>
      <x:c r="M74" s="1277"/>
      <x:c r="N74" s="1277"/>
      <x:c r="O74" s="1277"/>
      <x:c r="P74" s="1277"/>
      <x:c r="Q74" s="1277"/>
      <x:c r="R74" s="1277"/>
      <x:c r="S74" s="1277"/>
      <x:c r="T74" s="1277"/>
      <x:c r="U74" s="1277"/>
      <x:c r="V74" s="1277"/>
      <x:c r="W74" s="1277"/>
      <x:c r="X74" s="1277"/>
      <x:c r="Y74" s="1277"/>
      <x:c r="Z74" s="1277"/>
    </x:row>
    <x:row r="75">
      <x:c r="A75" s="1277"/>
      <x:c r="B75" s="1277"/>
      <x:c r="C75" s="1277"/>
      <x:c r="D75" s="1277"/>
      <x:c r="E75" s="1277"/>
      <x:c r="F75" s="1277"/>
      <x:c r="G75" s="1277"/>
      <x:c r="H75" s="1277"/>
      <x:c r="I75" s="1277"/>
      <x:c r="J75" s="1277"/>
      <x:c r="K75" s="1277"/>
      <x:c r="L75" s="1277"/>
      <x:c r="M75" s="1277"/>
      <x:c r="N75" s="1277"/>
      <x:c r="O75" s="1277"/>
      <x:c r="P75" s="1277"/>
      <x:c r="Q75" s="1277"/>
      <x:c r="R75" s="1277"/>
      <x:c r="S75" s="1277"/>
      <x:c r="T75" s="1277"/>
      <x:c r="U75" s="1277"/>
      <x:c r="V75" s="1277"/>
      <x:c r="W75" s="1277"/>
      <x:c r="X75" s="1277"/>
      <x:c r="Y75" s="1277"/>
      <x:c r="Z75" s="1277"/>
    </x:row>
    <x:row r="76">
      <x:c r="A76" s="3664" t="str">
        <x:v>03 — HABILITA PLANE · PREVENT + RESPOND &amp; LEARN</x:v>
      </x:c>
      <x:c r="B76" s="3664"/>
      <x:c r="C76" s="3664"/>
      <x:c r="D76" s="3664"/>
      <x:c r="E76" s="3664"/>
      <x:c r="F76" s="3664"/>
      <x:c r="G76" s="3664"/>
      <x:c r="H76" s="3664"/>
      <x:c r="I76" s="3664"/>
      <x:c r="J76" s="3664"/>
      <x:c r="K76" s="3664"/>
      <x:c r="L76" s="3664"/>
      <x:c r="M76" s="3664"/>
      <x:c r="N76" s="3664"/>
      <x:c r="O76" s="3664"/>
      <x:c r="P76" s="3664"/>
      <x:c r="Q76" s="3664"/>
      <x:c r="R76" s="3664"/>
      <x:c r="S76" s="3664"/>
      <x:c r="T76" s="3664"/>
      <x:c r="U76" s="3664"/>
      <x:c r="V76" s="3664"/>
      <x:c r="W76" s="3664"/>
      <x:c r="X76" s="3664"/>
      <x:c r="Y76" s="3664"/>
      <x:c r="Z76" s="3664"/>
    </x:row>
    <x:row r="77">
      <x:c r="A77" s="1277"/>
      <x:c r="B77" s="1277"/>
      <x:c r="C77" s="1277"/>
      <x:c r="D77" s="1277"/>
      <x:c r="E77" s="1277"/>
      <x:c r="F77" s="1277"/>
      <x:c r="G77" s="1277"/>
      <x:c r="H77" s="1277"/>
      <x:c r="I77" s="1277"/>
      <x:c r="J77" s="1277"/>
      <x:c r="K77" s="1277"/>
      <x:c r="L77" s="1277"/>
      <x:c r="M77" s="1277"/>
      <x:c r="N77" s="1277"/>
      <x:c r="O77" s="1277"/>
      <x:c r="P77" s="1277"/>
      <x:c r="Q77" s="1277"/>
      <x:c r="R77" s="1277"/>
      <x:c r="S77" s="1277"/>
      <x:c r="T77" s="1277"/>
      <x:c r="U77" s="1277"/>
      <x:c r="V77" s="1277"/>
      <x:c r="W77" s="1277"/>
      <x:c r="X77" s="1277"/>
      <x:c r="Y77" s="1277"/>
      <x:c r="Z77" s="1277"/>
    </x:row>
    <x:row r="78">
      <x:c r="A78" s="3886" t="str">
        <x:v>PREVENT</x:v>
      </x:c>
      <x:c r="B78" s="3886"/>
      <x:c r="C78" s="3886"/>
      <x:c r="D78" s="3886"/>
      <x:c r="E78" s="3886"/>
      <x:c r="F78" s="3886"/>
      <x:c r="G78" s="3886"/>
      <x:c r="H78" s="3886"/>
      <x:c r="I78" s="3886"/>
      <x:c r="J78" s="3886"/>
      <x:c r="K78" s="3886"/>
      <x:c r="L78" s="3886"/>
      <x:c r="M78" s="1277"/>
      <x:c r="N78" s="3886" t="str">
        <x:v>RESPOND &amp; LEARN</x:v>
      </x:c>
      <x:c r="O78" s="3886"/>
      <x:c r="P78" s="3886"/>
      <x:c r="Q78" s="3886"/>
      <x:c r="R78" s="3886"/>
      <x:c r="S78" s="3886"/>
      <x:c r="T78" s="3886"/>
      <x:c r="U78" s="3886"/>
      <x:c r="V78" s="3886"/>
      <x:c r="W78" s="3886"/>
      <x:c r="X78" s="3886"/>
      <x:c r="Y78" s="3886"/>
      <x:c r="Z78" s="3886"/>
    </x:row>
    <x:row r="79">
      <x:c r="A79" s="1277"/>
      <x:c r="B79" s="1277"/>
      <x:c r="C79" s="1277"/>
      <x:c r="D79" s="1277"/>
      <x:c r="E79" s="1277"/>
      <x:c r="F79" s="1277"/>
      <x:c r="G79" s="1277"/>
      <x:c r="H79" s="1277"/>
      <x:c r="I79" s="1277"/>
      <x:c r="J79" s="1277"/>
      <x:c r="K79" s="1277"/>
      <x:c r="L79" s="1277"/>
      <x:c r="M79" s="1277"/>
      <x:c r="N79" s="1277"/>
      <x:c r="O79" s="1277"/>
      <x:c r="P79" s="1277"/>
      <x:c r="Q79" s="1277"/>
      <x:c r="R79" s="1277"/>
      <x:c r="S79" s="1277"/>
      <x:c r="T79" s="1277"/>
      <x:c r="U79" s="1277"/>
      <x:c r="V79" s="1277"/>
      <x:c r="W79" s="1277"/>
      <x:c r="X79" s="1277"/>
      <x:c r="Y79" s="1277"/>
      <x:c r="Z79" s="1277"/>
    </x:row>
    <x:row r="80">
      <x:c r="A80" s="3869" t="str">
        <x:v>READINESS Habilita
+ DOCUMENTAL</x:v>
      </x:c>
      <x:c r="B80" s="3870"/>
      <x:c r="C80" s="3870"/>
      <x:c r="D80" s="3870"/>
      <x:c r="E80" s="3871"/>
      <x:c r="F80" s="1277"/>
      <x:c r="G80" s="3869" t="str">
        <x:v>PTW
APROBAR · VIGENTE
SUSPENDER · HANDOVER</x:v>
      </x:c>
      <x:c r="H80" s="3870"/>
      <x:c r="I80" s="3870"/>
      <x:c r="J80" s="3870"/>
      <x:c r="K80" s="3870"/>
      <x:c r="L80" s="3871"/>
      <x:c r="M80" s="1277"/>
      <x:c r="N80" s="3869" t="str">
        <x:v>EVENTO Habilita
CORE + EXTENSIONES</x:v>
      </x:c>
      <x:c r="O80" s="3870"/>
      <x:c r="P80" s="3870"/>
      <x:c r="Q80" s="3870"/>
      <x:c r="R80" s="3871"/>
      <x:c r="S80" s="1277"/>
      <x:c r="T80" s="3869" t="str">
        <x:v>FLASH REPORT
mínimo contextual
Q-07 RESUELTA</x:v>
      </x:c>
      <x:c r="U80" s="3870"/>
      <x:c r="V80" s="3870"/>
      <x:c r="W80" s="3871"/>
      <x:c r="X80" s="1277"/>
      <x:c r="Y80" s="3869" t="str">
        <x:v>TRIAGE /
CASO</x:v>
      </x:c>
      <x:c r="Z80" s="3871"/>
    </x:row>
    <x:row r="81">
      <x:c r="A81" s="3875"/>
      <x:c r="B81" s="3876"/>
      <x:c r="C81" s="3876"/>
      <x:c r="D81" s="3876"/>
      <x:c r="E81" s="3877"/>
      <x:c r="F81" s="1277"/>
      <x:c r="G81" s="3875"/>
      <x:c r="H81" s="3876"/>
      <x:c r="I81" s="3876"/>
      <x:c r="J81" s="3876"/>
      <x:c r="K81" s="3876"/>
      <x:c r="L81" s="3877"/>
      <x:c r="M81" s="1277"/>
      <x:c r="N81" s="3875"/>
      <x:c r="O81" s="3876"/>
      <x:c r="P81" s="3876"/>
      <x:c r="Q81" s="3876"/>
      <x:c r="R81" s="3877"/>
      <x:c r="S81" s="1277"/>
      <x:c r="T81" s="3875"/>
      <x:c r="U81" s="3876"/>
      <x:c r="V81" s="3876"/>
      <x:c r="W81" s="3877"/>
      <x:c r="X81" s="1277"/>
      <x:c r="Y81" s="3875"/>
      <x:c r="Z81" s="3877"/>
    </x:row>
    <x:row r="82">
      <x:c r="A82" s="3875"/>
      <x:c r="B82" s="3876"/>
      <x:c r="C82" s="3876"/>
      <x:c r="D82" s="3876"/>
      <x:c r="E82" s="3877"/>
      <x:c r="F82" s="1297" t="str">
        <x:v>→</x:v>
      </x:c>
      <x:c r="G82" s="3875"/>
      <x:c r="H82" s="3876"/>
      <x:c r="I82" s="3876"/>
      <x:c r="J82" s="3876"/>
      <x:c r="K82" s="3876"/>
      <x:c r="L82" s="3877"/>
      <x:c r="M82" s="1277"/>
      <x:c r="N82" s="3875"/>
      <x:c r="O82" s="3876"/>
      <x:c r="P82" s="3876"/>
      <x:c r="Q82" s="3876"/>
      <x:c r="R82" s="3877"/>
      <x:c r="S82" s="1297" t="str">
        <x:v>→</x:v>
      </x:c>
      <x:c r="T82" s="3875"/>
      <x:c r="U82" s="3876"/>
      <x:c r="V82" s="3876"/>
      <x:c r="W82" s="3877"/>
      <x:c r="X82" s="1297" t="str">
        <x:v>→</x:v>
      </x:c>
      <x:c r="Y82" s="3875"/>
      <x:c r="Z82" s="3877"/>
    </x:row>
    <x:row r="83">
      <x:c r="A83" s="3875"/>
      <x:c r="B83" s="3876"/>
      <x:c r="C83" s="3876"/>
      <x:c r="D83" s="3876"/>
      <x:c r="E83" s="3877"/>
      <x:c r="F83" s="1277"/>
      <x:c r="G83" s="3875"/>
      <x:c r="H83" s="3876"/>
      <x:c r="I83" s="3876"/>
      <x:c r="J83" s="3876"/>
      <x:c r="K83" s="3876"/>
      <x:c r="L83" s="3877"/>
      <x:c r="M83" s="1277"/>
      <x:c r="N83" s="3875"/>
      <x:c r="O83" s="3876"/>
      <x:c r="P83" s="3876"/>
      <x:c r="Q83" s="3876"/>
      <x:c r="R83" s="3877"/>
      <x:c r="S83" s="1277"/>
      <x:c r="T83" s="3875"/>
      <x:c r="U83" s="3876"/>
      <x:c r="V83" s="3876"/>
      <x:c r="W83" s="3877"/>
      <x:c r="X83" s="1277"/>
      <x:c r="Y83" s="3875"/>
      <x:c r="Z83" s="3877"/>
    </x:row>
    <x:row r="84">
      <x:c r="A84" s="3880"/>
      <x:c r="B84" s="3881"/>
      <x:c r="C84" s="3881"/>
      <x:c r="D84" s="3881"/>
      <x:c r="E84" s="3882"/>
      <x:c r="F84" s="1277"/>
      <x:c r="G84" s="3880"/>
      <x:c r="H84" s="3881"/>
      <x:c r="I84" s="3881"/>
      <x:c r="J84" s="3881"/>
      <x:c r="K84" s="3881"/>
      <x:c r="L84" s="3882"/>
      <x:c r="M84" s="1277"/>
      <x:c r="N84" s="3880"/>
      <x:c r="O84" s="3881"/>
      <x:c r="P84" s="3881"/>
      <x:c r="Q84" s="3881"/>
      <x:c r="R84" s="3882"/>
      <x:c r="S84" s="1277"/>
      <x:c r="T84" s="3880"/>
      <x:c r="U84" s="3881"/>
      <x:c r="V84" s="3881"/>
      <x:c r="W84" s="3882"/>
      <x:c r="X84" s="1277"/>
      <x:c r="Y84" s="3880"/>
      <x:c r="Z84" s="3882"/>
    </x:row>
    <x:row r="85">
      <x:c r="A85" s="1277"/>
      <x:c r="B85" s="1277"/>
      <x:c r="C85" s="1277"/>
      <x:c r="D85" s="1277"/>
      <x:c r="E85" s="1277"/>
      <x:c r="F85" s="1277"/>
      <x:c r="G85" s="1277"/>
      <x:c r="H85" s="1277"/>
      <x:c r="I85" s="1277"/>
      <x:c r="J85" s="1277"/>
      <x:c r="K85" s="1277"/>
      <x:c r="L85" s="1277"/>
      <x:c r="M85" s="1277"/>
      <x:c r="N85" s="1277"/>
      <x:c r="O85" s="1277"/>
      <x:c r="P85" s="1277"/>
      <x:c r="Q85" s="1277"/>
      <x:c r="R85" s="1277"/>
      <x:c r="S85" s="1277"/>
      <x:c r="T85" s="1277"/>
      <x:c r="U85" s="1277"/>
      <x:c r="V85" s="1277"/>
      <x:c r="W85" s="1277"/>
      <x:c r="X85" s="1277"/>
      <x:c r="Y85" s="1277"/>
      <x:c r="Z85" s="1277"/>
    </x:row>
    <x:row r="86">
      <x:c r="A86" s="1277"/>
      <x:c r="B86" s="1277"/>
      <x:c r="C86" s="1277"/>
      <x:c r="D86" s="1277"/>
      <x:c r="E86" s="1277"/>
      <x:c r="F86" s="1277"/>
      <x:c r="G86" s="1277"/>
      <x:c r="H86" s="1277"/>
      <x:c r="I86" s="1277"/>
      <x:c r="J86" s="1277"/>
      <x:c r="K86" s="1277"/>
      <x:c r="L86" s="1277"/>
      <x:c r="M86" s="1277"/>
      <x:c r="N86" s="3891" t="str">
        <x:v>ESCALAMIENTO
EventoHabilita → ReglaEscalamientoHabilita → EvaluacionEscalamientoHabilita
→ usa objetos existentes: DirectivaOperativa / PTW / CasoHabilita / NotificacionHabilita.
Q-06 debe aportar matriz/acciones VDS. NO RAM genérica ni DirectivaHabilita duplicada.</x:v>
      </x:c>
      <x:c r="O86" s="3891"/>
      <x:c r="P86" s="3891"/>
      <x:c r="Q86" s="3891"/>
      <x:c r="R86" s="3891"/>
      <x:c r="S86" s="3891"/>
      <x:c r="T86" s="3891"/>
      <x:c r="U86" s="3891"/>
      <x:c r="V86" s="3891"/>
      <x:c r="W86" s="3891"/>
      <x:c r="X86" s="3891"/>
      <x:c r="Y86" s="3891"/>
      <x:c r="Z86" s="3891"/>
    </x:row>
    <x:row r="87">
      <x:c r="A87" s="1277"/>
      <x:c r="B87" s="1277"/>
      <x:c r="C87" s="1277"/>
      <x:c r="D87" s="1277"/>
      <x:c r="E87" s="1277"/>
      <x:c r="F87" s="1277"/>
      <x:c r="G87" s="1277"/>
      <x:c r="H87" s="1277"/>
      <x:c r="I87" s="1277"/>
      <x:c r="J87" s="1277"/>
      <x:c r="K87" s="1277"/>
      <x:c r="L87" s="1277"/>
      <x:c r="M87" s="1277"/>
      <x:c r="N87" s="3891"/>
      <x:c r="O87" s="3891"/>
      <x:c r="P87" s="3891"/>
      <x:c r="Q87" s="3891"/>
      <x:c r="R87" s="3891"/>
      <x:c r="S87" s="3891"/>
      <x:c r="T87" s="3891"/>
      <x:c r="U87" s="3891"/>
      <x:c r="V87" s="3891"/>
      <x:c r="W87" s="3891"/>
      <x:c r="X87" s="3891"/>
      <x:c r="Y87" s="3891"/>
      <x:c r="Z87" s="3891"/>
    </x:row>
    <x:row r="88">
      <x:c r="A88" s="1277"/>
      <x:c r="B88" s="1277"/>
      <x:c r="C88" s="1277"/>
      <x:c r="D88" s="1277"/>
      <x:c r="E88" s="1277"/>
      <x:c r="F88" s="1277"/>
      <x:c r="G88" s="1277"/>
      <x:c r="H88" s="1277"/>
      <x:c r="I88" s="1277"/>
      <x:c r="J88" s="1277"/>
      <x:c r="K88" s="1277"/>
      <x:c r="L88" s="1277"/>
      <x:c r="M88" s="1277"/>
      <x:c r="N88" s="3891"/>
      <x:c r="O88" s="3891"/>
      <x:c r="P88" s="3891"/>
      <x:c r="Q88" s="3891"/>
      <x:c r="R88" s="3891"/>
      <x:c r="S88" s="3891"/>
      <x:c r="T88" s="3891"/>
      <x:c r="U88" s="3891"/>
      <x:c r="V88" s="3891"/>
      <x:c r="W88" s="3891"/>
      <x:c r="X88" s="3891"/>
      <x:c r="Y88" s="3891"/>
      <x:c r="Z88" s="3891"/>
    </x:row>
    <x:row r="89">
      <x:c r="A89" s="1277"/>
      <x:c r="B89" s="1277"/>
      <x:c r="C89" s="1277"/>
      <x:c r="D89" s="1277"/>
      <x:c r="E89" s="1277"/>
      <x:c r="F89" s="1277"/>
      <x:c r="G89" s="1277"/>
      <x:c r="H89" s="1277"/>
      <x:c r="I89" s="1277"/>
      <x:c r="J89" s="1277"/>
      <x:c r="K89" s="1277"/>
      <x:c r="L89" s="1277"/>
      <x:c r="M89" s="1277"/>
      <x:c r="N89" s="3891"/>
      <x:c r="O89" s="3891"/>
      <x:c r="P89" s="3891"/>
      <x:c r="Q89" s="3891"/>
      <x:c r="R89" s="3891"/>
      <x:c r="S89" s="3891"/>
      <x:c r="T89" s="3891"/>
      <x:c r="U89" s="3891"/>
      <x:c r="V89" s="3891"/>
      <x:c r="W89" s="3891"/>
      <x:c r="X89" s="3891"/>
      <x:c r="Y89" s="3891"/>
      <x:c r="Z89" s="3891"/>
    </x:row>
    <x:row r="90">
      <x:c r="A90" s="1277"/>
      <x:c r="B90" s="1277"/>
      <x:c r="C90" s="1277"/>
      <x:c r="D90" s="1277"/>
      <x:c r="E90" s="1277"/>
      <x:c r="F90" s="1277"/>
      <x:c r="G90" s="1277"/>
      <x:c r="H90" s="1277"/>
      <x:c r="I90" s="1277"/>
      <x:c r="J90" s="1277"/>
      <x:c r="K90" s="1277"/>
      <x:c r="L90" s="1277"/>
      <x:c r="M90" s="1277"/>
      <x:c r="N90" s="3891"/>
      <x:c r="O90" s="3891"/>
      <x:c r="P90" s="3891"/>
      <x:c r="Q90" s="3891"/>
      <x:c r="R90" s="3891"/>
      <x:c r="S90" s="3891"/>
      <x:c r="T90" s="3891"/>
      <x:c r="U90" s="3891"/>
      <x:c r="V90" s="3891"/>
      <x:c r="W90" s="3891"/>
      <x:c r="X90" s="3891"/>
      <x:c r="Y90" s="3891"/>
      <x:c r="Z90" s="3891"/>
    </x:row>
    <x:row r="91">
      <x:c r="A91" s="1277"/>
      <x:c r="B91" s="1277"/>
      <x:c r="C91" s="1277"/>
      <x:c r="D91" s="1277"/>
      <x:c r="E91" s="1277"/>
      <x:c r="F91" s="1277"/>
      <x:c r="G91" s="1277"/>
      <x:c r="H91" s="1277"/>
      <x:c r="I91" s="1277"/>
      <x:c r="J91" s="1277"/>
      <x:c r="K91" s="1277"/>
      <x:c r="L91" s="1277"/>
      <x:c r="M91" s="1277"/>
      <x:c r="N91" s="3891"/>
      <x:c r="O91" s="3891"/>
      <x:c r="P91" s="3891"/>
      <x:c r="Q91" s="3891"/>
      <x:c r="R91" s="3891"/>
      <x:c r="S91" s="3891"/>
      <x:c r="T91" s="3891"/>
      <x:c r="U91" s="3891"/>
      <x:c r="V91" s="3891"/>
      <x:c r="W91" s="3891"/>
      <x:c r="X91" s="3891"/>
      <x:c r="Y91" s="3891"/>
      <x:c r="Z91" s="3891"/>
    </x:row>
    <x:row r="92">
      <x:c r="A92" s="1277"/>
      <x:c r="B92" s="1277"/>
      <x:c r="C92" s="1277"/>
      <x:c r="D92" s="1277"/>
      <x:c r="E92" s="1277"/>
      <x:c r="F92" s="1277"/>
      <x:c r="G92" s="1277"/>
      <x:c r="H92" s="1277"/>
      <x:c r="I92" s="1277"/>
      <x:c r="J92" s="1277"/>
      <x:c r="K92" s="1277"/>
      <x:c r="L92" s="1277"/>
      <x:c r="M92" s="1277"/>
      <x:c r="N92" s="1277"/>
      <x:c r="O92" s="1277"/>
      <x:c r="P92" s="1277"/>
      <x:c r="Q92" s="1277"/>
      <x:c r="R92" s="1277"/>
      <x:c r="S92" s="1277"/>
      <x:c r="T92" s="1277"/>
      <x:c r="U92" s="1277"/>
      <x:c r="V92" s="1277"/>
      <x:c r="W92" s="1277"/>
      <x:c r="X92" s="1277"/>
      <x:c r="Y92" s="1277"/>
      <x:c r="Z92" s="1277"/>
    </x:row>
    <x:row r="93">
      <x:c r="A93" s="1277"/>
      <x:c r="B93" s="1277"/>
      <x:c r="C93" s="1277"/>
      <x:c r="D93" s="1277"/>
      <x:c r="E93" s="1277"/>
      <x:c r="F93" s="1277"/>
      <x:c r="G93" s="1277"/>
      <x:c r="H93" s="1277"/>
      <x:c r="I93" s="1277"/>
      <x:c r="J93" s="1277"/>
      <x:c r="K93" s="1277"/>
      <x:c r="L93" s="1277"/>
      <x:c r="M93" s="1277"/>
      <x:c r="N93" s="1277"/>
      <x:c r="O93" s="1277"/>
      <x:c r="P93" s="1277"/>
      <x:c r="Q93" s="1277"/>
      <x:c r="R93" s="1277"/>
      <x:c r="S93" s="1277"/>
      <x:c r="T93" s="1277"/>
      <x:c r="U93" s="1277"/>
      <x:c r="V93" s="1277"/>
      <x:c r="W93" s="1277"/>
      <x:c r="X93" s="1277"/>
      <x:c r="Y93" s="1277"/>
      <x:c r="Z93" s="1277"/>
    </x:row>
    <x:row r="94">
      <x:c r="A94" s="3664" t="str">
        <x:v>04 — Habilita LIFECYCLE + NOTIFICACIONES</x:v>
      </x:c>
      <x:c r="B94" s="3664"/>
      <x:c r="C94" s="3664"/>
      <x:c r="D94" s="3664"/>
      <x:c r="E94" s="3664"/>
      <x:c r="F94" s="3664"/>
      <x:c r="G94" s="3664"/>
      <x:c r="H94" s="3664"/>
      <x:c r="I94" s="3664"/>
      <x:c r="J94" s="3664"/>
      <x:c r="K94" s="3664"/>
      <x:c r="L94" s="3664"/>
      <x:c r="M94" s="3664"/>
      <x:c r="N94" s="3664"/>
      <x:c r="O94" s="3664"/>
      <x:c r="P94" s="3664"/>
      <x:c r="Q94" s="3664"/>
      <x:c r="R94" s="3664"/>
      <x:c r="S94" s="3664"/>
      <x:c r="T94" s="3664"/>
      <x:c r="U94" s="3664"/>
      <x:c r="V94" s="3664"/>
      <x:c r="W94" s="3664"/>
      <x:c r="X94" s="3664"/>
      <x:c r="Y94" s="3664"/>
      <x:c r="Z94" s="3664"/>
    </x:row>
    <x:row r="95">
      <x:c r="A95" s="1277"/>
      <x:c r="B95" s="1277"/>
      <x:c r="C95" s="1277"/>
      <x:c r="D95" s="1277"/>
      <x:c r="E95" s="1277"/>
      <x:c r="F95" s="1277"/>
      <x:c r="G95" s="1277"/>
      <x:c r="H95" s="1277"/>
      <x:c r="I95" s="1277"/>
      <x:c r="J95" s="1277"/>
      <x:c r="K95" s="1277"/>
      <x:c r="L95" s="1277"/>
      <x:c r="M95" s="1277"/>
      <x:c r="N95" s="1277"/>
      <x:c r="O95" s="1277"/>
      <x:c r="P95" s="1277"/>
      <x:c r="Q95" s="1277"/>
      <x:c r="R95" s="1277"/>
      <x:c r="S95" s="1277"/>
      <x:c r="T95" s="1277"/>
      <x:c r="U95" s="1277"/>
      <x:c r="V95" s="1277"/>
      <x:c r="W95" s="1277"/>
      <x:c r="X95" s="1277"/>
      <x:c r="Y95" s="1277"/>
      <x:c r="Z95" s="1277"/>
    </x:row>
    <x:row r="96">
      <x:c r="A96" s="3869" t="str">
        <x:v>ESTADO INVESTIGACIÓN
no iniciada → curso → finalizada</x:v>
      </x:c>
      <x:c r="B96" s="3870"/>
      <x:c r="C96" s="3870"/>
      <x:c r="D96" s="3870"/>
      <x:c r="E96" s="3870"/>
      <x:c r="F96" s="3871"/>
      <x:c r="G96" s="1277"/>
      <x:c r="H96" s="3892" t="str">
        <x:v>ESTADO CASO Habilita
seguimiento / cerrado
Q-09 gate pendiente</x:v>
      </x:c>
      <x:c r="I96" s="3893"/>
      <x:c r="J96" s="3893"/>
      <x:c r="K96" s="3893"/>
      <x:c r="L96" s="3893"/>
      <x:c r="M96" s="3894"/>
      <x:c r="N96" s="1277"/>
      <x:c r="O96" s="3869" t="str">
        <x:v>ACCIONES CORRECTIVAS
lifecycle independiente
implementada → verificada</x:v>
      </x:c>
      <x:c r="P96" s="3870"/>
      <x:c r="Q96" s="3870"/>
      <x:c r="R96" s="3870"/>
      <x:c r="S96" s="3870"/>
      <x:c r="T96" s="3871"/>
      <x:c r="U96" s="1277"/>
      <x:c r="V96" s="3869" t="str">
        <x:v>NOTIFICACION Habilita
trigger · destinatario · deadline
responsable · estado · evidencia</x:v>
      </x:c>
      <x:c r="W96" s="3870"/>
      <x:c r="X96" s="3870"/>
      <x:c r="Y96" s="3870"/>
      <x:c r="Z96" s="3871"/>
    </x:row>
    <x:row r="97">
      <x:c r="A97" s="3875"/>
      <x:c r="B97" s="3876"/>
      <x:c r="C97" s="3876"/>
      <x:c r="D97" s="3876"/>
      <x:c r="E97" s="3876"/>
      <x:c r="F97" s="3877"/>
      <x:c r="G97" s="1277"/>
      <x:c r="H97" s="3895"/>
      <x:c r="I97" s="3896"/>
      <x:c r="J97" s="3896"/>
      <x:c r="K97" s="3896"/>
      <x:c r="L97" s="3896"/>
      <x:c r="M97" s="3897"/>
      <x:c r="N97" s="1277"/>
      <x:c r="O97" s="3875"/>
      <x:c r="P97" s="3876"/>
      <x:c r="Q97" s="3876"/>
      <x:c r="R97" s="3876"/>
      <x:c r="S97" s="3876"/>
      <x:c r="T97" s="3877"/>
      <x:c r="U97" s="1277"/>
      <x:c r="V97" s="3875"/>
      <x:c r="W97" s="3876"/>
      <x:c r="X97" s="3876"/>
      <x:c r="Y97" s="3876"/>
      <x:c r="Z97" s="3877"/>
    </x:row>
    <x:row r="98">
      <x:c r="A98" s="3875"/>
      <x:c r="B98" s="3876"/>
      <x:c r="C98" s="3876"/>
      <x:c r="D98" s="3876"/>
      <x:c r="E98" s="3876"/>
      <x:c r="F98" s="3877"/>
      <x:c r="G98" s="1297" t="str">
        <x:v>→</x:v>
      </x:c>
      <x:c r="H98" s="3895"/>
      <x:c r="I98" s="3896"/>
      <x:c r="J98" s="3896"/>
      <x:c r="K98" s="3896"/>
      <x:c r="L98" s="3896"/>
      <x:c r="M98" s="3897"/>
      <x:c r="N98" s="1297" t="str">
        <x:v>→</x:v>
      </x:c>
      <x:c r="O98" s="3875"/>
      <x:c r="P98" s="3876"/>
      <x:c r="Q98" s="3876"/>
      <x:c r="R98" s="3876"/>
      <x:c r="S98" s="3876"/>
      <x:c r="T98" s="3877"/>
      <x:c r="U98" s="1277"/>
      <x:c r="V98" s="3875"/>
      <x:c r="W98" s="3876"/>
      <x:c r="X98" s="3876"/>
      <x:c r="Y98" s="3876"/>
      <x:c r="Z98" s="3877"/>
    </x:row>
    <x:row r="99">
      <x:c r="A99" s="3875"/>
      <x:c r="B99" s="3876"/>
      <x:c r="C99" s="3876"/>
      <x:c r="D99" s="3876"/>
      <x:c r="E99" s="3876"/>
      <x:c r="F99" s="3877"/>
      <x:c r="G99" s="1277"/>
      <x:c r="H99" s="3895"/>
      <x:c r="I99" s="3896"/>
      <x:c r="J99" s="3896"/>
      <x:c r="K99" s="3896"/>
      <x:c r="L99" s="3896"/>
      <x:c r="M99" s="3897"/>
      <x:c r="N99" s="1277"/>
      <x:c r="O99" s="3875"/>
      <x:c r="P99" s="3876"/>
      <x:c r="Q99" s="3876"/>
      <x:c r="R99" s="3876"/>
      <x:c r="S99" s="3876"/>
      <x:c r="T99" s="3877"/>
      <x:c r="U99" s="1277"/>
      <x:c r="V99" s="3875"/>
      <x:c r="W99" s="3876"/>
      <x:c r="X99" s="3876"/>
      <x:c r="Y99" s="3876"/>
      <x:c r="Z99" s="3877"/>
    </x:row>
    <x:row r="100">
      <x:c r="A100" s="3880"/>
      <x:c r="B100" s="3881"/>
      <x:c r="C100" s="3881"/>
      <x:c r="D100" s="3881"/>
      <x:c r="E100" s="3881"/>
      <x:c r="F100" s="3882"/>
      <x:c r="G100" s="1277"/>
      <x:c r="H100" s="3898"/>
      <x:c r="I100" s="3899"/>
      <x:c r="J100" s="3899"/>
      <x:c r="K100" s="3899"/>
      <x:c r="L100" s="3899"/>
      <x:c r="M100" s="3900"/>
      <x:c r="N100" s="1277"/>
      <x:c r="O100" s="3880"/>
      <x:c r="P100" s="3881"/>
      <x:c r="Q100" s="3881"/>
      <x:c r="R100" s="3881"/>
      <x:c r="S100" s="3881"/>
      <x:c r="T100" s="3882"/>
      <x:c r="U100" s="1277"/>
      <x:c r="V100" s="3880"/>
      <x:c r="W100" s="3881"/>
      <x:c r="X100" s="3881"/>
      <x:c r="Y100" s="3881"/>
      <x:c r="Z100" s="3882"/>
    </x:row>
    <x:row r="101">
      <x:c r="A101" s="1277"/>
      <x:c r="B101" s="1277"/>
      <x:c r="C101" s="1277"/>
      <x:c r="D101" s="1277"/>
      <x:c r="E101" s="1277"/>
      <x:c r="F101" s="1277"/>
      <x:c r="G101" s="1277"/>
      <x:c r="H101" s="1277"/>
      <x:c r="I101" s="1277"/>
      <x:c r="J101" s="1277"/>
      <x:c r="K101" s="1277"/>
      <x:c r="L101" s="1277"/>
      <x:c r="M101" s="1277"/>
      <x:c r="N101" s="1277"/>
      <x:c r="O101" s="1277"/>
      <x:c r="P101" s="1277"/>
      <x:c r="Q101" s="1277"/>
      <x:c r="R101" s="1277"/>
      <x:c r="S101" s="1277"/>
      <x:c r="T101" s="1277"/>
      <x:c r="U101" s="1277"/>
      <x:c r="V101" s="1277"/>
      <x:c r="W101" s="1277"/>
      <x:c r="X101" s="1277"/>
      <x:c r="Y101" s="1277"/>
      <x:c r="Z101" s="1277"/>
    </x:row>
    <x:row r="102">
      <x:c r="A102" s="1277"/>
      <x:c r="B102" s="1277"/>
      <x:c r="C102" s="1277"/>
      <x:c r="D102" s="1277"/>
      <x:c r="E102" s="1277"/>
      <x:c r="F102" s="1277"/>
      <x:c r="G102" s="1277"/>
      <x:c r="H102" s="1277"/>
      <x:c r="I102" s="1277"/>
      <x:c r="J102" s="1277"/>
      <x:c r="K102" s="1277"/>
      <x:c r="L102" s="1277"/>
      <x:c r="M102" s="1277"/>
      <x:c r="N102" s="1277"/>
      <x:c r="O102" s="1277"/>
      <x:c r="P102" s="1277"/>
      <x:c r="Q102" s="1277"/>
      <x:c r="R102" s="1277"/>
      <x:c r="S102" s="1277"/>
      <x:c r="T102" s="1277"/>
      <x:c r="U102" s="1277"/>
      <x:c r="V102" s="3672" t="str">
        <x:v>Q-08 RESUELTA estructuralmente.
Canal/cola/PubSub = implementación.
Destinatarios/plazos = configuración.</x:v>
      </x:c>
      <x:c r="W102" s="3672"/>
      <x:c r="X102" s="3672"/>
      <x:c r="Y102" s="3672"/>
      <x:c r="Z102" s="3672"/>
    </x:row>
    <x:row r="103">
      <x:c r="A103" s="1277"/>
      <x:c r="B103" s="1277"/>
      <x:c r="C103" s="1277"/>
      <x:c r="D103" s="1277"/>
      <x:c r="E103" s="1277"/>
      <x:c r="F103" s="1277"/>
      <x:c r="G103" s="1277"/>
      <x:c r="H103" s="1277"/>
      <x:c r="I103" s="1277"/>
      <x:c r="J103" s="1277"/>
      <x:c r="K103" s="1277"/>
      <x:c r="L103" s="1277"/>
      <x:c r="M103" s="1277"/>
      <x:c r="N103" s="1277"/>
      <x:c r="O103" s="1277"/>
      <x:c r="P103" s="1277"/>
      <x:c r="Q103" s="1277"/>
      <x:c r="R103" s="1277"/>
      <x:c r="S103" s="1277"/>
      <x:c r="T103" s="1277"/>
      <x:c r="U103" s="1277"/>
      <x:c r="V103" s="3672"/>
      <x:c r="W103" s="3672"/>
      <x:c r="X103" s="3672"/>
      <x:c r="Y103" s="3672"/>
      <x:c r="Z103" s="3672"/>
    </x:row>
    <x:row r="104">
      <x:c r="A104" s="1277"/>
      <x:c r="B104" s="1277"/>
      <x:c r="C104" s="1277"/>
      <x:c r="D104" s="1277"/>
      <x:c r="E104" s="1277"/>
      <x:c r="F104" s="1277"/>
      <x:c r="G104" s="1277"/>
      <x:c r="H104" s="1277"/>
      <x:c r="I104" s="1277"/>
      <x:c r="J104" s="1277"/>
      <x:c r="K104" s="1277"/>
      <x:c r="L104" s="1277"/>
      <x:c r="M104" s="1277"/>
      <x:c r="N104" s="1277"/>
      <x:c r="O104" s="1277"/>
      <x:c r="P104" s="1277"/>
      <x:c r="Q104" s="1277"/>
      <x:c r="R104" s="1277"/>
      <x:c r="S104" s="1277"/>
      <x:c r="T104" s="1277"/>
      <x:c r="U104" s="1277"/>
      <x:c r="V104" s="3672"/>
      <x:c r="W104" s="3672"/>
      <x:c r="X104" s="3672"/>
      <x:c r="Y104" s="3672"/>
      <x:c r="Z104" s="3672"/>
    </x:row>
    <x:row r="105">
      <x:c r="A105" s="1277"/>
      <x:c r="B105" s="1277"/>
      <x:c r="C105" s="1277"/>
      <x:c r="D105" s="1277"/>
      <x:c r="E105" s="1277"/>
      <x:c r="F105" s="1277"/>
      <x:c r="G105" s="1277"/>
      <x:c r="H105" s="1277"/>
      <x:c r="I105" s="1277"/>
      <x:c r="J105" s="1277"/>
      <x:c r="K105" s="1277"/>
      <x:c r="L105" s="1277"/>
      <x:c r="M105" s="1277"/>
      <x:c r="N105" s="1277"/>
      <x:c r="O105" s="1277"/>
      <x:c r="P105" s="1277"/>
      <x:c r="Q105" s="1277"/>
      <x:c r="R105" s="1277"/>
      <x:c r="S105" s="1277"/>
      <x:c r="T105" s="1277"/>
      <x:c r="U105" s="1277"/>
      <x:c r="V105" s="3672"/>
      <x:c r="W105" s="3672"/>
      <x:c r="X105" s="3672"/>
      <x:c r="Y105" s="3672"/>
      <x:c r="Z105" s="3672"/>
    </x:row>
    <x:row r="106">
      <x:c r="A106" s="1277"/>
      <x:c r="B106" s="1277"/>
      <x:c r="C106" s="1277"/>
      <x:c r="D106" s="1277"/>
      <x:c r="E106" s="1277"/>
      <x:c r="F106" s="1277"/>
      <x:c r="G106" s="1277"/>
      <x:c r="H106" s="1277"/>
      <x:c r="I106" s="1277"/>
      <x:c r="J106" s="1277"/>
      <x:c r="K106" s="1277"/>
      <x:c r="L106" s="1277"/>
      <x:c r="M106" s="1277"/>
      <x:c r="N106" s="1277"/>
      <x:c r="O106" s="1277"/>
      <x:c r="P106" s="1277"/>
      <x:c r="Q106" s="1277"/>
      <x:c r="R106" s="1277"/>
      <x:c r="S106" s="1277"/>
      <x:c r="T106" s="1277"/>
      <x:c r="U106" s="1277"/>
      <x:c r="V106" s="1277"/>
      <x:c r="W106" s="1277"/>
      <x:c r="X106" s="1277"/>
      <x:c r="Y106" s="1277"/>
      <x:c r="Z106" s="1277"/>
    </x:row>
    <x:row r="107">
      <x:c r="A107" s="1277"/>
      <x:c r="B107" s="1277"/>
      <x:c r="C107" s="1277"/>
      <x:c r="D107" s="1277"/>
      <x:c r="E107" s="1277"/>
      <x:c r="F107" s="1277"/>
      <x:c r="G107" s="1277"/>
      <x:c r="H107" s="1277"/>
      <x:c r="I107" s="1277"/>
      <x:c r="J107" s="1277"/>
      <x:c r="K107" s="1277"/>
      <x:c r="L107" s="1277"/>
      <x:c r="M107" s="1277"/>
      <x:c r="N107" s="1277"/>
      <x:c r="O107" s="1277"/>
      <x:c r="P107" s="1277"/>
      <x:c r="Q107" s="1277"/>
      <x:c r="R107" s="1277"/>
      <x:c r="S107" s="1277"/>
      <x:c r="T107" s="1277"/>
      <x:c r="U107" s="1277"/>
      <x:c r="V107" s="1277"/>
      <x:c r="W107" s="1277"/>
      <x:c r="X107" s="1277"/>
      <x:c r="Y107" s="1277"/>
      <x:c r="Z107" s="1277"/>
    </x:row>
    <x:row r="108">
      <x:c r="A108" s="3664" t="str">
        <x:v>05 — TRACE + TEMPORAL + LINEAGE BUS</x:v>
      </x:c>
      <x:c r="B108" s="3664"/>
      <x:c r="C108" s="3664"/>
      <x:c r="D108" s="3664"/>
      <x:c r="E108" s="3664"/>
      <x:c r="F108" s="3664"/>
      <x:c r="G108" s="3664"/>
      <x:c r="H108" s="3664"/>
      <x:c r="I108" s="3664"/>
      <x:c r="J108" s="3664"/>
      <x:c r="K108" s="3664"/>
      <x:c r="L108" s="3664"/>
      <x:c r="M108" s="3664"/>
      <x:c r="N108" s="3664"/>
      <x:c r="O108" s="3664"/>
      <x:c r="P108" s="3664"/>
      <x:c r="Q108" s="3664"/>
      <x:c r="R108" s="3664"/>
      <x:c r="S108" s="3664"/>
      <x:c r="T108" s="3664"/>
      <x:c r="U108" s="3664"/>
      <x:c r="V108" s="3664"/>
      <x:c r="W108" s="3664"/>
      <x:c r="X108" s="3664"/>
      <x:c r="Y108" s="3664"/>
      <x:c r="Z108" s="3664"/>
    </x:row>
    <x:row r="109">
      <x:c r="A109" s="1277"/>
      <x:c r="B109" s="1277"/>
      <x:c r="C109" s="1277"/>
      <x:c r="D109" s="1277"/>
      <x:c r="E109" s="1277"/>
      <x:c r="F109" s="1277"/>
      <x:c r="G109" s="1277"/>
      <x:c r="H109" s="1277"/>
      <x:c r="I109" s="1277"/>
      <x:c r="J109" s="1277"/>
      <x:c r="K109" s="1277"/>
      <x:c r="L109" s="1277"/>
      <x:c r="M109" s="1277"/>
      <x:c r="N109" s="1277"/>
      <x:c r="O109" s="1277"/>
      <x:c r="P109" s="1277"/>
      <x:c r="Q109" s="1277"/>
      <x:c r="R109" s="1277"/>
      <x:c r="S109" s="1277"/>
      <x:c r="T109" s="1277"/>
      <x:c r="U109" s="1277"/>
      <x:c r="V109" s="1277"/>
      <x:c r="W109" s="1277"/>
      <x:c r="X109" s="1277"/>
      <x:c r="Y109" s="1277"/>
      <x:c r="Z109" s="1277"/>
    </x:row>
    <x:row r="110">
      <x:c r="A110" s="3869" t="str">
        <x:v>PERSONAS / RECURSOS
intervalos · handover · reemplazo</x:v>
      </x:c>
      <x:c r="B110" s="3870"/>
      <x:c r="C110" s="3870"/>
      <x:c r="D110" s="3870"/>
      <x:c r="E110" s="3870"/>
      <x:c r="F110" s="3871"/>
      <x:c r="G110" s="1277"/>
      <x:c r="H110" s="3869" t="str">
        <x:v>TRANSICIÓN OPERATIVA
sin tiempo huérfano</x:v>
      </x:c>
      <x:c r="I110" s="3870"/>
      <x:c r="J110" s="3870"/>
      <x:c r="K110" s="3870"/>
      <x:c r="L110" s="3870"/>
      <x:c r="M110" s="3871"/>
      <x:c r="N110" s="1277"/>
      <x:c r="O110" s="3869" t="str">
        <x:v>TRACE BUS
versiones · ACK · overrides
PTW · Habilita · enmiendas</x:v>
      </x:c>
      <x:c r="P110" s="3870"/>
      <x:c r="Q110" s="3870"/>
      <x:c r="R110" s="3870"/>
      <x:c r="S110" s="3870"/>
      <x:c r="T110" s="3871"/>
      <x:c r="U110" s="1277"/>
      <x:c r="V110" s="3869" t="str">
        <x:v>LINEAGE COMERCIAL
fuente ejecución → UC
supersession</x:v>
      </x:c>
      <x:c r="W110" s="3870"/>
      <x:c r="X110" s="3870"/>
      <x:c r="Y110" s="3870"/>
      <x:c r="Z110" s="3871"/>
    </x:row>
    <x:row r="111">
      <x:c r="A111" s="3875"/>
      <x:c r="B111" s="3876"/>
      <x:c r="C111" s="3876"/>
      <x:c r="D111" s="3876"/>
      <x:c r="E111" s="3876"/>
      <x:c r="F111" s="3877"/>
      <x:c r="G111" s="1277"/>
      <x:c r="H111" s="3875"/>
      <x:c r="I111" s="3876"/>
      <x:c r="J111" s="3876"/>
      <x:c r="K111" s="3876"/>
      <x:c r="L111" s="3876"/>
      <x:c r="M111" s="3877"/>
      <x:c r="N111" s="1277"/>
      <x:c r="O111" s="3875"/>
      <x:c r="P111" s="3876"/>
      <x:c r="Q111" s="3876"/>
      <x:c r="R111" s="3876"/>
      <x:c r="S111" s="3876"/>
      <x:c r="T111" s="3877"/>
      <x:c r="U111" s="1277"/>
      <x:c r="V111" s="3875"/>
      <x:c r="W111" s="3876"/>
      <x:c r="X111" s="3876"/>
      <x:c r="Y111" s="3876"/>
      <x:c r="Z111" s="3877"/>
    </x:row>
    <x:row r="112">
      <x:c r="A112" s="3875"/>
      <x:c r="B112" s="3876"/>
      <x:c r="C112" s="3876"/>
      <x:c r="D112" s="3876"/>
      <x:c r="E112" s="3876"/>
      <x:c r="F112" s="3877"/>
      <x:c r="G112" s="1277"/>
      <x:c r="H112" s="3875"/>
      <x:c r="I112" s="3876"/>
      <x:c r="J112" s="3876"/>
      <x:c r="K112" s="3876"/>
      <x:c r="L112" s="3876"/>
      <x:c r="M112" s="3877"/>
      <x:c r="N112" s="1277"/>
      <x:c r="O112" s="3875"/>
      <x:c r="P112" s="3876"/>
      <x:c r="Q112" s="3876"/>
      <x:c r="R112" s="3876"/>
      <x:c r="S112" s="3876"/>
      <x:c r="T112" s="3877"/>
      <x:c r="U112" s="1277"/>
      <x:c r="V112" s="3875"/>
      <x:c r="W112" s="3876"/>
      <x:c r="X112" s="3876"/>
      <x:c r="Y112" s="3876"/>
      <x:c r="Z112" s="3877"/>
    </x:row>
    <x:row r="113">
      <x:c r="A113" s="3875"/>
      <x:c r="B113" s="3876"/>
      <x:c r="C113" s="3876"/>
      <x:c r="D113" s="3876"/>
      <x:c r="E113" s="3876"/>
      <x:c r="F113" s="3877"/>
      <x:c r="G113" s="1277"/>
      <x:c r="H113" s="3875"/>
      <x:c r="I113" s="3876"/>
      <x:c r="J113" s="3876"/>
      <x:c r="K113" s="3876"/>
      <x:c r="L113" s="3876"/>
      <x:c r="M113" s="3877"/>
      <x:c r="N113" s="1277"/>
      <x:c r="O113" s="3875"/>
      <x:c r="P113" s="3876"/>
      <x:c r="Q113" s="3876"/>
      <x:c r="R113" s="3876"/>
      <x:c r="S113" s="3876"/>
      <x:c r="T113" s="3877"/>
      <x:c r="U113" s="1277"/>
      <x:c r="V113" s="3875"/>
      <x:c r="W113" s="3876"/>
      <x:c r="X113" s="3876"/>
      <x:c r="Y113" s="3876"/>
      <x:c r="Z113" s="3877"/>
    </x:row>
    <x:row r="114">
      <x:c r="A114" s="3880"/>
      <x:c r="B114" s="3881"/>
      <x:c r="C114" s="3881"/>
      <x:c r="D114" s="3881"/>
      <x:c r="E114" s="3881"/>
      <x:c r="F114" s="3882"/>
      <x:c r="G114" s="1277"/>
      <x:c r="H114" s="3880"/>
      <x:c r="I114" s="3881"/>
      <x:c r="J114" s="3881"/>
      <x:c r="K114" s="3881"/>
      <x:c r="L114" s="3881"/>
      <x:c r="M114" s="3882"/>
      <x:c r="N114" s="1277"/>
      <x:c r="O114" s="3880"/>
      <x:c r="P114" s="3881"/>
      <x:c r="Q114" s="3881"/>
      <x:c r="R114" s="3881"/>
      <x:c r="S114" s="3881"/>
      <x:c r="T114" s="3882"/>
      <x:c r="U114" s="1277"/>
      <x:c r="V114" s="3880"/>
      <x:c r="W114" s="3881"/>
      <x:c r="X114" s="3881"/>
      <x:c r="Y114" s="3881"/>
      <x:c r="Z114" s="3882"/>
    </x:row>
    <x:row r="115">
      <x:c r="A115" s="1277"/>
      <x:c r="B115" s="1277"/>
      <x:c r="C115" s="1277"/>
      <x:c r="D115" s="1277"/>
      <x:c r="E115" s="1277"/>
      <x:c r="F115" s="1277"/>
      <x:c r="G115" s="1277"/>
      <x:c r="H115" s="1277"/>
      <x:c r="I115" s="1277"/>
      <x:c r="J115" s="1277"/>
      <x:c r="K115" s="1277"/>
      <x:c r="L115" s="1277"/>
      <x:c r="M115" s="1277"/>
      <x:c r="N115" s="1277"/>
      <x:c r="O115" s="1277"/>
      <x:c r="P115" s="1277"/>
      <x:c r="Q115" s="1277"/>
      <x:c r="R115" s="1277"/>
      <x:c r="S115" s="1277"/>
      <x:c r="T115" s="1277"/>
      <x:c r="U115" s="1277"/>
      <x:c r="V115" s="1277"/>
      <x:c r="W115" s="1277"/>
      <x:c r="X115" s="1277"/>
      <x:c r="Y115" s="1277"/>
      <x:c r="Z115" s="1277"/>
    </x:row>
    <x:row r="116">
      <x:c r="A116" s="1277"/>
      <x:c r="B116" s="1277"/>
      <x:c r="C116" s="1277"/>
      <x:c r="D116" s="1277"/>
      <x:c r="E116" s="1277"/>
      <x:c r="F116" s="1277"/>
      <x:c r="G116" s="1277"/>
      <x:c r="H116" s="1277"/>
      <x:c r="I116" s="1277"/>
      <x:c r="J116" s="1277"/>
      <x:c r="K116" s="1277"/>
      <x:c r="L116" s="1277"/>
      <x:c r="M116" s="1277"/>
      <x:c r="N116" s="1277"/>
      <x:c r="O116" s="1277"/>
      <x:c r="P116" s="1277"/>
      <x:c r="Q116" s="1277"/>
      <x:c r="R116" s="1277"/>
      <x:c r="S116" s="1277"/>
      <x:c r="T116" s="1277"/>
      <x:c r="U116" s="1277"/>
      <x:c r="V116" s="1277"/>
      <x:c r="W116" s="1277"/>
      <x:c r="X116" s="1277"/>
      <x:c r="Y116" s="1277"/>
      <x:c r="Z116" s="1277"/>
    </x:row>
    <x:row r="117">
      <x:c r="A117" s="3664" t="str">
        <x:v>06 — SOLO 5 GATES ANTES DE REV E FINAL</x:v>
      </x:c>
      <x:c r="B117" s="3664"/>
      <x:c r="C117" s="3664"/>
      <x:c r="D117" s="3664"/>
      <x:c r="E117" s="3664"/>
      <x:c r="F117" s="3664"/>
      <x:c r="G117" s="3664"/>
      <x:c r="H117" s="3664"/>
      <x:c r="I117" s="3664"/>
      <x:c r="J117" s="3664"/>
      <x:c r="K117" s="3664"/>
      <x:c r="L117" s="3664"/>
      <x:c r="M117" s="3664"/>
      <x:c r="N117" s="3664"/>
      <x:c r="O117" s="3664"/>
      <x:c r="P117" s="3664"/>
      <x:c r="Q117" s="3664"/>
      <x:c r="R117" s="3664"/>
      <x:c r="S117" s="3664"/>
      <x:c r="T117" s="3664"/>
      <x:c r="U117" s="3664"/>
      <x:c r="V117" s="3664"/>
      <x:c r="W117" s="3664"/>
      <x:c r="X117" s="3664"/>
      <x:c r="Y117" s="3664"/>
      <x:c r="Z117" s="3664"/>
    </x:row>
    <x:row r="118">
      <x:c r="A118" s="1277"/>
      <x:c r="B118" s="1277"/>
      <x:c r="C118" s="1277"/>
      <x:c r="D118" s="1277"/>
      <x:c r="E118" s="1277"/>
      <x:c r="F118" s="1277"/>
      <x:c r="G118" s="1277"/>
      <x:c r="H118" s="1277"/>
      <x:c r="I118" s="1277"/>
      <x:c r="J118" s="1277"/>
      <x:c r="K118" s="1277"/>
      <x:c r="L118" s="1277"/>
      <x:c r="M118" s="1277"/>
      <x:c r="N118" s="1277"/>
      <x:c r="O118" s="1277"/>
      <x:c r="P118" s="1277"/>
      <x:c r="Q118" s="1277"/>
      <x:c r="R118" s="1277"/>
      <x:c r="S118" s="1277"/>
      <x:c r="T118" s="1277"/>
      <x:c r="U118" s="1277"/>
      <x:c r="V118" s="1277"/>
      <x:c r="W118" s="1277"/>
      <x:c r="X118" s="1277"/>
      <x:c r="Y118" s="1277"/>
      <x:c r="Z118" s="1277"/>
    </x:row>
    <x:row r="119">
      <x:c r="A119" s="3892" t="str">
        <x:v>G-01 · Q-01
TP-01 + TURNO
excepciones al default
handover</x:v>
      </x:c>
      <x:c r="B119" s="3893"/>
      <x:c r="C119" s="3893"/>
      <x:c r="D119" s="3893"/>
      <x:c r="E119" s="3894"/>
      <x:c r="F119" s="1277"/>
      <x:c r="G119" s="3892" t="str">
        <x:v>G-02 · Q-02
EMERGENTE / OFFLINE
autoridad + política</x:v>
      </x:c>
      <x:c r="H119" s="3893"/>
      <x:c r="I119" s="3893"/>
      <x:c r="J119" s="3893"/>
      <x:c r="K119" s="3894"/>
      <x:c r="L119" s="1277"/>
      <x:c r="M119" s="3892" t="str">
        <x:v>G-03 · Q-04
POST-CERT / FACTURA
reabrir vs reversión</x:v>
      </x:c>
      <x:c r="N119" s="3893"/>
      <x:c r="O119" s="3893"/>
      <x:c r="P119" s="3893"/>
      <x:c r="Q119" s="3894"/>
      <x:c r="R119" s="1277"/>
      <x:c r="S119" s="3892" t="str">
        <x:v>G-04 · Q-06
MATRIZ Habilita
outputs reales</x:v>
      </x:c>
      <x:c r="T119" s="3893"/>
      <x:c r="U119" s="3893"/>
      <x:c r="V119" s="3894"/>
      <x:c r="W119" s="1277"/>
      <x:c r="X119" s="3892" t="str">
        <x:v>G-05 · Q-09
CIERRE
CASOHABILITA</x:v>
      </x:c>
      <x:c r="Y119" s="3893"/>
      <x:c r="Z119" s="3894"/>
    </x:row>
    <x:row r="120">
      <x:c r="A120" s="3895"/>
      <x:c r="B120" s="3896"/>
      <x:c r="C120" s="3896"/>
      <x:c r="D120" s="3896"/>
      <x:c r="E120" s="3897"/>
      <x:c r="F120" s="1277"/>
      <x:c r="G120" s="3895"/>
      <x:c r="H120" s="3896"/>
      <x:c r="I120" s="3896"/>
      <x:c r="J120" s="3896"/>
      <x:c r="K120" s="3897"/>
      <x:c r="L120" s="1277"/>
      <x:c r="M120" s="3895"/>
      <x:c r="N120" s="3896"/>
      <x:c r="O120" s="3896"/>
      <x:c r="P120" s="3896"/>
      <x:c r="Q120" s="3897"/>
      <x:c r="R120" s="1277"/>
      <x:c r="S120" s="3895"/>
      <x:c r="T120" s="3896"/>
      <x:c r="U120" s="3896"/>
      <x:c r="V120" s="3897"/>
      <x:c r="W120" s="1277"/>
      <x:c r="X120" s="3895"/>
      <x:c r="Y120" s="3896"/>
      <x:c r="Z120" s="3897"/>
    </x:row>
    <x:row r="121">
      <x:c r="A121" s="3895"/>
      <x:c r="B121" s="3896"/>
      <x:c r="C121" s="3896"/>
      <x:c r="D121" s="3896"/>
      <x:c r="E121" s="3897"/>
      <x:c r="F121" s="1277"/>
      <x:c r="G121" s="3895"/>
      <x:c r="H121" s="3896"/>
      <x:c r="I121" s="3896"/>
      <x:c r="J121" s="3896"/>
      <x:c r="K121" s="3897"/>
      <x:c r="L121" s="1277"/>
      <x:c r="M121" s="3895"/>
      <x:c r="N121" s="3896"/>
      <x:c r="O121" s="3896"/>
      <x:c r="P121" s="3896"/>
      <x:c r="Q121" s="3897"/>
      <x:c r="R121" s="1277"/>
      <x:c r="S121" s="3895"/>
      <x:c r="T121" s="3896"/>
      <x:c r="U121" s="3896"/>
      <x:c r="V121" s="3897"/>
      <x:c r="W121" s="1277"/>
      <x:c r="X121" s="3895"/>
      <x:c r="Y121" s="3896"/>
      <x:c r="Z121" s="3897"/>
    </x:row>
    <x:row r="122">
      <x:c r="A122" s="3895"/>
      <x:c r="B122" s="3896"/>
      <x:c r="C122" s="3896"/>
      <x:c r="D122" s="3896"/>
      <x:c r="E122" s="3897"/>
      <x:c r="F122" s="1277"/>
      <x:c r="G122" s="3895"/>
      <x:c r="H122" s="3896"/>
      <x:c r="I122" s="3896"/>
      <x:c r="J122" s="3896"/>
      <x:c r="K122" s="3897"/>
      <x:c r="L122" s="1277"/>
      <x:c r="M122" s="3895"/>
      <x:c r="N122" s="3896"/>
      <x:c r="O122" s="3896"/>
      <x:c r="P122" s="3896"/>
      <x:c r="Q122" s="3897"/>
      <x:c r="R122" s="1277"/>
      <x:c r="S122" s="3895"/>
      <x:c r="T122" s="3896"/>
      <x:c r="U122" s="3896"/>
      <x:c r="V122" s="3897"/>
      <x:c r="W122" s="1277"/>
      <x:c r="X122" s="3895"/>
      <x:c r="Y122" s="3896"/>
      <x:c r="Z122" s="3897"/>
    </x:row>
    <x:row r="123">
      <x:c r="A123" s="3895"/>
      <x:c r="B123" s="3896"/>
      <x:c r="C123" s="3896"/>
      <x:c r="D123" s="3896"/>
      <x:c r="E123" s="3897"/>
      <x:c r="F123" s="1277"/>
      <x:c r="G123" s="3895"/>
      <x:c r="H123" s="3896"/>
      <x:c r="I123" s="3896"/>
      <x:c r="J123" s="3896"/>
      <x:c r="K123" s="3897"/>
      <x:c r="L123" s="1277"/>
      <x:c r="M123" s="3895"/>
      <x:c r="N123" s="3896"/>
      <x:c r="O123" s="3896"/>
      <x:c r="P123" s="3896"/>
      <x:c r="Q123" s="3897"/>
      <x:c r="R123" s="1277"/>
      <x:c r="S123" s="3895"/>
      <x:c r="T123" s="3896"/>
      <x:c r="U123" s="3896"/>
      <x:c r="V123" s="3897"/>
      <x:c r="W123" s="1277"/>
      <x:c r="X123" s="3895"/>
      <x:c r="Y123" s="3896"/>
      <x:c r="Z123" s="3897"/>
    </x:row>
    <x:row r="124">
      <x:c r="A124" s="3898"/>
      <x:c r="B124" s="3899"/>
      <x:c r="C124" s="3899"/>
      <x:c r="D124" s="3899"/>
      <x:c r="E124" s="3900"/>
      <x:c r="F124" s="1277"/>
      <x:c r="G124" s="3898"/>
      <x:c r="H124" s="3899"/>
      <x:c r="I124" s="3899"/>
      <x:c r="J124" s="3899"/>
      <x:c r="K124" s="3900"/>
      <x:c r="L124" s="1277"/>
      <x:c r="M124" s="3898"/>
      <x:c r="N124" s="3899"/>
      <x:c r="O124" s="3899"/>
      <x:c r="P124" s="3899"/>
      <x:c r="Q124" s="3900"/>
      <x:c r="R124" s="1277"/>
      <x:c r="S124" s="3898"/>
      <x:c r="T124" s="3899"/>
      <x:c r="U124" s="3899"/>
      <x:c r="V124" s="3900"/>
      <x:c r="W124" s="1277"/>
      <x:c r="X124" s="3898"/>
      <x:c r="Y124" s="3899"/>
      <x:c r="Z124" s="3900"/>
    </x:row>
    <x:row r="125">
      <x:c r="A125" s="1277"/>
      <x:c r="B125" s="1277"/>
      <x:c r="C125" s="1277"/>
      <x:c r="D125" s="1277"/>
      <x:c r="E125" s="1277"/>
      <x:c r="F125" s="1277"/>
      <x:c r="G125" s="1277"/>
      <x:c r="H125" s="1277"/>
      <x:c r="I125" s="1277"/>
      <x:c r="J125" s="1277"/>
      <x:c r="K125" s="1277"/>
      <x:c r="L125" s="1277"/>
      <x:c r="M125" s="1277"/>
      <x:c r="N125" s="1277"/>
      <x:c r="O125" s="1277"/>
      <x:c r="P125" s="1277"/>
      <x:c r="Q125" s="1277"/>
      <x:c r="R125" s="1277"/>
      <x:c r="S125" s="1277"/>
      <x:c r="T125" s="1277"/>
      <x:c r="U125" s="1277"/>
      <x:c r="V125" s="1277"/>
      <x:c r="W125" s="1277"/>
      <x:c r="X125" s="1277"/>
      <x:c r="Y125" s="1277"/>
      <x:c r="Z125" s="1277"/>
    </x:row>
    <x:row r="126">
      <x:c r="A126" s="1277"/>
      <x:c r="B126" s="1277"/>
      <x:c r="C126" s="1277"/>
      <x:c r="D126" s="1277"/>
      <x:c r="E126" s="1277"/>
      <x:c r="F126" s="1277"/>
      <x:c r="G126" s="1277"/>
      <x:c r="H126" s="1277"/>
      <x:c r="I126" s="1277"/>
      <x:c r="J126" s="1277"/>
      <x:c r="K126" s="1277"/>
      <x:c r="L126" s="1277"/>
      <x:c r="M126" s="1277"/>
      <x:c r="N126" s="1277"/>
      <x:c r="O126" s="1277"/>
      <x:c r="P126" s="1277"/>
      <x:c r="Q126" s="1277"/>
      <x:c r="R126" s="1277"/>
      <x:c r="S126" s="1277"/>
      <x:c r="T126" s="1277"/>
      <x:c r="U126" s="1277"/>
      <x:c r="V126" s="1277"/>
      <x:c r="W126" s="1277"/>
      <x:c r="X126" s="1277"/>
      <x:c r="Y126" s="1277"/>
      <x:c r="Z126" s="1277"/>
    </x:row>
    <x:row r="127">
      <x:c r="A127" s="3664" t="str">
        <x:v>DECLARACIÓN CANDIDATE v2</x:v>
      </x:c>
      <x:c r="B127" s="3664"/>
      <x:c r="C127" s="3664"/>
      <x:c r="D127" s="3664"/>
      <x:c r="E127" s="3664"/>
      <x:c r="F127" s="3664"/>
      <x:c r="G127" s="3664"/>
      <x:c r="H127" s="3664"/>
      <x:c r="I127" s="3664"/>
      <x:c r="J127" s="3664"/>
      <x:c r="K127" s="3664"/>
      <x:c r="L127" s="3664"/>
      <x:c r="M127" s="3664"/>
      <x:c r="N127" s="3664"/>
      <x:c r="O127" s="3664"/>
      <x:c r="P127" s="3664"/>
      <x:c r="Q127" s="3664"/>
      <x:c r="R127" s="3664"/>
      <x:c r="S127" s="3664"/>
      <x:c r="T127" s="3664"/>
      <x:c r="U127" s="3664"/>
      <x:c r="V127" s="3664"/>
      <x:c r="W127" s="3664"/>
      <x:c r="X127" s="3664"/>
      <x:c r="Y127" s="3664"/>
      <x:c r="Z127" s="3664"/>
    </x:row>
    <x:row r="128">
      <x:c r="A128" s="1277"/>
      <x:c r="B128" s="1277"/>
      <x:c r="C128" s="1277"/>
      <x:c r="D128" s="1277"/>
      <x:c r="E128" s="1277"/>
      <x:c r="F128" s="1277"/>
      <x:c r="G128" s="1277"/>
      <x:c r="H128" s="1277"/>
      <x:c r="I128" s="1277"/>
      <x:c r="J128" s="1277"/>
      <x:c r="K128" s="1277"/>
      <x:c r="L128" s="1277"/>
      <x:c r="M128" s="1277"/>
      <x:c r="N128" s="1277"/>
      <x:c r="O128" s="1277"/>
      <x:c r="P128" s="1277"/>
      <x:c r="Q128" s="1277"/>
      <x:c r="R128" s="1277"/>
      <x:c r="S128" s="1277"/>
      <x:c r="T128" s="1277"/>
      <x:c r="U128" s="1277"/>
      <x:c r="V128" s="1277"/>
      <x:c r="W128" s="1277"/>
      <x:c r="X128" s="1277"/>
      <x:c r="Y128" s="1277"/>
      <x:c r="Z128" s="1277"/>
    </x:row>
    <x:row r="129">
      <x:c r="A129" s="3901" t="str">
        <x:v>REV E Candidate v2 está estructuralmente más cerrada que v1, pero NO se declara Frozen todavía.
RESUELTO: Q-03 recurso adicional · Q-05 patrón Habilita core/extensiones · Q-07 Flash Report · Q-08 arquitectura NotificacionHabilita.
PENDIENTE REAL: Q-01 · Q-02 · Q-04 · Q-06 · Q-09 + contratos reales.
No se agregaron entidades duplicadas: EnmiendaOperativa, AjusteCertificacion, DirectivaOperativa y NotificacionHabilita se reutilizan.
No se congelaron decisiones técnicas: Pub/Sub, APIs, tablas, UI, ERP y sync siguen fuera de la baseline funcional.</x:v>
      </x:c>
      <x:c r="B129" s="3901"/>
      <x:c r="C129" s="3901"/>
      <x:c r="D129" s="3901"/>
      <x:c r="E129" s="3901"/>
      <x:c r="F129" s="3901"/>
      <x:c r="G129" s="3901"/>
      <x:c r="H129" s="3901"/>
      <x:c r="I129" s="3901"/>
      <x:c r="J129" s="3901"/>
      <x:c r="K129" s="3901"/>
      <x:c r="L129" s="3901"/>
      <x:c r="M129" s="3901"/>
      <x:c r="N129" s="3901"/>
      <x:c r="O129" s="3901"/>
      <x:c r="P129" s="3901"/>
      <x:c r="Q129" s="3901"/>
      <x:c r="R129" s="3901"/>
      <x:c r="S129" s="3901"/>
      <x:c r="T129" s="3901"/>
      <x:c r="U129" s="3901"/>
      <x:c r="V129" s="3901"/>
      <x:c r="W129" s="3901"/>
      <x:c r="X129" s="3901"/>
      <x:c r="Y129" s="3901"/>
      <x:c r="Z129" s="3901"/>
    </x:row>
    <x:row r="130">
      <x:c r="A130" s="3901"/>
      <x:c r="B130" s="3901"/>
      <x:c r="C130" s="3901"/>
      <x:c r="D130" s="3901"/>
      <x:c r="E130" s="3901"/>
      <x:c r="F130" s="3901"/>
      <x:c r="G130" s="3901"/>
      <x:c r="H130" s="3901"/>
      <x:c r="I130" s="3901"/>
      <x:c r="J130" s="3901"/>
      <x:c r="K130" s="3901"/>
      <x:c r="L130" s="3901"/>
      <x:c r="M130" s="3901"/>
      <x:c r="N130" s="3901"/>
      <x:c r="O130" s="3901"/>
      <x:c r="P130" s="3901"/>
      <x:c r="Q130" s="3901"/>
      <x:c r="R130" s="3901"/>
      <x:c r="S130" s="3901"/>
      <x:c r="T130" s="3901"/>
      <x:c r="U130" s="3901"/>
      <x:c r="V130" s="3901"/>
      <x:c r="W130" s="3901"/>
      <x:c r="X130" s="3901"/>
      <x:c r="Y130" s="3901"/>
      <x:c r="Z130" s="3901"/>
    </x:row>
    <x:row r="131">
      <x:c r="A131" s="3901"/>
      <x:c r="B131" s="3901"/>
      <x:c r="C131" s="3901"/>
      <x:c r="D131" s="3901"/>
      <x:c r="E131" s="3901"/>
      <x:c r="F131" s="3901"/>
      <x:c r="G131" s="3901"/>
      <x:c r="H131" s="3901"/>
      <x:c r="I131" s="3901"/>
      <x:c r="J131" s="3901"/>
      <x:c r="K131" s="3901"/>
      <x:c r="L131" s="3901"/>
      <x:c r="M131" s="3901"/>
      <x:c r="N131" s="3901"/>
      <x:c r="O131" s="3901"/>
      <x:c r="P131" s="3901"/>
      <x:c r="Q131" s="3901"/>
      <x:c r="R131" s="3901"/>
      <x:c r="S131" s="3901"/>
      <x:c r="T131" s="3901"/>
      <x:c r="U131" s="3901"/>
      <x:c r="V131" s="3901"/>
      <x:c r="W131" s="3901"/>
      <x:c r="X131" s="3901"/>
      <x:c r="Y131" s="3901"/>
      <x:c r="Z131" s="3901"/>
    </x:row>
    <x:row r="132">
      <x:c r="A132" s="3901"/>
      <x:c r="B132" s="3901"/>
      <x:c r="C132" s="3901"/>
      <x:c r="D132" s="3901"/>
      <x:c r="E132" s="3901"/>
      <x:c r="F132" s="3901"/>
      <x:c r="G132" s="3901"/>
      <x:c r="H132" s="3901"/>
      <x:c r="I132" s="3901"/>
      <x:c r="J132" s="3901"/>
      <x:c r="K132" s="3901"/>
      <x:c r="L132" s="3901"/>
      <x:c r="M132" s="3901"/>
      <x:c r="N132" s="3901"/>
      <x:c r="O132" s="3901"/>
      <x:c r="P132" s="3901"/>
      <x:c r="Q132" s="3901"/>
      <x:c r="R132" s="3901"/>
      <x:c r="S132" s="3901"/>
      <x:c r="T132" s="3901"/>
      <x:c r="U132" s="3901"/>
      <x:c r="V132" s="3901"/>
      <x:c r="W132" s="3901"/>
      <x:c r="X132" s="3901"/>
      <x:c r="Y132" s="3901"/>
      <x:c r="Z132" s="3901"/>
    </x:row>
    <x:row r="133">
      <x:c r="A133" s="3901"/>
      <x:c r="B133" s="3901"/>
      <x:c r="C133" s="3901"/>
      <x:c r="D133" s="3901"/>
      <x:c r="E133" s="3901"/>
      <x:c r="F133" s="3901"/>
      <x:c r="G133" s="3901"/>
      <x:c r="H133" s="3901"/>
      <x:c r="I133" s="3901"/>
      <x:c r="J133" s="3901"/>
      <x:c r="K133" s="3901"/>
      <x:c r="L133" s="3901"/>
      <x:c r="M133" s="3901"/>
      <x:c r="N133" s="3901"/>
      <x:c r="O133" s="3901"/>
      <x:c r="P133" s="3901"/>
      <x:c r="Q133" s="3901"/>
      <x:c r="R133" s="3901"/>
      <x:c r="S133" s="3901"/>
      <x:c r="T133" s="3901"/>
      <x:c r="U133" s="3901"/>
      <x:c r="V133" s="3901"/>
      <x:c r="W133" s="3901"/>
      <x:c r="X133" s="3901"/>
      <x:c r="Y133" s="3901"/>
      <x:c r="Z133" s="3901"/>
    </x:row>
    <x:row r="134">
      <x:c r="A134" s="3901"/>
      <x:c r="B134" s="3901"/>
      <x:c r="C134" s="3901"/>
      <x:c r="D134" s="3901"/>
      <x:c r="E134" s="3901"/>
      <x:c r="F134" s="3901"/>
      <x:c r="G134" s="3901"/>
      <x:c r="H134" s="3901"/>
      <x:c r="I134" s="3901"/>
      <x:c r="J134" s="3901"/>
      <x:c r="K134" s="3901"/>
      <x:c r="L134" s="3901"/>
      <x:c r="M134" s="3901"/>
      <x:c r="N134" s="3901"/>
      <x:c r="O134" s="3901"/>
      <x:c r="P134" s="3901"/>
      <x:c r="Q134" s="3901"/>
      <x:c r="R134" s="3901"/>
      <x:c r="S134" s="3901"/>
      <x:c r="T134" s="3901"/>
      <x:c r="U134" s="3901"/>
      <x:c r="V134" s="3901"/>
      <x:c r="W134" s="3901"/>
      <x:c r="X134" s="3901"/>
      <x:c r="Y134" s="3901"/>
      <x:c r="Z134" s="3901"/>
    </x:row>
    <x:row r="135">
      <x:c r="A135" s="3901"/>
      <x:c r="B135" s="3901"/>
      <x:c r="C135" s="3901"/>
      <x:c r="D135" s="3901"/>
      <x:c r="E135" s="3901"/>
      <x:c r="F135" s="3901"/>
      <x:c r="G135" s="3901"/>
      <x:c r="H135" s="3901"/>
      <x:c r="I135" s="3901"/>
      <x:c r="J135" s="3901"/>
      <x:c r="K135" s="3901"/>
      <x:c r="L135" s="3901"/>
      <x:c r="M135" s="3901"/>
      <x:c r="N135" s="3901"/>
      <x:c r="O135" s="3901"/>
      <x:c r="P135" s="3901"/>
      <x:c r="Q135" s="3901"/>
      <x:c r="R135" s="3901"/>
      <x:c r="S135" s="3901"/>
      <x:c r="T135" s="3901"/>
      <x:c r="U135" s="3901"/>
      <x:c r="V135" s="3901"/>
      <x:c r="W135" s="3901"/>
      <x:c r="X135" s="3901"/>
      <x:c r="Y135" s="3901"/>
      <x:c r="Z135" s="3901"/>
    </x:row>
    <x:row r="136">
      <x:c r="A136" s="3901"/>
      <x:c r="B136" s="3901"/>
      <x:c r="C136" s="3901"/>
      <x:c r="D136" s="3901"/>
      <x:c r="E136" s="3901"/>
      <x:c r="F136" s="3901"/>
      <x:c r="G136" s="3901"/>
      <x:c r="H136" s="3901"/>
      <x:c r="I136" s="3901"/>
      <x:c r="J136" s="3901"/>
      <x:c r="K136" s="3901"/>
      <x:c r="L136" s="3901"/>
      <x:c r="M136" s="3901"/>
      <x:c r="N136" s="3901"/>
      <x:c r="O136" s="3901"/>
      <x:c r="P136" s="3901"/>
      <x:c r="Q136" s="3901"/>
      <x:c r="R136" s="3901"/>
      <x:c r="S136" s="3901"/>
      <x:c r="T136" s="3901"/>
      <x:c r="U136" s="3901"/>
      <x:c r="V136" s="3901"/>
      <x:c r="W136" s="3901"/>
      <x:c r="X136" s="3901"/>
      <x:c r="Y136" s="3901"/>
      <x:c r="Z136" s="3901"/>
    </x:row>
  </x:sheetData>
  <x:mergeCells>
    <x:mergeCell ref="A1:Z1"/>
    <x:mergeCell ref="A2:Z2"/>
    <x:mergeCell ref="A4:Z4"/>
    <x:mergeCell ref="A6:D10"/>
    <x:mergeCell ref="F6:I10"/>
    <x:mergeCell ref="K6:N10"/>
    <x:mergeCell ref="P6:T10"/>
    <x:mergeCell ref="V6:Z10"/>
    <x:mergeCell ref="A13:Z13"/>
    <x:mergeCell ref="A15:H15"/>
    <x:mergeCell ref="I15:Q15"/>
    <x:mergeCell ref="R15:Z15"/>
    <x:mergeCell ref="A17:H20"/>
    <x:mergeCell ref="A22:H25"/>
    <x:mergeCell ref="A27:H31"/>
    <x:mergeCell ref="A34:Q34"/>
    <x:mergeCell ref="A35:Q38"/>
    <x:mergeCell ref="I17:Q20"/>
    <x:mergeCell ref="I22:Q22"/>
    <x:mergeCell ref="I24:K29"/>
    <x:mergeCell ref="L24:N29"/>
    <x:mergeCell ref="O24:Q29"/>
    <x:mergeCell ref="I31:Q33"/>
    <x:mergeCell ref="I40:L44"/>
    <x:mergeCell ref="N40:Q44"/>
    <x:mergeCell ref="I46:Q51"/>
    <x:mergeCell ref="I53:Q57"/>
    <x:mergeCell ref="R17:Z20"/>
    <x:mergeCell ref="R22:Z25"/>
    <x:mergeCell ref="R27:Z30"/>
    <x:mergeCell ref="R32:Z36"/>
    <x:mergeCell ref="R38:Z44"/>
    <x:mergeCell ref="I60:Z60"/>
    <x:mergeCell ref="I61:Z64"/>
    <x:mergeCell ref="A67:Z67"/>
    <x:mergeCell ref="A69:F73"/>
    <x:mergeCell ref="H69:N73"/>
    <x:mergeCell ref="P69:V73"/>
    <x:mergeCell ref="X69:Z73"/>
    <x:mergeCell ref="A76:Z76"/>
    <x:mergeCell ref="A78:L78"/>
    <x:mergeCell ref="N78:Z78"/>
    <x:mergeCell ref="A80:E84"/>
    <x:mergeCell ref="G80:L84"/>
    <x:mergeCell ref="N80:R84"/>
    <x:mergeCell ref="T80:W84"/>
    <x:mergeCell ref="Y80:Z84"/>
    <x:mergeCell ref="N86:Z91"/>
    <x:mergeCell ref="A94:Z94"/>
    <x:mergeCell ref="A96:F100"/>
    <x:mergeCell ref="H96:M100"/>
    <x:mergeCell ref="O96:T100"/>
    <x:mergeCell ref="V96:Z100"/>
    <x:mergeCell ref="V102:Z105"/>
    <x:mergeCell ref="A108:Z108"/>
    <x:mergeCell ref="A110:F114"/>
    <x:mergeCell ref="H110:M114"/>
    <x:mergeCell ref="O110:T114"/>
    <x:mergeCell ref="V110:Z114"/>
    <x:mergeCell ref="A117:Z117"/>
    <x:mergeCell ref="A119:E124"/>
    <x:mergeCell ref="G119:K124"/>
    <x:mergeCell ref="M119:Q124"/>
    <x:mergeCell ref="S119:V124"/>
    <x:mergeCell ref="X119:Z124"/>
    <x:mergeCell ref="A127:Z127"/>
    <x:mergeCell ref="A129:Z136"/>
  </x:mergeCells>
  <x:pageMargins left="0.7" right="0.7" top="0.75" bottom="0.75" header="0.3" footer="0.3"/>
</x:worksheet>
</file>

<file path=xl/worksheets/sheet43.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46" hidden="0" customWidth="1"/>
    <x:col min="5" max="5" width="38" hidden="0" customWidth="1"/>
    <x:col min="6" max="6" width="20" hidden="0" customWidth="1"/>
    <x:col min="7" max="7" width="24" hidden="0" customWidth="1"/>
    <x:col min="8" max="8" width="18" hidden="0" customWidth="1"/>
  </x:cols>
  <x:sheetData>
    <x:row r="1">
      <x:c r="A1" s="3934" t="str">
        <x:v>REV E FINAL · BASELINE FUNCIONAL 1.0 · CONTRACT-AGNOSTIC</x:v>
      </x:c>
      <x:c r="B1" s="3934"/>
      <x:c r="C1" s="3934"/>
      <x:c r="D1" s="3934"/>
      <x:c r="E1" s="3934"/>
      <x:c r="F1" s="3934"/>
      <x:c r="G1" s="3934"/>
      <x:c r="H1" s="3934"/>
    </x:row>
    <x:row r="2">
      <x:c r="A2" s="3935" t="str">
        <x:v>La forma del sistema queda congelada. Defaults operativos pueden reabrirse si aparece evidencia real; valores contractuales siguen configurables.</x:v>
      </x:c>
      <x:c r="B2" s="3935"/>
      <x:c r="C2" s="3935"/>
      <x:c r="D2" s="3935"/>
      <x:c r="E2" s="3935"/>
      <x:c r="F2" s="3935"/>
      <x:c r="G2" s="3935"/>
      <x:c r="H2" s="3935"/>
    </x:row>
    <x:row r="3">
      <x:c r="A3" s="1277"/>
      <x:c r="B3" s="1277"/>
      <x:c r="C3" s="1277"/>
      <x:c r="D3" s="1277"/>
      <x:c r="E3" s="1277"/>
      <x:c r="F3" s="1277"/>
      <x:c r="G3" s="1277"/>
      <x:c r="H3" s="1277"/>
    </x:row>
    <x:row r="4">
      <x:c r="A4" s="3936" t="str">
        <x:v>ID</x:v>
      </x:c>
      <x:c r="B4" s="3936" t="str">
        <x:v>Decisión baseline</x:v>
      </x:c>
      <x:c r="C4" s="3936" t="str">
        <x:v>Clasificación</x:v>
      </x:c>
      <x:c r="D4" s="3936" t="str">
        <x:v>Default oficial v1.0</x:v>
      </x:c>
      <x:c r="E4" s="3936" t="str">
        <x:v>Qué puede reabrirlo</x:v>
      </x:c>
      <x:c r="F4" s="3936" t="str">
        <x:v>Dónde vive</x:v>
      </x:c>
      <x:c r="G4" s="3936" t="str">
        <x:v>Impacto</x:v>
      </x:c>
      <x:c r="H4" s="3936" t="str">
        <x:v>Estado</x:v>
      </x:c>
    </x:row>
    <x:row r="5" ht="68" customHeight="1">
      <x:c r="A5" s="1327" t="str">
        <x:v>B-01</x:v>
      </x:c>
      <x:c r="B5" s="1327" t="str">
        <x:v>TP-01 y turno</x:v>
      </x:c>
      <x:c r="C5" s="1327" t="str">
        <x:v>DEFAULT CONFIGURABLE</x:v>
      </x:c>
      <x:c r="D5" s="1327" t="str">
        <x:v>Cambio de turno mantiene TP-01; EventoHandover cierra/abre intervalos y revalida PTW/documental.</x:v>
      </x:c>
      <x:c r="E5" s="1327" t="str">
        <x:v>Procedimiento/cliente/servicio que exija split.</x:v>
      </x:c>
      <x:c r="F5" s="1327" t="str">
        <x:v>ReglaCorteTipoParte</x:v>
      </x:c>
      <x:c r="G5" s="1327" t="str">
        <x:v>Alto</x:v>
      </x:c>
      <x:c r="H5" s="3937" t="str">
        <x:v>BASELINE</x:v>
      </x:c>
    </x:row>
    <x:row r="6" ht="68" customHeight="1">
      <x:c r="A6" s="1327" t="str">
        <x:v>B-02</x:v>
      </x:c>
      <x:c r="B6" s="1327" t="str">
        <x:v>Emergente/offline</x:v>
      </x:c>
      <x:c r="C6" s="1327" t="str">
        <x:v>DEFAULT CONFIGURABLE</x:v>
      </x:c>
      <x:c r="D6" s="1327" t="str">
        <x:v>Puede existir modo contingente autorizado con estado_contexto_contractual=PENDIENTE; gates de Habilita nunca se omiten.</x:v>
      </x:c>
      <x:c r="E6" s="1327" t="str">
        <x:v>Política VDS/cliente que obligue bloqueo o defina autoridad distinta.</x:v>
      </x:c>
      <x:c r="F6" s="1327" t="str">
        <x:v>ReglaInicioEmergente</x:v>
      </x:c>
      <x:c r="G6" s="1327" t="str">
        <x:v>Alto</x:v>
      </x:c>
      <x:c r="H6" s="3937" t="str">
        <x:v>BASELINE</x:v>
      </x:c>
    </x:row>
    <x:row r="7" ht="68" customHeight="1">
      <x:c r="A7" s="1327" t="str">
        <x:v>B-03</x:v>
      </x:c>
      <x:c r="B7" s="1327" t="str">
        <x:v>Recurso adicional</x:v>
      </x:c>
      <x:c r="C7" s="1327" t="str">
        <x:v>FROZEN CORE</x:v>
      </x:c>
      <x:c r="D7" s="1327" t="str">
        <x:v>Apoyo misma UE; subtrabajo autónomo nueva UE; nuevo TP-01 solo si cambia work package. PTW distinto no define Parte.</x:v>
      </x:c>
      <x:c r="E7" s="1327" t="str">
        <x:v>Evidencia que revele otro driver de identidad.</x:v>
      </x:c>
      <x:c r="F7" s="1327" t="str">
        <x:v>TipoParte/ReglaCorte</x:v>
      </x:c>
      <x:c r="G7" s="1327" t="str">
        <x:v>Alto</x:v>
      </x:c>
      <x:c r="H7" s="3938" t="str">
        <x:v>FROZEN</x:v>
      </x:c>
    </x:row>
    <x:row r="8" ht="68" customHeight="1">
      <x:c r="A8" s="1327" t="str">
        <x:v>B-04</x:v>
      </x:c>
      <x:c r="B8" s="1327" t="str">
        <x:v>Enmienda post-cert</x:v>
      </x:c>
      <x:c r="C8" s="1327" t="str">
        <x:v>DEFAULT CONFIGURABLE</x:v>
      </x:c>
      <x:c r="D8" s="1327" t="str">
        <x:v>Nueva versión operacional + supersession comercial; original nunca se borra. Tras frontera financiera se compensa hacia adelante.</x:v>
      </x:c>
      <x:c r="E8" s="1327" t="str">
        <x:v>Proceso ERP/administrativo real.</x:v>
      </x:c>
      <x:c r="F8" s="1327" t="str">
        <x:v>Lineage/Certificación</x:v>
      </x:c>
      <x:c r="G8" s="1327" t="str">
        <x:v>Alto</x:v>
      </x:c>
      <x:c r="H8" s="3937" t="str">
        <x:v>BASELINE</x:v>
      </x:c>
    </x:row>
    <x:row r="9" ht="68" customHeight="1">
      <x:c r="A9" s="1327" t="str">
        <x:v>B-05</x:v>
      </x:c>
      <x:c r="B9" s="1327" t="str">
        <x:v>Habilita scope</x:v>
      </x:c>
      <x:c r="C9" s="1327" t="str">
        <x:v>FROZEN CORE</x:v>
      </x:c>
      <x:c r="D9" s="1327" t="str">
        <x:v>EventoHabilita core + extensiones especializadas; Habilita no es TipoParte.</x:v>
      </x:c>
      <x:c r="E9" s="1327" t="str">
        <x:v>Taxonomía amplía extensiones, no core.</x:v>
      </x:c>
      <x:c r="F9" s="1327" t="str">
        <x:v>Habilita</x:v>
      </x:c>
      <x:c r="G9" s="1327" t="str">
        <x:v>Alto</x:v>
      </x:c>
      <x:c r="H9" s="3938" t="str">
        <x:v>FROZEN</x:v>
      </x:c>
    </x:row>
    <x:row r="10" ht="68" customHeight="1">
      <x:c r="A10" s="1327" t="str">
        <x:v>B-06</x:v>
      </x:c>
      <x:c r="B10" s="1327" t="str">
        <x:v>Escalamiento Habilita</x:v>
      </x:c>
      <x:c r="C10" s="1327" t="str">
        <x:v>DEFAULT CONFIGURABLE</x:v>
      </x:c>
      <x:c r="D10" s="1327" t="str">
        <x:v>ReglaEscalamientoHabilita + EvaluacionEscalamientoHabilita; outputs usan DirectivaOperativa/PTW/Caso/Notificación.</x:v>
      </x:c>
      <x:c r="E10" s="1327" t="str">
        <x:v>Matriz real VDS define thresholds y outputs.</x:v>
      </x:c>
      <x:c r="F10" s="1327" t="str">
        <x:v>Habilita/Control Plane</x:v>
      </x:c>
      <x:c r="G10" s="1327" t="str">
        <x:v>Alto</x:v>
      </x:c>
      <x:c r="H10" s="3937" t="str">
        <x:v>BASELINE</x:v>
      </x:c>
    </x:row>
    <x:row r="11" ht="68" customHeight="1">
      <x:c r="A11" s="1327" t="str">
        <x:v>B-07</x:v>
      </x:c>
      <x:c r="B11" s="1327" t="str">
        <x:v>Flash Report</x:v>
      </x:c>
      <x:c r="C11" s="1327" t="str">
        <x:v>FROZEN CORE</x:v>
      </x:c>
      <x:c r="D11" s="1327" t="str">
        <x:v>Contexto autoderivado + confirmación rápida + categoría inicial + descripción + situación controlada; triage avanzado después.</x:v>
      </x:c>
      <x:c r="E11" s="1327" t="str">
        <x:v>Excepción normativa/cliente específica.</x:v>
      </x:c>
      <x:c r="F11" s="1327" t="str">
        <x:v>EventoHabilita</x:v>
      </x:c>
      <x:c r="G11" s="1327" t="str">
        <x:v>Medio</x:v>
      </x:c>
      <x:c r="H11" s="3938" t="str">
        <x:v>FROZEN</x:v>
      </x:c>
    </x:row>
    <x:row r="12" ht="68" customHeight="1">
      <x:c r="A12" s="1327" t="str">
        <x:v>B-08</x:v>
      </x:c>
      <x:c r="B12" s="1327" t="str">
        <x:v>Notificación Habilita</x:v>
      </x:c>
      <x:c r="C12" s="1327" t="str">
        <x:v>FROZEN CORE</x:v>
      </x:c>
      <x:c r="D12" s="1327" t="str">
        <x:v>NotificacionHabilita modela trigger, destinatario, deadline, responsable, estado y evidencia; canal técnico no se congela.</x:v>
      </x:c>
      <x:c r="E12" s="1327" t="str">
        <x:v>Reglas/plazos/destinatarios reales.</x:v>
      </x:c>
      <x:c r="F12" s="1327" t="str">
        <x:v>CasoHabilita/NotificacionHabilita</x:v>
      </x:c>
      <x:c r="G12" s="1327" t="str">
        <x:v>Medio</x:v>
      </x:c>
      <x:c r="H12" s="3938" t="str">
        <x:v>FROZEN</x:v>
      </x:c>
    </x:row>
    <x:row r="13" ht="68" customHeight="1">
      <x:c r="A13" s="1327" t="str">
        <x:v>B-09</x:v>
      </x:c>
      <x:c r="B13" s="1327" t="str">
        <x:v>Cierre CasoHabilita</x:v>
      </x:c>
      <x:c r="C13" s="1327" t="str">
        <x:v>DEFAULT CONFIGURABLE</x:v>
      </x:c>
      <x:c r="D13" s="1327" t="str">
        <x:v>Investigación, Caso y Acciones tienen lifecycles separados. Acciones marcadas bloqueantes impiden CERRADO hasta verificación.</x:v>
      </x:c>
      <x:c r="E13" s="1327" t="str">
        <x:v>Política Habilita real puede redefinir qué acciones bloquean.</x:v>
      </x:c>
      <x:c r="F13" s="1327" t="str">
        <x:v>CasoHabilita/Acciones</x:v>
      </x:c>
      <x:c r="G13" s="1327" t="str">
        <x:v>Alto</x:v>
      </x:c>
      <x:c r="H13" s="3937" t="str">
        <x:v>BASELINE</x:v>
      </x:c>
    </x:row>
    <x:row r="14" ht="68" customHeight="1">
      <x:c r="A14" s="1327" t="str">
        <x:v>B-10</x:v>
      </x:c>
      <x:c r="B14" s="1327" t="str">
        <x:v>Contratos faltantes</x:v>
      </x:c>
      <x:c r="C14" s="1327" t="str">
        <x:v>CONTRACT-AGNOSTIC</x:v>
      </x:c>
      <x:c r="D14" s="1327" t="str">
        <x:v>Registrar verdad operacional completa; si regla comercial falta, marcar PENDIENTE_CONFIGURACION y bloquear derivación comercial, no ejecución histórica.</x:v>
      </x:c>
      <x:c r="E14" s="1327" t="str">
        <x:v>Contratos reales completan parámetros.</x:v>
      </x:c>
      <x:c r="F14" s="1327" t="str">
        <x:v>Configuration Plane</x:v>
      </x:c>
      <x:c r="G14" s="1327" t="str">
        <x:v>Muy alto</x:v>
      </x:c>
      <x:c r="H14" s="3937" t="str">
        <x:v>BASELINE</x:v>
      </x:c>
    </x:row>
    <x:row r="15">
      <x:c r="A15" s="1277"/>
      <x:c r="B15" s="1277"/>
      <x:c r="C15" s="1277"/>
      <x:c r="D15" s="1277"/>
      <x:c r="E15" s="1277"/>
      <x:c r="F15" s="1277"/>
      <x:c r="G15" s="1277"/>
      <x:c r="H15" s="1277"/>
    </x:row>
    <x:row r="16">
      <x:c r="A16" s="1277"/>
      <x:c r="B16" s="1277"/>
      <x:c r="C16" s="1277"/>
      <x:c r="D16" s="1277"/>
      <x:c r="E16" s="1277"/>
      <x:c r="F16" s="1277"/>
      <x:c r="G16" s="1277"/>
      <x:c r="H16" s="1277"/>
    </x:row>
    <x:row r="17">
      <x:c r="A17" s="3939" t="str">
        <x:v>REGLA DE CAMBIO DE BASELINE</x:v>
      </x:c>
      <x:c r="B17" s="3939"/>
      <x:c r="C17" s="3939"/>
      <x:c r="D17" s="3939"/>
      <x:c r="E17" s="3939"/>
      <x:c r="F17" s="3939"/>
      <x:c r="G17" s="3939"/>
      <x:c r="H17" s="3939"/>
    </x:row>
    <x:row r="18">
      <x:c r="A18" s="3940" t="str">
        <x:v>Una evidencia nueva NO debe 'editar' silenciosamente la baseline.
1. Registrar evidencia nueva.
2. Identificar regla/entidad afectada.
3. Evaluar si es CONFIGURACIÓN o CAMBIO ESTRUCTURAL.
4. Si es configuración: nueva versión de regla.
5. Si cambia dominios, identidad, cardinalidad o contratos funcionales: nueva revisión arquitectónica.
Esto permite avanzar ahora sin quedar atados a supuestos contractuales incompletos.</x:v>
      </x:c>
      <x:c r="B18" s="3940"/>
      <x:c r="C18" s="3940"/>
      <x:c r="D18" s="3940"/>
      <x:c r="E18" s="3940"/>
      <x:c r="F18" s="3940"/>
      <x:c r="G18" s="3940"/>
      <x:c r="H18" s="3940"/>
    </x:row>
    <x:row r="19">
      <x:c r="A19" s="3940"/>
      <x:c r="B19" s="3940"/>
      <x:c r="C19" s="3940"/>
      <x:c r="D19" s="3940"/>
      <x:c r="E19" s="3940"/>
      <x:c r="F19" s="3940"/>
      <x:c r="G19" s="3940"/>
      <x:c r="H19" s="3940"/>
    </x:row>
    <x:row r="20">
      <x:c r="A20" s="3940"/>
      <x:c r="B20" s="3940"/>
      <x:c r="C20" s="3940"/>
      <x:c r="D20" s="3940"/>
      <x:c r="E20" s="3940"/>
      <x:c r="F20" s="3940"/>
      <x:c r="G20" s="3940"/>
      <x:c r="H20" s="3940"/>
    </x:row>
    <x:row r="21">
      <x:c r="A21" s="3940"/>
      <x:c r="B21" s="3940"/>
      <x:c r="C21" s="3940"/>
      <x:c r="D21" s="3940"/>
      <x:c r="E21" s="3940"/>
      <x:c r="F21" s="3940"/>
      <x:c r="G21" s="3940"/>
      <x:c r="H21" s="3940"/>
    </x:row>
    <x:row r="22">
      <x:c r="A22" s="3940"/>
      <x:c r="B22" s="3940"/>
      <x:c r="C22" s="3940"/>
      <x:c r="D22" s="3940"/>
      <x:c r="E22" s="3940"/>
      <x:c r="F22" s="3940"/>
      <x:c r="G22" s="3940"/>
      <x:c r="H22" s="3940"/>
    </x:row>
    <x:row r="23">
      <x:c r="A23" s="3940"/>
      <x:c r="B23" s="3940"/>
      <x:c r="C23" s="3940"/>
      <x:c r="D23" s="3940"/>
      <x:c r="E23" s="3940"/>
      <x:c r="F23" s="3940"/>
      <x:c r="G23" s="3940"/>
      <x:c r="H23" s="3940"/>
    </x:row>
  </x:sheetData>
  <x:mergeCells>
    <x:mergeCell ref="A1:H1"/>
    <x:mergeCell ref="A2:H2"/>
    <x:mergeCell ref="A17:H17"/>
    <x:mergeCell ref="A18:H23"/>
  </x:mergeCells>
  <x:pageMargins left="0.7" right="0.7" top="0.75" bottom="0.75" header="0.3" footer="0.3"/>
</x:worksheet>
</file>

<file path=xl/worksheets/sheet44.xml><?xml version="1.0" encoding="utf-8"?>
<x:worksheet xmlns:x="http://schemas.openxmlformats.org/spreadsheetml/2006/main">
  <x:sheetFormatPr defaultRowHeight="15"/>
  <x:cols>
    <x:col min="1" max="1" width="8" hidden="0" customWidth="1"/>
    <x:col min="2" max="2" width="20" hidden="0" customWidth="1"/>
    <x:col min="3" max="3" width="30" hidden="0" customWidth="1"/>
    <x:col min="4" max="4" width="18" hidden="0" customWidth="1"/>
    <x:col min="5" max="5" width="28" hidden="0" customWidth="1"/>
    <x:col min="6" max="6" width="46" hidden="0" customWidth="1"/>
    <x:col min="7" max="7" width="24" hidden="0" customWidth="1"/>
    <x:col min="8" max="8" width="24" hidden="0" customWidth="1"/>
    <x:col min="9" max="9" width="22" hidden="0" customWidth="1"/>
    <x:col min="10" max="10" width="20" hidden="0" customWidth="1"/>
    <x:col min="11" max="11" width="18" hidden="0" customWidth="1"/>
  </x:cols>
  <x:sheetData>
    <x:row r="1">
      <x:c r="A1" s="3951" t="str">
        <x:v>MODELO RELACIONAL LÓGICO v0.1 · ENTIDADES Y OWNERSHIP</x:v>
      </x:c>
      <x:c r="B1" s="3951"/>
      <x:c r="C1" s="3951"/>
      <x:c r="D1" s="3951"/>
      <x:c r="E1" s="3951"/>
      <x:c r="F1" s="3951"/>
      <x:c r="G1" s="3951"/>
      <x:c r="H1" s="3951"/>
      <x:c r="I1" s="3951"/>
      <x:c r="J1" s="3951"/>
      <x:c r="K1" s="3951"/>
    </x:row>
    <x:row r="2">
      <x:c r="A2" s="3944" t="str">
        <x:v>PK/FK son lógicas: definen identidad y dependencia, no tipos de datos ni tecnología física. PROJECTION/DERIVED no son nuevas fuentes de verdad.</x:v>
      </x:c>
      <x:c r="B2" s="3944"/>
      <x:c r="C2" s="3944"/>
      <x:c r="D2" s="3944"/>
      <x:c r="E2" s="3944"/>
      <x:c r="F2" s="3944"/>
      <x:c r="G2" s="3944"/>
      <x:c r="H2" s="3944"/>
      <x:c r="I2" s="3944"/>
      <x:c r="J2" s="3944"/>
      <x:c r="K2" s="3944"/>
    </x:row>
    <x:row r="3">
      <x:c r="A3" s="3945"/>
      <x:c r="B3" s="3945"/>
      <x:c r="C3" s="3945"/>
      <x:c r="D3" s="3945"/>
      <x:c r="E3" s="3945"/>
      <x:c r="F3" s="3945"/>
      <x:c r="G3" s="3945"/>
      <x:c r="H3" s="3945"/>
      <x:c r="I3" s="3945"/>
      <x:c r="J3" s="3945"/>
      <x:c r="K3" s="3945"/>
    </x:row>
    <x:row r="4">
      <x:c r="A4" s="3952" t="str">
        <x:v>#</x:v>
      </x:c>
      <x:c r="B4" s="3952" t="str">
        <x:v>Dominio</x:v>
      </x:c>
      <x:c r="C4" s="3952" t="str">
        <x:v>Entidad</x:v>
      </x:c>
      <x:c r="D4" s="3952" t="str">
        <x:v>Clase</x:v>
      </x:c>
      <x:c r="E4" s="3952" t="str">
        <x:v>PK lógica</x:v>
      </x:c>
      <x:c r="F4" s="3952" t="str">
        <x:v>FK / dependencias principales</x:v>
      </x:c>
      <x:c r="G4" s="3952" t="str">
        <x:v>Grano / responsabilidad</x:v>
      </x:c>
      <x:c r="H4" s="3952" t="str">
        <x:v>Temporalidad</x:v>
      </x:c>
      <x:c r="I4" s="3952" t="str">
        <x:v>Owner</x:v>
      </x:c>
      <x:c r="J4" s="3952" t="str">
        <x:v>Baseline</x:v>
      </x:c>
      <x:c r="K4" s="3952" t="str">
        <x:v>Notas</x:v>
      </x:c>
    </x:row>
    <x:row r="5" ht="62" customHeight="1">
      <x:c r="A5" s="3947" t="str">
        <x:v>01</x:v>
      </x:c>
      <x:c r="B5" s="3947" t="str">
        <x:v>CONFIG</x:v>
      </x:c>
      <x:c r="C5" s="3947" t="str">
        <x:v>Cliente</x:v>
      </x:c>
      <x:c r="D5" s="3948" t="str">
        <x:v>MASTER</x:v>
      </x:c>
      <x:c r="E5" s="3947" t="str">
        <x:v>cliente_id</x:v>
      </x:c>
      <x:c r="F5" s="3947" t="str">
        <x:v>—</x:v>
      </x:c>
      <x:c r="G5" s="3947" t="str">
        <x:v>Contraparte comercial / cliente del trabajo</x:v>
      </x:c>
      <x:c r="H5" s="3947" t="str">
        <x:v>Versionado maestro si cambia identidad</x:v>
      </x:c>
      <x:c r="I5" s="3947" t="str">
        <x:v>Maestro comercial</x:v>
      </x:c>
      <x:c r="J5" s="3948" t="str">
        <x:v>FROZEN</x:v>
      </x:c>
      <x:c r="K5" s="3947" t="str">
        <x:v>Separado de Operadora.</x:v>
      </x:c>
    </x:row>
    <x:row r="6" ht="62" customHeight="1">
      <x:c r="A6" s="3947" t="str">
        <x:v>02</x:v>
      </x:c>
      <x:c r="B6" s="3947" t="str">
        <x:v>CONFIG</x:v>
      </x:c>
      <x:c r="C6" s="3947" t="str">
        <x:v>Contrato</x:v>
      </x:c>
      <x:c r="D6" s="3948" t="str">
        <x:v>MASTER</x:v>
      </x:c>
      <x:c r="E6" s="3947" t="str">
        <x:v>contrato_id</x:v>
      </x:c>
      <x:c r="F6" s="3947" t="str">
        <x:v>cliente_id; tipo_contrato_id</x:v>
      </x:c>
      <x:c r="G6" s="3947" t="str">
        <x:v>Acuerdo comercial estable</x:v>
      </x:c>
      <x:c r="H6" s="3947" t="str">
        <x:v>Vigencia vía ContratoVersion</x:v>
      </x:c>
      <x:c r="I6" s="3947" t="str">
        <x:v>Gestión contractual</x:v>
      </x:c>
      <x:c r="J6" s="3948" t="str">
        <x:v>FROZEN</x:v>
      </x:c>
      <x:c r="K6" s="3947" t="str">
        <x:v>CentroCosto NO es Contrato.</x:v>
      </x:c>
    </x:row>
    <x:row r="7" ht="62" customHeight="1">
      <x:c r="A7" s="3947" t="str">
        <x:v>03</x:v>
      </x:c>
      <x:c r="B7" s="3947" t="str">
        <x:v>CONFIG</x:v>
      </x:c>
      <x:c r="C7" s="3947" t="str">
        <x:v>ContratoVersion</x:v>
      </x:c>
      <x:c r="D7" s="3948" t="str">
        <x:v>VERSION</x:v>
      </x:c>
      <x:c r="E7" s="3947" t="str">
        <x:v>contrato_version_id</x:v>
      </x:c>
      <x:c r="F7" s="3947" t="str">
        <x:v>contrato_id</x:v>
      </x:c>
      <x:c r="G7" s="3947" t="str">
        <x:v>Reglas válidas de un contrato en una vigencia</x:v>
      </x:c>
      <x:c r="H7" s="3947" t="str">
        <x:v>vigente_desde/hasta; inmutable histórica</x:v>
      </x:c>
      <x:c r="I7" s="3947" t="str">
        <x:v>Gestión contractual</x:v>
      </x:c>
      <x:c r="J7" s="3948" t="str">
        <x:v>FROZEN</x:v>
      </x:c>
      <x:c r="K7" s="3947" t="str">
        <x:v>Adendas generan nueva versión.</x:v>
      </x:c>
    </x:row>
    <x:row r="8" ht="62" customHeight="1">
      <x:c r="A8" s="3947" t="str">
        <x:v>04</x:v>
      </x:c>
      <x:c r="B8" s="3947" t="str">
        <x:v>CONFIG</x:v>
      </x:c>
      <x:c r="C8" s="3947" t="str">
        <x:v>Servicio</x:v>
      </x:c>
      <x:c r="D8" s="3948" t="str">
        <x:v>MASTER</x:v>
      </x:c>
      <x:c r="E8" s="3947" t="str">
        <x:v>servicio_id</x:v>
      </x:c>
      <x:c r="F8" s="3947" t="str">
        <x:v>—</x:v>
      </x:c>
      <x:c r="G8" s="3947" t="str">
        <x:v>Servicio VDS reusable entre contratos</x:v>
      </x:c>
      <x:c r="H8" s="3947" t="str">
        <x:v>Maestro versionable</x:v>
      </x:c>
      <x:c r="I8" s="3947" t="str">
        <x:v>Operaciones</x:v>
      </x:c>
      <x:c r="J8" s="3948" t="str">
        <x:v>FROZEN</x:v>
      </x:c>
      <x:c r="K8" s="3947" t="str">
        <x:v>No equivale a ItemContrato.</x:v>
      </x:c>
    </x:row>
    <x:row r="9" ht="62" customHeight="1">
      <x:c r="A9" s="3947" t="str">
        <x:v>05</x:v>
      </x:c>
      <x:c r="B9" s="3947" t="str">
        <x:v>CONFIG</x:v>
      </x:c>
      <x:c r="C9" s="3947" t="str">
        <x:v>Actividad</x:v>
      </x:c>
      <x:c r="D9" s="3948" t="str">
        <x:v>MASTER</x:v>
      </x:c>
      <x:c r="E9" s="3947" t="str">
        <x:v>actividad_id</x:v>
      </x:c>
      <x:c r="F9" s="3947" t="str">
        <x:v>servicio_id</x:v>
      </x:c>
      <x:c r="G9" s="3947" t="str">
        <x:v>Actividad operativa dentro de un Servicio</x:v>
      </x:c>
      <x:c r="H9" s="3947" t="str">
        <x:v>Maestro/versionable</x:v>
      </x:c>
      <x:c r="I9" s="3947" t="str">
        <x:v>Operaciones</x:v>
      </x:c>
      <x:c r="J9" s="3949" t="str">
        <x:v>CONFIG</x:v>
      </x:c>
      <x:c r="K9" s="3947" t="str">
        <x:v>Eliminar si no agrega discriminación.</x:v>
      </x:c>
    </x:row>
    <x:row r="10" ht="62" customHeight="1">
      <x:c r="A10" s="3947" t="str">
        <x:v>06</x:v>
      </x:c>
      <x:c r="B10" s="3947" t="str">
        <x:v>CONFIG</x:v>
      </x:c>
      <x:c r="C10" s="3947" t="str">
        <x:v>ContratoServicio</x:v>
      </x:c>
      <x:c r="D10" s="3950" t="str">
        <x:v>CONFIG</x:v>
      </x:c>
      <x:c r="E10" s="3947" t="str">
        <x:v>contrato_servicio_id</x:v>
      </x:c>
      <x:c r="F10" s="3947" t="str">
        <x:v>contrato_version_id; servicio_id</x:v>
      </x:c>
      <x:c r="G10" s="3947" t="str">
        <x:v>Nodo configurador contrato×servicio</x:v>
      </x:c>
      <x:c r="H10" s="3947" t="str">
        <x:v>vigencia heredada + versión propia opcional</x:v>
      </x:c>
      <x:c r="I10" s="3947" t="str">
        <x:v>Contrato/Operaciones</x:v>
      </x:c>
      <x:c r="J10" s="3948" t="str">
        <x:v>FROZEN</x:v>
      </x:c>
      <x:c r="K10" s="3947" t="str">
        <x:v>Concentra reglas operativas/comerciales.</x:v>
      </x:c>
    </x:row>
    <x:row r="11" ht="62" customHeight="1">
      <x:c r="A11" s="3947" t="str">
        <x:v>07</x:v>
      </x:c>
      <x:c r="B11" s="3947" t="str">
        <x:v>CONFIG</x:v>
      </x:c>
      <x:c r="C11" s="3947" t="str">
        <x:v>CentroCosto</x:v>
      </x:c>
      <x:c r="D11" s="3948" t="str">
        <x:v>MASTER</x:v>
      </x:c>
      <x:c r="E11" s="3947" t="str">
        <x:v>centro_costo_id</x:v>
      </x:c>
      <x:c r="F11" s="3947" t="str">
        <x:v>—</x:v>
      </x:c>
      <x:c r="G11" s="3947" t="str">
        <x:v>Dimensión económica/administrativa independiente</x:v>
      </x:c>
      <x:c r="H11" s="3947" t="str">
        <x:v>Vigencia desde ERP</x:v>
      </x:c>
      <x:c r="I11" s="3947" t="str">
        <x:v>ERP/Administración</x:v>
      </x:c>
      <x:c r="J11" s="3948" t="str">
        <x:v>FROZEN</x:v>
      </x:c>
      <x:c r="K11" s="3947" t="str">
        <x:v>CC26/27/80 son códigos, no contratos.</x:v>
      </x:c>
    </x:row>
    <x:row r="12" ht="62" customHeight="1">
      <x:c r="A12" s="3947" t="str">
        <x:v>08</x:v>
      </x:c>
      <x:c r="B12" s="3947" t="str">
        <x:v>CONFIG</x:v>
      </x:c>
      <x:c r="C12" s="3947" t="str">
        <x:v>ContratoServicioCentroCosto</x:v>
      </x:c>
      <x:c r="D12" s="3949" t="str">
        <x:v>BRIDGE</x:v>
      </x:c>
      <x:c r="E12" s="3947" t="str">
        <x:v>contrato_servicio_centro_costo_id</x:v>
      </x:c>
      <x:c r="F12" s="3947" t="str">
        <x:v>contrato_servicio_id; centro_costo_id</x:v>
      </x:c>
      <x:c r="G12" s="3947" t="str">
        <x:v>CC habilitado para un contexto contrato-servicio</x:v>
      </x:c>
      <x:c r="H12" s="3947" t="str">
        <x:v>vigente_desde/hasta</x:v>
      </x:c>
      <x:c r="I12" s="3947" t="str">
        <x:v>Contrato/ERP</x:v>
      </x:c>
      <x:c r="J12" s="3949" t="str">
        <x:v>CONFIG</x:v>
      </x:c>
      <x:c r="K12" s="3947" t="str">
        <x:v>N:M; espera maestro real.</x:v>
      </x:c>
    </x:row>
    <x:row r="13" ht="62" customHeight="1">
      <x:c r="A13" s="3947" t="str">
        <x:v>09</x:v>
      </x:c>
      <x:c r="B13" s="3947" t="str">
        <x:v>CONFIG</x:v>
      </x:c>
      <x:c r="C13" s="3947" t="str">
        <x:v>UnidadMedida</x:v>
      </x:c>
      <x:c r="D13" s="3948" t="str">
        <x:v>MASTER</x:v>
      </x:c>
      <x:c r="E13" s="3947" t="str">
        <x:v>unidad_medida_id</x:v>
      </x:c>
      <x:c r="F13" s="3947" t="str">
        <x:v>—</x:v>
      </x:c>
      <x:c r="G13" s="3947" t="str">
        <x:v>Unidad semántica de medición/comercial</x:v>
      </x:c>
      <x:c r="H13" s="3947" t="str">
        <x:v>Maestro</x:v>
      </x:c>
      <x:c r="I13" s="3947" t="str">
        <x:v>Contrato/Catálogos</x:v>
      </x:c>
      <x:c r="J13" s="3948" t="str">
        <x:v>FROZEN</x:v>
      </x:c>
      <x:c r="K13" s="3947" t="str">
        <x:v>Hora, m3, viaje, etc.</x:v>
      </x:c>
    </x:row>
    <x:row r="14" ht="62" customHeight="1">
      <x:c r="A14" s="3947" t="str">
        <x:v>10</x:v>
      </x:c>
      <x:c r="B14" s="3947" t="str">
        <x:v>CONFIG</x:v>
      </x:c>
      <x:c r="C14" s="3947" t="str">
        <x:v>ItemContrato</x:v>
      </x:c>
      <x:c r="D14" s="3950" t="str">
        <x:v>CONFIG</x:v>
      </x:c>
      <x:c r="E14" s="3947" t="str">
        <x:v>item_contrato_id</x:v>
      </x:c>
      <x:c r="F14" s="3947" t="str">
        <x:v>contrato_servicio_id; unidad_medida_id; regla_medicion_item_id</x:v>
      </x:c>
      <x:c r="G14" s="3947" t="str">
        <x:v>Posición contractual medible/certificable</x:v>
      </x:c>
      <x:c r="H14" s="3947" t="str">
        <x:v>vigencia por versión contrato</x:v>
      </x:c>
      <x:c r="I14" s="3947" t="str">
        <x:v>Contrato</x:v>
      </x:c>
      <x:c r="J14" s="3948" t="str">
        <x:v>FROZEN</x:v>
      </x:c>
      <x:c r="K14" s="3947" t="str">
        <x:v>No fuerza split de Parte.</x:v>
      </x:c>
    </x:row>
    <x:row r="15" ht="62" customHeight="1">
      <x:c r="A15" s="3947" t="str">
        <x:v>11</x:v>
      </x:c>
      <x:c r="B15" s="3947" t="str">
        <x:v>CONFIG</x:v>
      </x:c>
      <x:c r="C15" s="3947" t="str">
        <x:v>ReglaMedicionItem</x:v>
      </x:c>
      <x:c r="D15" s="3950" t="str">
        <x:v>RULE</x:v>
      </x:c>
      <x:c r="E15" s="3947" t="str">
        <x:v>regla_medicion_item_id</x:v>
      </x:c>
      <x:c r="F15" s="3947" t="str">
        <x:v>item_contrato_id / metrica_id</x:v>
      </x:c>
      <x:c r="G15" s="3947" t="str">
        <x:v>Cómo derivar cantidad comercial y evidencia requerida</x:v>
      </x:c>
      <x:c r="H15" s="3947" t="str">
        <x:v>Versionada</x:v>
      </x:c>
      <x:c r="I15" s="3947" t="str">
        <x:v>Contrato/Certificación</x:v>
      </x:c>
      <x:c r="J15" s="3949" t="str">
        <x:v>CONFIG</x:v>
      </x:c>
      <x:c r="K15" s="3947" t="str">
        <x:v>Valores pendientes contratos.</x:v>
      </x:c>
    </x:row>
    <x:row r="16" ht="62" customHeight="1">
      <x:c r="A16" s="3947" t="str">
        <x:v>12</x:v>
      </x:c>
      <x:c r="B16" s="3947" t="str">
        <x:v>CONFIG</x:v>
      </x:c>
      <x:c r="C16" s="3947" t="str">
        <x:v>TipoParte</x:v>
      </x:c>
      <x:c r="D16" s="3948" t="str">
        <x:v>MASTER/RULE</x:v>
      </x:c>
      <x:c r="E16" s="3947" t="str">
        <x:v>tipo_parte_id</x:v>
      </x:c>
      <x:c r="F16" s="3947" t="str">
        <x:v>—</x:v>
      </x:c>
      <x:c r="G16" s="3947" t="str">
        <x:v>Familia de comportamiento de ejecución</x:v>
      </x:c>
      <x:c r="H16" s="3947" t="str">
        <x:v>Versionada</x:v>
      </x:c>
      <x:c r="I16" s="3947" t="str">
        <x:v>Arquitectura</x:v>
      </x:c>
      <x:c r="J16" s="3948" t="str">
        <x:v>FROZEN</x:v>
      </x:c>
      <x:c r="K16" s="3947" t="str">
        <x:v>TP-01/02/03.</x:v>
      </x:c>
    </x:row>
    <x:row r="17" ht="62" customHeight="1">
      <x:c r="A17" s="3947" t="str">
        <x:v>13</x:v>
      </x:c>
      <x:c r="B17" s="3947" t="str">
        <x:v>CONFIG</x:v>
      </x:c>
      <x:c r="C17" s="3947" t="str">
        <x:v>TipoParteComponente</x:v>
      </x:c>
      <x:c r="D17" s="3949" t="str">
        <x:v>BRIDGE/RULE</x:v>
      </x:c>
      <x:c r="E17" s="3947" t="str">
        <x:v>tipo_parte_componente_id</x:v>
      </x:c>
      <x:c r="F17" s="3947" t="str">
        <x:v>tipo_parte_id; componente_parte_id</x:v>
      </x:c>
      <x:c r="G17" s="3947" t="str">
        <x:v>Componentes activos por TipoParte</x:v>
      </x:c>
      <x:c r="H17" s="3947" t="str">
        <x:v>Versionada</x:v>
      </x:c>
      <x:c r="I17" s="3947" t="str">
        <x:v>Arquitectura</x:v>
      </x:c>
      <x:c r="J17" s="3948" t="str">
        <x:v>FROZEN</x:v>
      </x:c>
      <x:c r="K17" s="3947" t="str">
        <x:v>Compone captura sin Parte universal.</x:v>
      </x:c>
    </x:row>
    <x:row r="18" ht="62" customHeight="1">
      <x:c r="A18" s="3947" t="str">
        <x:v>14</x:v>
      </x:c>
      <x:c r="B18" s="3947" t="str">
        <x:v>CONFIG</x:v>
      </x:c>
      <x:c r="C18" s="3947" t="str">
        <x:v>ReglaCorteTipoParte</x:v>
      </x:c>
      <x:c r="D18" s="3950" t="str">
        <x:v>RULE</x:v>
      </x:c>
      <x:c r="E18" s="3947" t="str">
        <x:v>regla_corte_tipo_parte_id</x:v>
      </x:c>
      <x:c r="F18" s="3947" t="str">
        <x:v>tipo_parte_id; contrato_servicio_id?</x:v>
      </x:c>
      <x:c r="G18" s="3947" t="str">
        <x:v>Qué cambios mantienen o rompen identidad del Parte</x:v>
      </x:c>
      <x:c r="H18" s="3947" t="str">
        <x:v>Versionada</x:v>
      </x:c>
      <x:c r="I18" s="3947" t="str">
        <x:v>Operaciones/Arquitectura</x:v>
      </x:c>
      <x:c r="J18" s="3949" t="str">
        <x:v>CONFIG</x:v>
      </x:c>
      <x:c r="K18" s="3947" t="str">
        <x:v>Default TP-01: handover no corta.</x:v>
      </x:c>
    </x:row>
    <x:row r="19" ht="62" customHeight="1">
      <x:c r="A19" s="3947" t="str">
        <x:v>15</x:v>
      </x:c>
      <x:c r="B19" s="3947" t="str">
        <x:v>CONFIG</x:v>
      </x:c>
      <x:c r="C19" s="3947" t="str">
        <x:v>PerfilOperativo</x:v>
      </x:c>
      <x:c r="D19" s="3948" t="str">
        <x:v>MASTER</x:v>
      </x:c>
      <x:c r="E19" s="3947" t="str">
        <x:v>perfil_operativo_id</x:v>
      </x:c>
      <x:c r="F19" s="3947" t="str">
        <x:v>—</x:v>
      </x:c>
      <x:c r="G19" s="3947" t="str">
        <x:v>Capacidad/ruta operativa de una persona</x:v>
      </x:c>
      <x:c r="H19" s="3947" t="str">
        <x:v>Vigencias/configuración</x:v>
      </x:c>
      <x:c r="I19" s="3947" t="str">
        <x:v>RRHH/Seguridad</x:v>
      </x:c>
      <x:c r="J19" s="3948" t="str">
        <x:v>FROZEN</x:v>
      </x:c>
      <x:c r="K19" s="3947" t="str">
        <x:v>No equivale solo a cargo.</x:v>
      </x:c>
    </x:row>
    <x:row r="20" ht="62" customHeight="1">
      <x:c r="A20" s="3947" t="str">
        <x:v>16</x:v>
      </x:c>
      <x:c r="B20" s="3947" t="str">
        <x:v>CONFIG</x:v>
      </x:c>
      <x:c r="C20" s="3947" t="str">
        <x:v>Persona</x:v>
      </x:c>
      <x:c r="D20" s="3948" t="str">
        <x:v>MASTER</x:v>
      </x:c>
      <x:c r="E20" s="3947" t="str">
        <x:v>persona_id</x:v>
      </x:c>
      <x:c r="F20" s="3947" t="str">
        <x:v>—</x:v>
      </x:c>
      <x:c r="G20" s="3947" t="str">
        <x:v>Persona VDS/externa identificable</x:v>
      </x:c>
      <x:c r="H20" s="3947" t="str">
        <x:v>Maestro temporal</x:v>
      </x:c>
      <x:c r="I20" s="3947" t="str">
        <x:v>RRHH</x:v>
      </x:c>
      <x:c r="J20" s="3948" t="str">
        <x:v>FROZEN</x:v>
      </x:c>
      <x:c r="K20" s="3947" t="str">
        <x:v>Nombre no es identidad.</x:v>
      </x:c>
    </x:row>
    <x:row r="21" ht="62" customHeight="1">
      <x:c r="A21" s="3947" t="str">
        <x:v>17</x:v>
      </x:c>
      <x:c r="B21" s="3947" t="str">
        <x:v>CONFIG</x:v>
      </x:c>
      <x:c r="C21" s="3947" t="str">
        <x:v>PersonaPerfilOperativo</x:v>
      </x:c>
      <x:c r="D21" s="3949" t="str">
        <x:v>BRIDGE</x:v>
      </x:c>
      <x:c r="E21" s="3947" t="str">
        <x:v>persona_perfil_operativo_id</x:v>
      </x:c>
      <x:c r="F21" s="3947" t="str">
        <x:v>persona_id; perfil_operativo_id</x:v>
      </x:c>
      <x:c r="G21" s="3947" t="str">
        <x:v>Perfiles habilitados para una persona</x:v>
      </x:c>
      <x:c r="H21" s="3947" t="str">
        <x:v>desde/hasta</x:v>
      </x:c>
      <x:c r="I21" s="3947" t="str">
        <x:v>RRHH/Seguridad</x:v>
      </x:c>
      <x:c r="J21" s="3948" t="str">
        <x:v>FROZEN</x:v>
      </x:c>
      <x:c r="K21" s="3947" t="str">
        <x:v>N:M temporal.</x:v>
      </x:c>
    </x:row>
    <x:row r="22" ht="62" customHeight="1">
      <x:c r="A22" s="3947" t="str">
        <x:v>18</x:v>
      </x:c>
      <x:c r="B22" s="3947" t="str">
        <x:v>CONFIG</x:v>
      </x:c>
      <x:c r="C22" s="3947" t="str">
        <x:v>TipoRecurso</x:v>
      </x:c>
      <x:c r="D22" s="3948" t="str">
        <x:v>MASTER</x:v>
      </x:c>
      <x:c r="E22" s="3947" t="str">
        <x:v>tipo_recurso_id</x:v>
      </x:c>
      <x:c r="F22" s="3947" t="str">
        <x:v>—</x:v>
      </x:c>
      <x:c r="G22" s="3947" t="str">
        <x:v>Clase física/funcional de recurso</x:v>
      </x:c>
      <x:c r="H22" s="3947" t="str">
        <x:v>Maestro</x:v>
      </x:c>
      <x:c r="I22" s="3947" t="str">
        <x:v>Flota</x:v>
      </x:c>
      <x:c r="J22" s="3948" t="str">
        <x:v>FROZEN</x:v>
      </x:c>
      <x:c r="K22" s="3947" t="str">
        <x:v>Camión, retro, acoplado, etc.</x:v>
      </x:c>
    </x:row>
    <x:row r="23" ht="62" customHeight="1">
      <x:c r="A23" s="3947" t="str">
        <x:v>19</x:v>
      </x:c>
      <x:c r="B23" s="3947" t="str">
        <x:v>CONFIG</x:v>
      </x:c>
      <x:c r="C23" s="3947" t="str">
        <x:v>Recurso</x:v>
      </x:c>
      <x:c r="D23" s="3948" t="str">
        <x:v>MASTER</x:v>
      </x:c>
      <x:c r="E23" s="3947" t="str">
        <x:v>recurso_id</x:v>
      </x:c>
      <x:c r="F23" s="3947" t="str">
        <x:v>tipo_recurso_id</x:v>
      </x:c>
      <x:c r="G23" s="3947" t="str">
        <x:v>Recurso físico VDS</x:v>
      </x:c>
      <x:c r="H23" s="3947" t="str">
        <x:v>Maestro + estado temporal separado</x:v>
      </x:c>
      <x:c r="I23" s="3947" t="str">
        <x:v>Flota</x:v>
      </x:c>
      <x:c r="J23" s="3948" t="str">
        <x:v>FROZEN</x:v>
      </x:c>
      <x:c r="K23" s="3947" t="str">
        <x:v>Interno/patente son atributos.</x:v>
      </x:c>
    </x:row>
    <x:row r="24" ht="62" customHeight="1">
      <x:c r="A24" s="3947" t="str">
        <x:v>20</x:v>
      </x:c>
      <x:c r="B24" s="3947" t="str">
        <x:v>CONFIG</x:v>
      </x:c>
      <x:c r="C24" s="3947" t="str">
        <x:v>UbicacionTecnica</x:v>
      </x:c>
      <x:c r="D24" s="3948" t="str">
        <x:v>MASTER</x:v>
      </x:c>
      <x:c r="E24" s="3947" t="str">
        <x:v>ubicacion_tecnica_id</x:v>
      </x:c>
      <x:c r="F24" s="3947" t="str">
        <x:v>ubicacion_padre_id?; area_id?</x:v>
      </x:c>
      <x:c r="G24" s="3947" t="str">
        <x:v>Nodo del árbol técnico/geográfico</x:v>
      </x:c>
      <x:c r="H24" s="3947" t="str">
        <x:v>Vigencias catálogo</x:v>
      </x:c>
      <x:c r="I24" s="3947" t="str">
        <x:v>Operaciones/Cliente</x:v>
      </x:c>
      <x:c r="J24" s="3948" t="str">
        <x:v>FROZEN</x:v>
      </x:c>
      <x:c r="K24" s="3947" t="str">
        <x:v>Pozo/batería/planta/etc.</x:v>
      </x:c>
    </x:row>
    <x:row r="25" ht="62" customHeight="1">
      <x:c r="A25" s="3947" t="str">
        <x:v>21</x:v>
      </x:c>
      <x:c r="B25" s="3947" t="str">
        <x:v>CONFIG</x:v>
      </x:c>
      <x:c r="C25" s="3947" t="str">
        <x:v>ActivoCliente</x:v>
      </x:c>
      <x:c r="D25" s="3948" t="str">
        <x:v>MASTER</x:v>
      </x:c>
      <x:c r="E25" s="3947" t="str">
        <x:v>activo_intervenido_id</x:v>
      </x:c>
      <x:c r="F25" s="3947" t="str">
        <x:v>ubicacion_tecnica_id?</x:v>
      </x:c>
      <x:c r="G25" s="3947" t="str">
        <x:v>Activo técnico intervenido cuando no equivale a ubicación</x:v>
      </x:c>
      <x:c r="H25" s="3947" t="str">
        <x:v>Maestro</x:v>
      </x:c>
      <x:c r="I25" s="3947" t="str">
        <x:v>Cliente/Operaciones</x:v>
      </x:c>
      <x:c r="J25" s="3949" t="str">
        <x:v>CONFIG</x:v>
      </x:c>
      <x:c r="K25" s="3947" t="str">
        <x:v>No confundir con Recurso VDS.</x:v>
      </x:c>
    </x:row>
    <x:row r="26" ht="62" customHeight="1">
      <x:c r="A26" s="3947" t="str">
        <x:v>22</x:v>
      </x:c>
      <x:c r="B26" s="3947" t="str">
        <x:v>CONFIG</x:v>
      </x:c>
      <x:c r="C26" s="3947" t="str">
        <x:v>Cuadrilla</x:v>
      </x:c>
      <x:c r="D26" s="3948" t="str">
        <x:v>MASTER/CONFIG</x:v>
      </x:c>
      <x:c r="E26" s="3947" t="str">
        <x:v>cuadrilla_id</x:v>
      </x:c>
      <x:c r="F26" s="3947" t="str">
        <x:v>—</x:v>
      </x:c>
      <x:c r="G26" s="3947" t="str">
        <x:v>Identidad de grupo si existe valor operativo estable</x:v>
      </x:c>
      <x:c r="H26" s="3947" t="str">
        <x:v>Puede ser temporal</x:v>
      </x:c>
      <x:c r="I26" s="3947" t="str">
        <x:v>Planificación</x:v>
      </x:c>
      <x:c r="J26" s="3949" t="str">
        <x:v>CONFIG</x:v>
      </x:c>
      <x:c r="K26" s="3947" t="str">
        <x:v>Si solo es composición temporal, no usar como maestro rígido.</x:v>
      </x:c>
    </x:row>
    <x:row r="27" ht="62" customHeight="1">
      <x:c r="A27" s="3947" t="str">
        <x:v>23</x:v>
      </x:c>
      <x:c r="B27" s="3947" t="str">
        <x:v>CONFIG</x:v>
      </x:c>
      <x:c r="C27" s="3947" t="str">
        <x:v>RequisitoHabilitacion</x:v>
      </x:c>
      <x:c r="D27" s="3950" t="str">
        <x:v>RULE</x:v>
      </x:c>
      <x:c r="E27" s="3947" t="str">
        <x:v>requisito_habilitacion_id</x:v>
      </x:c>
      <x:c r="F27" s="3947" t="str">
        <x:v>tipo_requisito_habilitacion_id</x:v>
      </x:c>
      <x:c r="G27" s="3947" t="str">
        <x:v>Condición que debe cumplir un sujeto/contexto</x:v>
      </x:c>
      <x:c r="H27" s="3947" t="str">
        <x:v>Versionada</x:v>
      </x:c>
      <x:c r="I27" s="3947" t="str">
        <x:v>Habilita/Documental</x:v>
      </x:c>
      <x:c r="J27" s="3948" t="str">
        <x:v>FROZEN</x:v>
      </x:c>
      <x:c r="K27" s="3947" t="str">
        <x:v>Persona/recurso/empresa/contexto.</x:v>
      </x:c>
    </x:row>
    <x:row r="28" ht="62" customHeight="1">
      <x:c r="A28" s="3947" t="str">
        <x:v>24</x:v>
      </x:c>
      <x:c r="B28" s="3947" t="str">
        <x:v>CONFIG</x:v>
      </x:c>
      <x:c r="C28" s="3947" t="str">
        <x:v>DocumentoHabilitante</x:v>
      </x:c>
      <x:c r="D28" s="3948" t="str">
        <x:v>DOCUMENT</x:v>
      </x:c>
      <x:c r="E28" s="3947" t="str">
        <x:v>documento_habilitante_id</x:v>
      </x:c>
      <x:c r="F28" s="3947" t="str">
        <x:v>—</x:v>
      </x:c>
      <x:c r="G28" s="3947" t="str">
        <x:v>Documento/evidencia concreta con vigencia</x:v>
      </x:c>
      <x:c r="H28" s="3947" t="str">
        <x:v>vigente_desde/hasta</x:v>
      </x:c>
      <x:c r="I28" s="3947" t="str">
        <x:v>Gestión documental</x:v>
      </x:c>
      <x:c r="J28" s="3948" t="str">
        <x:v>FROZEN</x:v>
      </x:c>
      <x:c r="K28" s="3947" t="str">
        <x:v>No se recarga en cada Parte.</x:v>
      </x:c>
    </x:row>
    <x:row r="29" ht="62" customHeight="1">
      <x:c r="A29" s="3947" t="str">
        <x:v>25</x:v>
      </x:c>
      <x:c r="B29" s="3947" t="str">
        <x:v>CONFIG</x:v>
      </x:c>
      <x:c r="C29" s="3947" t="str">
        <x:v>CumplimientoHabilitacion</x:v>
      </x:c>
      <x:c r="D29" s="3949" t="str">
        <x:v>BRIDGE/EVENT</x:v>
      </x:c>
      <x:c r="E29" s="3947" t="str">
        <x:v>cumplimiento_habilitacion_id</x:v>
      </x:c>
      <x:c r="F29" s="3947" t="str">
        <x:v>requisito_habilitacion_id; documento_habilitante_id; sujeto_ref</x:v>
      </x:c>
      <x:c r="G29" s="3947" t="str">
        <x:v>Cumplimiento concreto de un requisito por un sujeto</x:v>
      </x:c>
      <x:c r="H29" s="3947" t="str">
        <x:v>Temporal</x:v>
      </x:c>
      <x:c r="I29" s="3947" t="str">
        <x:v>Gestión documental</x:v>
      </x:c>
      <x:c r="J29" s="3948" t="str">
        <x:v>FROZEN</x:v>
      </x:c>
      <x:c r="K29" s="3947" t="str">
        <x:v>Sujeto debe implementarse con asociaciones tipadas.</x:v>
      </x:c>
    </x:row>
    <x:row r="30" ht="62" customHeight="1">
      <x:c r="A30" s="3947" t="str">
        <x:v>26</x:v>
      </x:c>
      <x:c r="B30" s="3947" t="str">
        <x:v>CONFIG</x:v>
      </x:c>
      <x:c r="C30" s="3947" t="str">
        <x:v>ReglaTratamientoTiempo</x:v>
      </x:c>
      <x:c r="D30" s="3950" t="str">
        <x:v>RULE</x:v>
      </x:c>
      <x:c r="E30" s="3947" t="str">
        <x:v>regla_tratamiento_tiempo_id</x:v>
      </x:c>
      <x:c r="F30" s="3947" t="str">
        <x:v>contrato_servicio_id; item_contrato_id?</x:v>
      </x:c>
      <x:c r="G30" s="3947" t="str">
        <x:v>Cómo trata comercialmente cada categoría de tiempo</x:v>
      </x:c>
      <x:c r="H30" s="3947" t="str">
        <x:v>Versionada</x:v>
      </x:c>
      <x:c r="I30" s="3947" t="str">
        <x:v>Contrato/Certificación</x:v>
      </x:c>
      <x:c r="J30" s="3949" t="str">
        <x:v>CONFIG</x:v>
      </x:c>
      <x:c r="K30" s="3947" t="str">
        <x:v>No altera tiempo operacional real.</x:v>
      </x:c>
    </x:row>
    <x:row r="31" ht="62" customHeight="1">
      <x:c r="A31" s="3947" t="str">
        <x:v>27</x:v>
      </x:c>
      <x:c r="B31" s="3947" t="str">
        <x:v>CONFIG</x:v>
      </x:c>
      <x:c r="C31" s="3947" t="str">
        <x:v>ReglaGranoUnidadComercial</x:v>
      </x:c>
      <x:c r="D31" s="3950" t="str">
        <x:v>RULE</x:v>
      </x:c>
      <x:c r="E31" s="3947" t="str">
        <x:v>regla_grano_unidad_comercial_id</x:v>
      </x:c>
      <x:c r="F31" s="3947" t="str">
        <x:v>contrato_servicio_id; item_contrato_id?</x:v>
      </x:c>
      <x:c r="G31" s="3947" t="str">
        <x:v>Grano de creación de UC</x:v>
      </x:c>
      <x:c r="H31" s="3947" t="str">
        <x:v>Versionada</x:v>
      </x:c>
      <x:c r="I31" s="3947" t="str">
        <x:v>Contrato/Certificación</x:v>
      </x:c>
      <x:c r="J31" s="3949" t="str">
        <x:v>CONFIG</x:v>
      </x:c>
      <x:c r="K31" s="3947" t="str">
        <x:v>UE/movimiento/intervención/día/período.</x:v>
      </x:c>
    </x:row>
    <x:row r="32" ht="62" customHeight="1">
      <x:c r="A32" s="3947" t="str">
        <x:v>28</x:v>
      </x:c>
      <x:c r="B32" s="3947" t="str">
        <x:v>CONFIG</x:v>
      </x:c>
      <x:c r="C32" s="3947" t="str">
        <x:v>ReglaAgrupacionCertificacion</x:v>
      </x:c>
      <x:c r="D32" s="3950" t="str">
        <x:v>RULE</x:v>
      </x:c>
      <x:c r="E32" s="3947" t="str">
        <x:v>regla_agrupacion_certificacion_id</x:v>
      </x:c>
      <x:c r="F32" s="3947" t="str">
        <x:v>contrato_servicio_id</x:v>
      </x:c>
      <x:c r="G32" s="3947" t="str">
        <x:v>Cómo agrupar UC en paquetes</x:v>
      </x:c>
      <x:c r="H32" s="3947" t="str">
        <x:v>Versionada</x:v>
      </x:c>
      <x:c r="I32" s="3947" t="str">
        <x:v>Contrato/Certificación</x:v>
      </x:c>
      <x:c r="J32" s="3949" t="str">
        <x:v>CONFIG</x:v>
      </x:c>
      <x:c r="K32" s="3947" t="str">
        <x:v>Pozo/período/ítem/CC/etc.</x:v>
      </x:c>
    </x:row>
    <x:row r="33" ht="62" customHeight="1">
      <x:c r="A33" s="3947" t="str">
        <x:v>29</x:v>
      </x:c>
      <x:c r="B33" s="3947" t="str">
        <x:v>CONFIG</x:v>
      </x:c>
      <x:c r="C33" s="3947" t="str">
        <x:v>ReglaParcialidadCertificacion</x:v>
      </x:c>
      <x:c r="D33" s="3950" t="str">
        <x:v>RULE</x:v>
      </x:c>
      <x:c r="E33" s="3947" t="str">
        <x:v>regla_parcialidad_certificacion_id</x:v>
      </x:c>
      <x:c r="F33" s="3947" t="str">
        <x:v>contrato_servicio_id</x:v>
      </x:c>
      <x:c r="G33" s="3947" t="str">
        <x:v>Si un paquete puede avanzar parcialmente</x:v>
      </x:c>
      <x:c r="H33" s="3947" t="str">
        <x:v>Versionada</x:v>
      </x:c>
      <x:c r="I33" s="3947" t="str">
        <x:v>Contrato/Certificación</x:v>
      </x:c>
      <x:c r="J33" s="3949" t="str">
        <x:v>CONFIG</x:v>
      </x:c>
      <x:c r="K33" s="3947" t="str">
        <x:v>Pendiente contratos.</x:v>
      </x:c>
    </x:row>
    <x:row r="34" ht="62" customHeight="1">
      <x:c r="A34" s="3947" t="str">
        <x:v>30</x:v>
      </x:c>
      <x:c r="B34" s="3947" t="str">
        <x:v>CONFIG</x:v>
      </x:c>
      <x:c r="C34" s="3947" t="str">
        <x:v>ReglaFacturacion</x:v>
      </x:c>
      <x:c r="D34" s="3950" t="str">
        <x:v>RULE</x:v>
      </x:c>
      <x:c r="E34" s="3947" t="str">
        <x:v>regla_facturacion_id</x:v>
      </x:c>
      <x:c r="F34" s="3947" t="str">
        <x:v>contrato_servicio_id</x:v>
      </x:c>
      <x:c r="G34" s="3947" t="str">
        <x:v>Cuándo líneas aceptadas forman lote/factura</x:v>
      </x:c>
      <x:c r="H34" s="3947" t="str">
        <x:v>Versionada</x:v>
      </x:c>
      <x:c r="I34" s="3947" t="str">
        <x:v>Administración</x:v>
      </x:c>
      <x:c r="J34" s="3949" t="str">
        <x:v>CONFIG</x:v>
      </x:c>
      <x:c r="K34" s="3947" t="str">
        <x:v>ERP/fiscal fuera del freeze.</x:v>
      </x:c>
    </x:row>
    <x:row r="35" ht="62" customHeight="1">
      <x:c r="A35" s="3947" t="str">
        <x:v>31</x:v>
      </x:c>
      <x:c r="B35" s="3947" t="str">
        <x:v>CONFIG</x:v>
      </x:c>
      <x:c r="C35" s="3947" t="str">
        <x:v>ReglaInicioEmergente</x:v>
      </x:c>
      <x:c r="D35" s="3950" t="str">
        <x:v>RULE</x:v>
      </x:c>
      <x:c r="E35" s="3947" t="str">
        <x:v>regla_inicio_emergente_id</x:v>
      </x:c>
      <x:c r="F35" s="3947" t="str">
        <x:v>contrato_servicio_id?; tipo_parte_id?</x:v>
      </x:c>
      <x:c r="G35" s="3947" t="str">
        <x:v>Bloqueo vs inicio autorizado con contexto contractual incompleto</x:v>
      </x:c>
      <x:c r="H35" s="3947" t="str">
        <x:v>Versionada</x:v>
      </x:c>
      <x:c r="I35" s="3947" t="str">
        <x:v>Operaciones/Habilita</x:v>
      </x:c>
      <x:c r="J35" s="3949" t="str">
        <x:v>CONFIG</x:v>
      </x:c>
      <x:c r="K35" s="3947" t="str">
        <x:v>gates de Habilita jamás se omiten.</x:v>
      </x:c>
    </x:row>
    <x:row r="36" ht="62" customHeight="1">
      <x:c r="A36" s="3947" t="str">
        <x:v>32</x:v>
      </x:c>
      <x:c r="B36" s="3947" t="str">
        <x:v>CONFIG</x:v>
      </x:c>
      <x:c r="C36" s="3947" t="str">
        <x:v>ReglaEscalamientoHabilita</x:v>
      </x:c>
      <x:c r="D36" s="3950" t="str">
        <x:v>RULE</x:v>
      </x:c>
      <x:c r="E36" s="3947" t="str">
        <x:v>regla_escalamiento_habilita_id</x:v>
      </x:c>
      <x:c r="F36" s="3947" t="str">
        <x:v>tipo_evento_habilita_id?</x:v>
      </x:c>
      <x:c r="G36" s="3947" t="str">
        <x:v>Mapea evento/severidad/contexto a acciones Habilita</x:v>
      </x:c>
      <x:c r="H36" s="3947" t="str">
        <x:v>Versionada</x:v>
      </x:c>
      <x:c r="I36" s="3947" t="str">
        <x:v>Habilita</x:v>
      </x:c>
      <x:c r="J36" s="3949" t="str">
        <x:v>CONFIG</x:v>
      </x:c>
      <x:c r="K36" s="3947" t="str">
        <x:v>Matriz real pendiente.</x:v>
      </x:c>
    </x:row>
    <x:row r="37" ht="62" customHeight="1">
      <x:c r="A37" s="3947" t="str">
        <x:v>33</x:v>
      </x:c>
      <x:c r="B37" s="3947" t="str">
        <x:v>PLAN</x:v>
      </x:c>
      <x:c r="C37" s="3947" t="str">
        <x:v>DemandaOperativa</x:v>
      </x:c>
      <x:c r="D37" s="3948" t="str">
        <x:v>TRANSACTION</x:v>
      </x:c>
      <x:c r="E37" s="3947" t="str">
        <x:v>demanda_operativa_id</x:v>
      </x:c>
      <x:c r="F37" s="3947" t="str">
        <x:v>cliente_id?; contrato_servicio_id?; servicio_id?</x:v>
      </x:c>
      <x:c r="G37" s="3947" t="str">
        <x:v>Necesidad antes de programar recursos</x:v>
      </x:c>
      <x:c r="H37" s="3947" t="str">
        <x:v>Máquina de estados</x:v>
      </x:c>
      <x:c r="I37" s="3947" t="str">
        <x:v>Operaciones/Cliente</x:v>
      </x:c>
      <x:c r="J37" s="3948" t="str">
        <x:v>FROZEN</x:v>
      </x:c>
      <x:c r="K37" s="3947" t="str">
        <x:v>Puede descartarse o convertirse.</x:v>
      </x:c>
    </x:row>
    <x:row r="38" ht="62" customHeight="1">
      <x:c r="A38" s="3947" t="str">
        <x:v>34</x:v>
      </x:c>
      <x:c r="B38" s="3947" t="str">
        <x:v>PLAN</x:v>
      </x:c>
      <x:c r="C38" s="3947" t="str">
        <x:v>Planificacion</x:v>
      </x:c>
      <x:c r="D38" s="3948" t="str">
        <x:v>AGGREGATE</x:v>
      </x:c>
      <x:c r="E38" s="3947" t="str">
        <x:v>planificacion_id</x:v>
      </x:c>
      <x:c r="F38" s="3947" t="str">
        <x:v>—</x:v>
      </x:c>
      <x:c r="G38" s="3947" t="str">
        <x:v>Contenedor de planificación operativa que agrupa asignaciones de una o más demandas</x:v>
      </x:c>
      <x:c r="H38" s="3947" t="str">
        <x:v>Versionada por PlanificacionVersion</x:v>
      </x:c>
      <x:c r="I38" s="3947" t="str">
        <x:v>Planificación</x:v>
      </x:c>
      <x:c r="J38" s="3948" t="str">
        <x:v>FROZEN</x:v>
      </x:c>
      <x:c r="K38" s="3947" t="str">
        <x:v>Puede alimentar 0..N Partes.</x:v>
      </x:c>
    </x:row>
    <x:row r="39" ht="62" customHeight="1">
      <x:c r="A39" s="3947" t="str">
        <x:v>35</x:v>
      </x:c>
      <x:c r="B39" s="3947" t="str">
        <x:v>PLAN</x:v>
      </x:c>
      <x:c r="C39" s="3947" t="str">
        <x:v>PlanificacionVersion</x:v>
      </x:c>
      <x:c r="D39" s="3948" t="str">
        <x:v>VERSION</x:v>
      </x:c>
      <x:c r="E39" s="3947" t="str">
        <x:v>planificacion_version_id</x:v>
      </x:c>
      <x:c r="F39" s="3947" t="str">
        <x:v>planificacion_id</x:v>
      </x:c>
      <x:c r="G39" s="3947" t="str">
        <x:v>Snapshot lógico aprobado de intención</x:v>
      </x:c>
      <x:c r="H39" s="3947" t="str">
        <x:v>Inmutable por versión</x:v>
      </x:c>
      <x:c r="I39" s="3947" t="str">
        <x:v>Planificación</x:v>
      </x:c>
      <x:c r="J39" s="3948" t="str">
        <x:v>FROZEN</x:v>
      </x:c>
      <x:c r="K39" s="3947" t="str">
        <x:v>Fuente de Interface A.</x:v>
      </x:c>
    </x:row>
    <x:row r="40" ht="62" customHeight="1">
      <x:c r="A40" s="3947" t="str">
        <x:v>36</x:v>
      </x:c>
      <x:c r="B40" s="3947" t="str">
        <x:v>PLAN</x:v>
      </x:c>
      <x:c r="C40" s="3947" t="str">
        <x:v>AsignacionPlanificada</x:v>
      </x:c>
      <x:c r="D40" s="3948" t="str">
        <x:v>TRANSACTION</x:v>
      </x:c>
      <x:c r="E40" s="3947" t="str">
        <x:v>asignacion_planificada_id</x:v>
      </x:c>
      <x:c r="F40" s="3947" t="str">
        <x:v>planificacion_version_id; prioridad_operativa_id; tipo_parte_previsto_id?</x:v>
      </x:c>
      <x:c r="G40" s="3947" t="str">
        <x:v>Unidad despachable con ventana/contexto</x:v>
      </x:c>
      <x:c r="H40" s="3947" t="str">
        <x:v>Temporal</x:v>
      </x:c>
      <x:c r="I40" s="3947" t="str">
        <x:v>Planificación</x:v>
      </x:c>
      <x:c r="J40" s="3948" t="str">
        <x:v>FROZEN</x:v>
      </x:c>
      <x:c r="K40" s="3947" t="str">
        <x:v>No es Parte.</x:v>
      </x:c>
    </x:row>
    <x:row r="41" ht="62" customHeight="1">
      <x:c r="A41" s="3947" t="str">
        <x:v>37</x:v>
      </x:c>
      <x:c r="B41" s="3947" t="str">
        <x:v>PLAN</x:v>
      </x:c>
      <x:c r="C41" s="3947" t="str">
        <x:v>UnidadPlanificada</x:v>
      </x:c>
      <x:c r="D41" s="3948" t="str">
        <x:v>TRANSACTION</x:v>
      </x:c>
      <x:c r="E41" s="3947" t="str">
        <x:v>unidad_planificada_id</x:v>
      </x:c>
      <x:c r="F41" s="3947" t="str">
        <x:v>asignacion_planificada_id; demanda_operativa_id; servicio_id; ubicacion_tecnica_id?; activo_intervenido_id?</x:v>
      </x:c>
      <x:c r="G41" s="3947" t="str">
        <x:v>Trabajo previsto comparable con ejecución</x:v>
      </x:c>
      <x:c r="H41" s="3947" t="str">
        <x:v>Temporal/versionada por plan</x:v>
      </x:c>
      <x:c r="I41" s="3947" t="str">
        <x:v>Planificación</x:v>
      </x:c>
      <x:c r="J41" s="3948" t="str">
        <x:v>FROZEN</x:v>
      </x:c>
      <x:c r="K41" s="3947" t="str">
        <x:v>Una Demanda puede dividirse en N unidades; no asumir 1 demanda = 1 planificación.</x:v>
      </x:c>
    </x:row>
    <x:row r="42" ht="62" customHeight="1">
      <x:c r="A42" s="3947" t="str">
        <x:v>38</x:v>
      </x:c>
      <x:c r="B42" s="3947" t="str">
        <x:v>PLAN</x:v>
      </x:c>
      <x:c r="C42" s="3947" t="str">
        <x:v>RequerimientoRecurso</x:v>
      </x:c>
      <x:c r="D42" s="3948" t="str">
        <x:v>CHILD</x:v>
      </x:c>
      <x:c r="E42" s="3947" t="str">
        <x:v>requerimiento_recurso_id</x:v>
      </x:c>
      <x:c r="F42" s="3947" t="str">
        <x:v>unidad_planificada_id; tipo_recurso_id</x:v>
      </x:c>
      <x:c r="G42" s="3947" t="str">
        <x:v>Capacidad requerida sin nominar recurso</x:v>
      </x:c>
      <x:c r="H42" s="3947" t="str">
        <x:v>Temporal</x:v>
      </x:c>
      <x:c r="I42" s="3947" t="str">
        <x:v>Planificación</x:v>
      </x:c>
      <x:c r="J42" s="3948" t="str">
        <x:v>FROZEN</x:v>
      </x:c>
      <x:c r="K42" s="3947" t="str">
        <x:v>Cantidad/rol/atributos.</x:v>
      </x:c>
    </x:row>
    <x:row r="43" ht="62" customHeight="1">
      <x:c r="A43" s="3947" t="str">
        <x:v>39</x:v>
      </x:c>
      <x:c r="B43" s="3947" t="str">
        <x:v>PLAN</x:v>
      </x:c>
      <x:c r="C43" s="3947" t="str">
        <x:v>RequerimientoCompetencia</x:v>
      </x:c>
      <x:c r="D43" s="3948" t="str">
        <x:v>CHILD</x:v>
      </x:c>
      <x:c r="E43" s="3947" t="str">
        <x:v>requerimiento_competencia_id</x:v>
      </x:c>
      <x:c r="F43" s="3947" t="str">
        <x:v>unidad_planificada_id; perfil/competencia_ref</x:v>
      </x:c>
      <x:c r="G43" s="3947" t="str">
        <x:v>Competencia requerida antes de nominar persona</x:v>
      </x:c>
      <x:c r="H43" s="3947" t="str">
        <x:v>Temporal</x:v>
      </x:c>
      <x:c r="I43" s="3947" t="str">
        <x:v>Planificación/Habilita</x:v>
      </x:c>
      <x:c r="J43" s="3948" t="str">
        <x:v>FROZEN</x:v>
      </x:c>
      <x:c r="K43" s="3947" t="str">
        <x:v>No hardcodear persona.</x:v>
      </x:c>
    </x:row>
    <x:row r="44" ht="62" customHeight="1">
      <x:c r="A44" s="3947" t="str">
        <x:v>40</x:v>
      </x:c>
      <x:c r="B44" s="3947" t="str">
        <x:v>PLAN</x:v>
      </x:c>
      <x:c r="C44" s="3947" t="str">
        <x:v>AsignacionPersonaPlanificada</x:v>
      </x:c>
      <x:c r="D44" s="3949" t="str">
        <x:v>BRIDGE</x:v>
      </x:c>
      <x:c r="E44" s="3947" t="str">
        <x:v>asignacion_persona_planificada_id</x:v>
      </x:c>
      <x:c r="F44" s="3947" t="str">
        <x:v>asignacion_planificada_id o unidad_planificada_id; persona_id</x:v>
      </x:c>
      <x:c r="G44" s="3947" t="str">
        <x:v>Persona nominal prevista</x:v>
      </x:c>
      <x:c r="H44" s="3947" t="str">
        <x:v>desde/hasta</x:v>
      </x:c>
      <x:c r="I44" s="3947" t="str">
        <x:v>Planificación</x:v>
      </x:c>
      <x:c r="J44" s="3948" t="str">
        <x:v>FROZEN</x:v>
      </x:c>
      <x:c r="K44" s="3947" t="str">
        <x:v>Opcional si planifica solo capacidad.</x:v>
      </x:c>
    </x:row>
    <x:row r="45" ht="62" customHeight="1">
      <x:c r="A45" s="3947" t="str">
        <x:v>41</x:v>
      </x:c>
      <x:c r="B45" s="3947" t="str">
        <x:v>PLAN</x:v>
      </x:c>
      <x:c r="C45" s="3947" t="str">
        <x:v>AsignacionRecursoPlanificada</x:v>
      </x:c>
      <x:c r="D45" s="3949" t="str">
        <x:v>BRIDGE</x:v>
      </x:c>
      <x:c r="E45" s="3947" t="str">
        <x:v>asignacion_recurso_planificada_id</x:v>
      </x:c>
      <x:c r="F45" s="3947" t="str">
        <x:v>asignacion_planificada_id o unidad_planificada_id; recurso_id</x:v>
      </x:c>
      <x:c r="G45" s="3947" t="str">
        <x:v>Recurso nominal previsto</x:v>
      </x:c>
      <x:c r="H45" s="3947" t="str">
        <x:v>desde/hasta</x:v>
      </x:c>
      <x:c r="I45" s="3947" t="str">
        <x:v>Planificación</x:v>
      </x:c>
      <x:c r="J45" s="3948" t="str">
        <x:v>FROZEN</x:v>
      </x:c>
      <x:c r="K45" s="3947" t="str">
        <x:v>Opcional.</x:v>
      </x:c>
    </x:row>
    <x:row r="46" ht="62" customHeight="1">
      <x:c r="A46" s="3947" t="str">
        <x:v>42</x:v>
      </x:c>
      <x:c r="B46" s="3947" t="str">
        <x:v>PLAN</x:v>
      </x:c>
      <x:c r="C46" s="3947" t="str">
        <x:v>EvaluacionPlanificacion</x:v>
      </x:c>
      <x:c r="D46" s="3948" t="str">
        <x:v>EVENT/SNAPSHOT</x:v>
      </x:c>
      <x:c r="E46" s="3947" t="str">
        <x:v>evaluacion_planificacion_id</x:v>
      </x:c>
      <x:c r="F46" s="3947" t="str">
        <x:v>asignacion_planificada_id; planificacion_version_id</x:v>
      </x:c>
      <x:c r="G46" s="3947" t="str">
        <x:v>Resultado readiness con causas</x:v>
      </x:c>
      <x:c r="H46" s="3947" t="str">
        <x:v>evaluado_at/valido_hasta_at</x:v>
      </x:c>
      <x:c r="I46" s="3947" t="str">
        <x:v>Sistema</x:v>
      </x:c>
      <x:c r="J46" s="3948" t="str">
        <x:v>FROZEN</x:v>
      </x:c>
      <x:c r="K46" s="3947" t="str">
        <x:v>READY es temporal.</x:v>
      </x:c>
    </x:row>
    <x:row r="47" ht="62" customHeight="1">
      <x:c r="A47" s="3947" t="str">
        <x:v>43</x:v>
      </x:c>
      <x:c r="B47" s="3947" t="str">
        <x:v>PLAN</x:v>
      </x:c>
      <x:c r="C47" s="3947" t="str">
        <x:v>EventoInvalidacionReadiness</x:v>
      </x:c>
      <x:c r="D47" s="3948" t="str">
        <x:v>EVENT</x:v>
      </x:c>
      <x:c r="E47" s="3947" t="str">
        <x:v>evento_invalidacion_readiness_id</x:v>
      </x:c>
      <x:c r="F47" s="3947" t="str">
        <x:v>evaluacion_planificacion_id</x:v>
      </x:c>
      <x:c r="G47" s="3947" t="str">
        <x:v>Hecho que invalida evaluación previa</x:v>
      </x:c>
      <x:c r="H47" s="3947" t="str">
        <x:v>Append-only</x:v>
      </x:c>
      <x:c r="I47" s="3947" t="str">
        <x:v>Sistema</x:v>
      </x:c>
      <x:c r="J47" s="3948" t="str">
        <x:v>FROZEN</x:v>
      </x:c>
      <x:c r="K47" s="3947" t="str">
        <x:v>Dispara reevaluación.</x:v>
      </x:c>
    </x:row>
    <x:row r="48" ht="62" customHeight="1">
      <x:c r="A48" s="3947" t="str">
        <x:v>44</x:v>
      </x:c>
      <x:c r="B48" s="3947" t="str">
        <x:v>PLAN</x:v>
      </x:c>
      <x:c r="C48" s="3947" t="str">
        <x:v>VinculoPlanEjecucion</x:v>
      </x:c>
      <x:c r="D48" s="3949" t="str">
        <x:v>BRIDGE</x:v>
      </x:c>
      <x:c r="E48" s="3947" t="str">
        <x:v>vinculo_plan_ejecucion_id</x:v>
      </x:c>
      <x:c r="F48" s="3947" t="str">
        <x:v>unidad_planificada_id?; asignacion_planificada_id?; parte_id?; unidad_ejecucion_id?</x:v>
      </x:c>
      <x:c r="G48" s="3947" t="str">
        <x:v>Mapeo previsto↔real</x:v>
      </x:c>
      <x:c r="H48" s="3947" t="str">
        <x:v>Append-only</x:v>
      </x:c>
      <x:c r="I48" s="3947" t="str">
        <x:v>Sistema</x:v>
      </x:c>
      <x:c r="J48" s="3948" t="str">
        <x:v>FROZEN</x:v>
      </x:c>
      <x:c r="K48" s="3947" t="str">
        <x:v>0..N ↔ 0..N; nunca asumir 1:1.</x:v>
      </x:c>
    </x:row>
    <x:row r="49" ht="62" customHeight="1">
      <x:c r="A49" s="3947" t="str">
        <x:v>45</x:v>
      </x:c>
      <x:c r="B49" s="3947" t="str">
        <x:v>PLAN</x:v>
      </x:c>
      <x:c r="C49" s="3947" t="str">
        <x:v>DirectivaOperativa</x:v>
      </x:c>
      <x:c r="D49" s="3948" t="str">
        <x:v>EVENT</x:v>
      </x:c>
      <x:c r="E49" s="3947" t="str">
        <x:v>directiva_operativa_id</x:v>
      </x:c>
      <x:c r="F49" s="3947" t="str">
        <x:v>tipo_directiva_operativa_id</x:v>
      </x:c>
      <x:c r="G49" s="3947" t="str">
        <x:v>Instrucción posterior al despacho</x:v>
      </x:c>
      <x:c r="H49" s="3947" t="str">
        <x:v>emitida/recibida/ack/aplicada</x:v>
      </x:c>
      <x:c r="I49" s="3947" t="str">
        <x:v>Planificación/Supervisión/Habilita</x:v>
      </x:c>
      <x:c r="J49" s="3948" t="str">
        <x:v>FROZEN</x:v>
      </x:c>
      <x:c r="K49" s="3947" t="str">
        <x:v>No muta snapshot.</x:v>
      </x:c>
    </x:row>
    <x:row r="50" ht="62" customHeight="1">
      <x:c r="A50" s="3947" t="str">
        <x:v>46</x:v>
      </x:c>
      <x:c r="B50" s="3947" t="str">
        <x:v>PLAN</x:v>
      </x:c>
      <x:c r="C50" s="3947" t="str">
        <x:v>DirectivaOperativaObjetivo</x:v>
      </x:c>
      <x:c r="D50" s="3949" t="str">
        <x:v>BRIDGE</x:v>
      </x:c>
      <x:c r="E50" s="3947" t="str">
        <x:v>directiva_operativa_objetivo_id</x:v>
      </x:c>
      <x:c r="F50" s="3947" t="str">
        <x:v>directiva_operativa_id; target_ref</x:v>
      </x:c>
      <x:c r="G50" s="3947" t="str">
        <x:v>Scope de una directiva sobre plan/Parte/UE</x:v>
      </x:c>
      <x:c r="H50" s="3947" t="str">
        <x:v>Append-only</x:v>
      </x:c>
      <x:c r="I50" s="3947" t="str">
        <x:v>Sistema</x:v>
      </x:c>
      <x:c r="J50" s="3948" t="str">
        <x:v>FROZEN</x:v>
      </x:c>
      <x:c r="K50" s="3947" t="str">
        <x:v>Implementación física debe tipar target.</x:v>
      </x:c>
    </x:row>
    <x:row r="51" ht="62" customHeight="1">
      <x:c r="A51" s="3947" t="str">
        <x:v>47</x:v>
      </x:c>
      <x:c r="B51" s="3947" t="str">
        <x:v>PLAN</x:v>
      </x:c>
      <x:c r="C51" s="3947" t="str">
        <x:v>ExecutionContextBundle</x:v>
      </x:c>
      <x:c r="D51" s="3944" t="str">
        <x:v>PROJECTION</x:v>
      </x:c>
      <x:c r="E51" s="3947" t="str">
        <x:v>execution_context_bundle_id</x:v>
      </x:c>
      <x:c r="F51" s="3947" t="str">
        <x:v>planificacion_version_id; persona/perfil scope</x:v>
      </x:c>
      <x:c r="G51" s="3947" t="str">
        <x:v>Cache/proyección offline mínima</x:v>
      </x:c>
      <x:c r="H51" s="3947" t="str">
        <x:v>versionado + valid_until</x:v>
      </x:c>
      <x:c r="I51" s="3947" t="str">
        <x:v>Backend</x:v>
      </x:c>
      <x:c r="J51" s="3944" t="str">
        <x:v>NOT SOT</x:v>
      </x:c>
      <x:c r="K51" s="3947" t="str">
        <x:v>No es nueva verdad de negocio.</x:v>
      </x:c>
    </x:row>
    <x:row r="52" ht="62" customHeight="1">
      <x:c r="A52" s="3947" t="str">
        <x:v>48</x:v>
      </x:c>
      <x:c r="B52" s="3947" t="str">
        <x:v>EXEC</x:v>
      </x:c>
      <x:c r="C52" s="3947" t="str">
        <x:v>Parte</x:v>
      </x:c>
      <x:c r="D52" s="3948" t="str">
        <x:v>AGGREGATE</x:v>
      </x:c>
      <x:c r="E52" s="3947" t="str">
        <x:v>parte_id</x:v>
      </x:c>
      <x:c r="F52" s="3947" t="str">
        <x:v>tipo_parte_id; cliente_id/contexto; asignacion_planificada_id?</x:v>
      </x:c>
      <x:c r="G52" s="3947" t="str">
        <x:v>Contenedor operativo según TipoParte</x:v>
      </x:c>
      <x:c r="H52" s="3947" t="str">
        <x:v>Máquina de estados</x:v>
      </x:c>
      <x:c r="I52" s="3947" t="str">
        <x:v>Ejecución</x:v>
      </x:c>
      <x:c r="J52" s="3948" t="str">
        <x:v>FROZEN</x:v>
      </x:c>
      <x:c r="K52" s="3947" t="str">
        <x:v>Work package/turno/asignación según TP.</x:v>
      </x:c>
    </x:row>
    <x:row r="53" ht="62" customHeight="1">
      <x:c r="A53" s="3947" t="str">
        <x:v>49</x:v>
      </x:c>
      <x:c r="B53" s="3947" t="str">
        <x:v>EXEC</x:v>
      </x:c>
      <x:c r="C53" s="3947" t="str">
        <x:v>UnidadEjecucion</x:v>
      </x:c>
      <x:c r="D53" s="3948" t="str">
        <x:v>TRANSACTION</x:v>
      </x:c>
      <x:c r="E53" s="3947" t="str">
        <x:v>unidad_ejecucion_id</x:v>
      </x:c>
      <x:c r="F53" s="3947" t="str">
        <x:v>parte_id; servicio_id; actividad_id?; activo_intervenido_id?</x:v>
      </x:c>
      <x:c r="G53" s="3947" t="str">
        <x:v>Grano operativo distinguible dentro del Parte</x:v>
      </x:c>
      <x:c r="H53" s="3947" t="str">
        <x:v>inicio/fin + estado</x:v>
      </x:c>
      <x:c r="I53" s="3947" t="str">
        <x:v>Ejecución</x:v>
      </x:c>
      <x:c r="J53" s="3948" t="str">
        <x:v>FROZEN</x:v>
      </x:c>
      <x:c r="K53" s="3947" t="str">
        <x:v>1 Parte → 1..N UE.</x:v>
      </x:c>
    </x:row>
    <x:row r="54" ht="62" customHeight="1">
      <x:c r="A54" s="3947" t="str">
        <x:v>50</x:v>
      </x:c>
      <x:c r="B54" s="3947" t="str">
        <x:v>EXEC</x:v>
      </x:c>
      <x:c r="C54" s="3947" t="str">
        <x:v>AsignacionPersonaEjecucion</x:v>
      </x:c>
      <x:c r="D54" s="3949" t="str">
        <x:v>BRIDGE/TEMPORAL</x:v>
      </x:c>
      <x:c r="E54" s="3947" t="str">
        <x:v>asignacion_persona_ejecucion_id</x:v>
      </x:c>
      <x:c r="F54" s="3947" t="str">
        <x:v>parte_id; unidad_ejecucion_id?; persona_id; rol_persona_ejecucion_id</x:v>
      </x:c>
      <x:c r="G54" s="3947" t="str">
        <x:v>Participación real de persona</x:v>
      </x:c>
      <x:c r="H54" s="3947" t="str">
        <x:v>desde/hasta</x:v>
      </x:c>
      <x:c r="I54" s="3947" t="str">
        <x:v>Ejecución</x:v>
      </x:c>
      <x:c r="J54" s="3948" t="str">
        <x:v>FROZEN</x:v>
      </x:c>
      <x:c r="K54" s="3947" t="str">
        <x:v>Handover/reemplazo.</x:v>
      </x:c>
    </x:row>
    <x:row r="55" ht="62" customHeight="1">
      <x:c r="A55" s="3947" t="str">
        <x:v>51</x:v>
      </x:c>
      <x:c r="B55" s="3947" t="str">
        <x:v>EXEC</x:v>
      </x:c>
      <x:c r="C55" s="3947" t="str">
        <x:v>AsignacionRecursoEjecucion</x:v>
      </x:c>
      <x:c r="D55" s="3949" t="str">
        <x:v>BRIDGE/TEMPORAL</x:v>
      </x:c>
      <x:c r="E55" s="3947" t="str">
        <x:v>asignacion_recurso_ejecucion_id</x:v>
      </x:c>
      <x:c r="F55" s="3947" t="str">
        <x:v>parte_id; unidad_ejecucion_id?; recurso_id; rol_recurso_ejecucion_id</x:v>
      </x:c>
      <x:c r="G55" s="3947" t="str">
        <x:v>Participación real de recurso</x:v>
      </x:c>
      <x:c r="H55" s="3947" t="str">
        <x:v>desde/hasta</x:v>
      </x:c>
      <x:c r="I55" s="3947" t="str">
        <x:v>Ejecución</x:v>
      </x:c>
      <x:c r="J55" s="3948" t="str">
        <x:v>FROZEN</x:v>
      </x:c>
      <x:c r="K55" s="3947" t="str">
        <x:v>Apoyo vs principal.</x:v>
      </x:c>
    </x:row>
    <x:row r="56" ht="62" customHeight="1">
      <x:c r="A56" s="3947" t="str">
        <x:v>52</x:v>
      </x:c>
      <x:c r="B56" s="3947" t="str">
        <x:v>EXEC</x:v>
      </x:c>
      <x:c r="C56" s="3947" t="str">
        <x:v>EjecucionUbicacion</x:v>
      </x:c>
      <x:c r="D56" s="3949" t="str">
        <x:v>BRIDGE</x:v>
      </x:c>
      <x:c r="E56" s="3947" t="str">
        <x:v>ejecucion_ubicacion_id</x:v>
      </x:c>
      <x:c r="F56" s="3947" t="str">
        <x:v>unidad_ejecucion_id; ubicacion_tecnica_id; rol_ubicacion</x:v>
      </x:c>
      <x:c r="G56" s="3947" t="str">
        <x:v>Ubicaciones/roles de una UE</x:v>
      </x:c>
      <x:c r="H56" s="3947" t="str">
        <x:v>Temporal opcional</x:v>
      </x:c>
      <x:c r="I56" s="3947" t="str">
        <x:v>Ejecución</x:v>
      </x:c>
      <x:c r="J56" s="3948" t="str">
        <x:v>FROZEN</x:v>
      </x:c>
      <x:c r="K56" s="3947" t="str">
        <x:v>Principal/origen/destino/carga/descarga.</x:v>
      </x:c>
    </x:row>
    <x:row r="57" ht="62" customHeight="1">
      <x:c r="A57" s="3947" t="str">
        <x:v>53</x:v>
      </x:c>
      <x:c r="B57" s="3947" t="str">
        <x:v>EXEC</x:v>
      </x:c>
      <x:c r="C57" s="3947" t="str">
        <x:v>EjecucionMedicion</x:v>
      </x:c>
      <x:c r="D57" s="3948" t="str">
        <x:v>CHILD</x:v>
      </x:c>
      <x:c r="E57" s="3947" t="str">
        <x:v>ejecucion_medicion_id</x:v>
      </x:c>
      <x:c r="F57" s="3947" t="str">
        <x:v>unidad_ejecucion_id; metrica_id; unidad_medida_id?</x:v>
      </x:c>
      <x:c r="G57" s="3947" t="str">
        <x:v>Medición operacional base</x:v>
      </x:c>
      <x:c r="H57" s="3947" t="str">
        <x:v>Timestamp/período</x:v>
      </x:c>
      <x:c r="I57" s="3947" t="str">
        <x:v>Ejecución</x:v>
      </x:c>
      <x:c r="J57" s="3948" t="str">
        <x:v>FROZEN</x:v>
      </x:c>
      <x:c r="K57" s="3947" t="str">
        <x:v>No es cantidad certificada.</x:v>
      </x:c>
    </x:row>
    <x:row r="58" ht="62" customHeight="1">
      <x:c r="A58" s="3947" t="str">
        <x:v>54</x:v>
      </x:c>
      <x:c r="B58" s="3947" t="str">
        <x:v>EXEC</x:v>
      </x:c>
      <x:c r="C58" s="3947" t="str">
        <x:v>EventoTiempo</x:v>
      </x:c>
      <x:c r="D58" s="3948" t="str">
        <x:v>EVENT</x:v>
      </x:c>
      <x:c r="E58" s="3947" t="str">
        <x:v>evento_tiempo_id</x:v>
      </x:c>
      <x:c r="F58" s="3947" t="str">
        <x:v>parte_id; unidad_ejecucion_id?; tipo_evento_tiempo_id</x:v>
      </x:c>
      <x:c r="G58" s="3947" t="str">
        <x:v>Intervalo temporal dentro de una ejecución</x:v>
      </x:c>
      <x:c r="H58" s="3947" t="str">
        <x:v>inicio/fin</x:v>
      </x:c>
      <x:c r="I58" s="3947" t="str">
        <x:v>Ejecución</x:v>
      </x:c>
      <x:c r="J58" s="3948" t="str">
        <x:v>FROZEN</x:v>
      </x:c>
      <x:c r="K58" s="3947" t="str">
        <x:v>Traslado/standby/espera/etc.</x:v>
      </x:c>
    </x:row>
    <x:row r="59" ht="62" customHeight="1">
      <x:c r="A59" s="3947" t="str">
        <x:v>55</x:v>
      </x:c>
      <x:c r="B59" s="3947" t="str">
        <x:v>EXEC</x:v>
      </x:c>
      <x:c r="C59" s="3947" t="str">
        <x:v>EventoOperativo</x:v>
      </x:c>
      <x:c r="D59" s="3948" t="str">
        <x:v>EVENT</x:v>
      </x:c>
      <x:c r="E59" s="3947" t="str">
        <x:v>evento_operativo_id</x:v>
      </x:c>
      <x:c r="F59" s="3947" t="str">
        <x:v>parte_id; unidad_ejecucion_id?; tipo_evento_operativo_id</x:v>
      </x:c>
      <x:c r="G59" s="3947" t="str">
        <x:v>Desvío/cambio operacional estructurado</x:v>
      </x:c>
      <x:c r="H59" s="3947" t="str">
        <x:v>evento_at</x:v>
      </x:c>
      <x:c r="I59" s="3947" t="str">
        <x:v>Ejecución</x:v>
      </x:c>
      <x:c r="J59" s="3948" t="str">
        <x:v>FROZEN</x:v>
      </x:c>
      <x:c r="K59" s="3947" t="str">
        <x:v>Puede disparar regla de corte.</x:v>
      </x:c>
    </x:row>
    <x:row r="60" ht="62" customHeight="1">
      <x:c r="A60" s="3947" t="str">
        <x:v>56</x:v>
      </x:c>
      <x:c r="B60" s="3947" t="str">
        <x:v>EXEC</x:v>
      </x:c>
      <x:c r="C60" s="3947" t="str">
        <x:v>TransicionOperativa</x:v>
      </x:c>
      <x:c r="D60" s="3949" t="str">
        <x:v>EVENT/BRIDGE</x:v>
      </x:c>
      <x:c r="E60" s="3947" t="str">
        <x:v>transicion_operativa_id</x:v>
      </x:c>
      <x:c r="F60" s="3947" t="str">
        <x:v>origen_unidad_ejecucion_id?; destino_unidad_ejecucion_id?</x:v>
      </x:c>
      <x:c r="G60" s="3947" t="str">
        <x:v>Tiempo/continuidad entre ejecuciones/work packages</x:v>
      </x:c>
      <x:c r="H60" s="3947" t="str">
        <x:v>inicio/fin</x:v>
      </x:c>
      <x:c r="I60" s="3947" t="str">
        <x:v>Ejecución</x:v>
      </x:c>
      <x:c r="J60" s="3948" t="str">
        <x:v>FROZEN</x:v>
      </x:c>
      <x:c r="K60" s="3947" t="str">
        <x:v>Evita tiempo huérfano.</x:v>
      </x:c>
    </x:row>
    <x:row r="61" ht="62" customHeight="1">
      <x:c r="A61" s="3947" t="str">
        <x:v>57</x:v>
      </x:c>
      <x:c r="B61" s="3947" t="str">
        <x:v>EXEC</x:v>
      </x:c>
      <x:c r="C61" s="3947" t="str">
        <x:v>ImputacionEjecucion</x:v>
      </x:c>
      <x:c r="D61" s="3948" t="str">
        <x:v>CHILD</x:v>
      </x:c>
      <x:c r="E61" s="3947" t="str">
        <x:v>imputacion_ejecucion_id</x:v>
      </x:c>
      <x:c r="F61" s="3947" t="str">
        <x:v>unidad_ejecucion_id; contrato_servicio_id?; centro_costo_id?; item_contrato_id?</x:v>
      </x:c>
      <x:c r="G61" s="3947" t="str">
        <x:v>Contexto de imputación de una UE</x:v>
      </x:c>
      <x:c r="H61" s="3947" t="str">
        <x:v>Temporal/versionada si cambia</x:v>
      </x:c>
      <x:c r="I61" s="3947" t="str">
        <x:v>Ejecución/Motor contractual</x:v>
      </x:c>
      <x:c r="J61" s="3948" t="str">
        <x:v>FROZEN</x:v>
      </x:c>
      <x:c r="K61" s="3947" t="str">
        <x:v>Puede quedar contractual PENDIENTE.</x:v>
      </x:c>
    </x:row>
    <x:row r="62" ht="62" customHeight="1">
      <x:c r="A62" s="3947" t="str">
        <x:v>58</x:v>
      </x:c>
      <x:c r="B62" s="3947" t="str">
        <x:v>EXEC</x:v>
      </x:c>
      <x:c r="C62" s="3947" t="str">
        <x:v>DisponibilidadRecurso</x:v>
      </x:c>
      <x:c r="D62" s="3948" t="str">
        <x:v>EVENT/TEMPORAL</x:v>
      </x:c>
      <x:c r="E62" s="3947" t="str">
        <x:v>disponibilidad_recurso_id</x:v>
      </x:c>
      <x:c r="F62" s="3947" t="str">
        <x:v>recurso_id; estado_disponibilidad_recurso_id</x:v>
      </x:c>
      <x:c r="G62" s="3947" t="str">
        <x:v>Estado operativo/técnico del recurso</x:v>
      </x:c>
      <x:c r="H62" s="3947" t="str">
        <x:v>desde/hasta</x:v>
      </x:c>
      <x:c r="I62" s="3947" t="str">
        <x:v>Flota</x:v>
      </x:c>
      <x:c r="J62" s="3948" t="str">
        <x:v>FROZEN</x:v>
      </x:c>
      <x:c r="K62" s="3947" t="str">
        <x:v>No reemplaza documental.</x:v>
      </x:c>
    </x:row>
    <x:row r="63" ht="62" customHeight="1">
      <x:c r="A63" s="3947" t="str">
        <x:v>59</x:v>
      </x:c>
      <x:c r="B63" s="3947" t="str">
        <x:v>EXEC</x:v>
      </x:c>
      <x:c r="C63" s="3947" t="str">
        <x:v>ConflictoTemporal</x:v>
      </x:c>
      <x:c r="D63" s="3944" t="str">
        <x:v>DERIVED/EVENT</x:v>
      </x:c>
      <x:c r="E63" s="3947" t="str">
        <x:v>conflicto_temporal_id</x:v>
      </x:c>
      <x:c r="F63" s="3947" t="str">
        <x:v>persona_id?; recurso_id?; assignments refs</x:v>
      </x:c>
      <x:c r="G63" s="3947" t="str">
        <x:v>Solapamiento detectado</x:v>
      </x:c>
      <x:c r="H63" s="3947" t="str">
        <x:v>Calculado al evento/ventana</x:v>
      </x:c>
      <x:c r="I63" s="3947" t="str">
        <x:v>Sistema</x:v>
      </x:c>
      <x:c r="J63" s="3944" t="str">
        <x:v>DERIVED</x:v>
      </x:c>
      <x:c r="K63" s="3947" t="str">
        <x:v>Puede block/warn/override.</x:v>
      </x:c>
    </x:row>
    <x:row r="64" ht="62" customHeight="1">
      <x:c r="A64" s="3947" t="str">
        <x:v>60</x:v>
      </x:c>
      <x:c r="B64" s="3947" t="str">
        <x:v>EXEC</x:v>
      </x:c>
      <x:c r="C64" s="3947" t="str">
        <x:v>Evidencia</x:v>
      </x:c>
      <x:c r="D64" s="3948" t="str">
        <x:v>DOCUMENT/EVENT</x:v>
      </x:c>
      <x:c r="E64" s="3947" t="str">
        <x:v>evidencia_id</x:v>
      </x:c>
      <x:c r="F64" s="3947" t="str">
        <x:v>actor_evidencia_id?; tipo_evidencia_id</x:v>
      </x:c>
      <x:c r="G64" s="3947" t="str">
        <x:v>Contenido verificable independiente</x:v>
      </x:c>
      <x:c r="H64" s="3947" t="str">
        <x:v>evidencia_at</x:v>
      </x:c>
      <x:c r="I64" s="3947" t="str">
        <x:v>Campo/Sistema</x:v>
      </x:c>
      <x:c r="J64" s="3948" t="str">
        <x:v>FROZEN</x:v>
      </x:c>
      <x:c r="K64" s="3947" t="str">
        <x:v>Firma/foto/archivo/hash.</x:v>
      </x:c>
    </x:row>
    <x:row r="65" ht="62" customHeight="1">
      <x:c r="A65" s="3947" t="str">
        <x:v>61</x:v>
      </x:c>
      <x:c r="B65" s="3947" t="str">
        <x:v>EXEC</x:v>
      </x:c>
      <x:c r="C65" s="3947" t="str">
        <x:v>EvidenciaVinculo</x:v>
      </x:c>
      <x:c r="D65" s="3949" t="str">
        <x:v>BRIDGE</x:v>
      </x:c>
      <x:c r="E65" s="3947" t="str">
        <x:v>evidencia_vinculo_id</x:v>
      </x:c>
      <x:c r="F65" s="3947" t="str">
        <x:v>evidencia_id; target_ref</x:v>
      </x:c>
      <x:c r="G65" s="3947" t="str">
        <x:v>Objeto/scope validado por evidencia</x:v>
      </x:c>
      <x:c r="H65" s="3947" t="str">
        <x:v>Append-only</x:v>
      </x:c>
      <x:c r="I65" s="3947" t="str">
        <x:v>Sistema</x:v>
      </x:c>
      <x:c r="J65" s="3944" t="str">
        <x:v>FROZEN LOGIC</x:v>
      </x:c>
      <x:c r="K65" s="3947" t="str">
        <x:v>Implementar con asociaciones tipadas.</x:v>
      </x:c>
    </x:row>
    <x:row r="66" ht="62" customHeight="1">
      <x:c r="A66" s="3947" t="str">
        <x:v>62</x:v>
      </x:c>
      <x:c r="B66" s="3947" t="str">
        <x:v>HABILITA</x:v>
      </x:c>
      <x:c r="C66" s="3947" t="str">
        <x:v>EvaluacionHabilitacion</x:v>
      </x:c>
      <x:c r="D66" s="3948" t="str">
        <x:v>SNAPSHOT</x:v>
      </x:c>
      <x:c r="E66" s="3947" t="str">
        <x:v>evaluacion_habilitacion_id</x:v>
      </x:c>
      <x:c r="F66" s="3947" t="str">
        <x:v>requisito/cumplimiento refs; plan/parte/UE scope</x:v>
      </x:c>
      <x:c r="G66" s="3947" t="str">
        <x:v>Resultado habilita/advierte/bloquea</x:v>
      </x:c>
      <x:c r="H66" s="3947" t="str">
        <x:v>Timestamp</x:v>
      </x:c>
      <x:c r="I66" s="3947" t="str">
        <x:v>Sistema</x:v>
      </x:c>
      <x:c r="J66" s="3948" t="str">
        <x:v>FROZEN</x:v>
      </x:c>
      <x:c r="K66" s="3947" t="str">
        <x:v>Precheck e inicio real.</x:v>
      </x:c>
    </x:row>
    <x:row r="67" ht="62" customHeight="1">
      <x:c r="A67" s="3947" t="str">
        <x:v>63</x:v>
      </x:c>
      <x:c r="B67" s="3947" t="str">
        <x:v>HABILITA</x:v>
      </x:c>
      <x:c r="C67" s="3947" t="str">
        <x:v>OverrideGate</x:v>
      </x:c>
      <x:c r="D67" s="3948" t="str">
        <x:v>EVENT</x:v>
      </x:c>
      <x:c r="E67" s="3947" t="str">
        <x:v>override_gate_id</x:v>
      </x:c>
      <x:c r="F67" s="3947" t="str">
        <x:v>evaluacion_habilitacion_id?; gate_ref; actor_autorizador_id</x:v>
      </x:c>
      <x:c r="G67" s="3947" t="str">
        <x:v>Decisión explícita de continuar ante warning overrideable</x:v>
      </x:c>
      <x:c r="H67" s="3947" t="str">
        <x:v>Append-only</x:v>
      </x:c>
      <x:c r="I67" s="3947" t="str">
        <x:v>Rol autorizado</x:v>
      </x:c>
      <x:c r="J67" s="3948" t="str">
        <x:v>FROZEN</x:v>
      </x:c>
      <x:c r="K67" s="3947" t="str">
        <x:v>Hard block no override por default.</x:v>
      </x:c>
    </x:row>
    <x:row r="68" ht="62" customHeight="1">
      <x:c r="A68" s="3947" t="str">
        <x:v>64</x:v>
      </x:c>
      <x:c r="B68" s="3947" t="str">
        <x:v>HABILITA</x:v>
      </x:c>
      <x:c r="C68" s="3947" t="str">
        <x:v>PermisoTrabajo</x:v>
      </x:c>
      <x:c r="D68" s="3948" t="str">
        <x:v>TRANSACTION</x:v>
      </x:c>
      <x:c r="E68" s="3947" t="str">
        <x:v>permiso_trabajo_id</x:v>
      </x:c>
      <x:c r="F68" s="3947" t="str">
        <x:v>tipo_permiso_id; ubicacion/alcance refs</x:v>
      </x:c>
      <x:c r="G68" s="3947" t="str">
        <x:v>Autorización Habilita formal independiente</x:v>
      </x:c>
      <x:c r="H68" s="3947" t="str">
        <x:v>vigencia/apertura/suspensión/cierre</x:v>
      </x:c>
      <x:c r="I68" s="3947" t="str">
        <x:v>Habilita/Supervisión</x:v>
      </x:c>
      <x:c r="J68" s="3948" t="str">
        <x:v>FROZEN</x:v>
      </x:c>
      <x:c r="K68" s="3947" t="str">
        <x:v>0..N por intervención.</x:v>
      </x:c>
    </x:row>
    <x:row r="69" ht="62" customHeight="1">
      <x:c r="A69" s="3947" t="str">
        <x:v>65</x:v>
      </x:c>
      <x:c r="B69" s="3947" t="str">
        <x:v>HABILITA</x:v>
      </x:c>
      <x:c r="C69" s="3947" t="str">
        <x:v>PermisoTrabajoUnidadEjecucion</x:v>
      </x:c>
      <x:c r="D69" s="3949" t="str">
        <x:v>BRIDGE</x:v>
      </x:c>
      <x:c r="E69" s="3947" t="str">
        <x:v>permiso_trabajo_unidad_ejecucion_id</x:v>
      </x:c>
      <x:c r="F69" s="3947" t="str">
        <x:v>permiso_trabajo_id; unidad_ejecucion_id</x:v>
      </x:c>
      <x:c r="G69" s="3947" t="str">
        <x:v>Cobertura de PTW sobre UE</x:v>
      </x:c>
      <x:c r="H69" s="3947" t="str">
        <x:v>Temporal/alcance</x:v>
      </x:c>
      <x:c r="I69" s="3947" t="str">
        <x:v>Habilita</x:v>
      </x:c>
      <x:c r="J69" s="3948" t="str">
        <x:v>FROZEN</x:v>
      </x:c>
      <x:c r="K69" s="3947" t="str">
        <x:v>N:M.</x:v>
      </x:c>
    </x:row>
    <x:row r="70" ht="62" customHeight="1">
      <x:c r="A70" s="3947" t="str">
        <x:v>66</x:v>
      </x:c>
      <x:c r="B70" s="3947" t="str">
        <x:v>EXEC</x:v>
      </x:c>
      <x:c r="C70" s="3947" t="str">
        <x:v>EnmiendaOperativa</x:v>
      </x:c>
      <x:c r="D70" s="3948" t="str">
        <x:v>EVENT/VERSION</x:v>
      </x:c>
      <x:c r="E70" s="3947" t="str">
        <x:v>enmienda_operativa_id</x:v>
      </x:c>
      <x:c r="F70" s="3947" t="str">
        <x:v>target operativo/version anterior; actor/aprobador</x:v>
      </x:c>
      <x:c r="G70" s="3947" t="str">
        <x:v>Corrección de error real sin borrar historia</x:v>
      </x:c>
      <x:c r="H70" s="3947" t="str">
        <x:v>Append-only</x:v>
      </x:c>
      <x:c r="I70" s="3947" t="str">
        <x:v>Supervisión</x:v>
      </x:c>
      <x:c r="J70" s="3948" t="str">
        <x:v>FROZEN</x:v>
      </x:c>
      <x:c r="K70" s="3947" t="str">
        <x:v>Genera nueva verdad/version.</x:v>
      </x:c>
    </x:row>
    <x:row r="71" ht="62" customHeight="1">
      <x:c r="A71" s="3947" t="str">
        <x:v>67</x:v>
      </x:c>
      <x:c r="B71" s="3947" t="str">
        <x:v>HABILITA</x:v>
      </x:c>
      <x:c r="C71" s="3947" t="str">
        <x:v>EventoHabilita</x:v>
      </x:c>
      <x:c r="D71" s="3948" t="str">
        <x:v>EVENT</x:v>
      </x:c>
      <x:c r="E71" s="3947" t="str">
        <x:v>evento_habilita_id</x:v>
      </x:c>
      <x:c r="F71" s="3947" t="str">
        <x:v>ubicacion_habilita_id?; tipo_evento_habilita_id</x:v>
      </x:c>
      <x:c r="G71" s="3947" t="str">
        <x:v>Ocurrencia Habilita independiente</x:v>
      </x:c>
      <x:c r="H71" s="3947" t="str">
        <x:v>ocurrido/detectado/reportado</x:v>
      </x:c>
      <x:c r="I71" s="3947" t="str">
        <x:v>Campo/Habilita</x:v>
      </x:c>
      <x:c r="J71" s="3948" t="str">
        <x:v>FROZEN</x:v>
      </x:c>
      <x:c r="K71" s="3947" t="str">
        <x:v>Puede existir standalone.</x:v>
      </x:c>
    </x:row>
    <x:row r="72" ht="62" customHeight="1">
      <x:c r="A72" s="3947" t="str">
        <x:v>68</x:v>
      </x:c>
      <x:c r="B72" s="3947" t="str">
        <x:v>HABILITA</x:v>
      </x:c>
      <x:c r="C72" s="3947" t="str">
        <x:v>EventoHabilitaUnidadEjecucion</x:v>
      </x:c>
      <x:c r="D72" s="3949" t="str">
        <x:v>BRIDGE</x:v>
      </x:c>
      <x:c r="E72" s="3947" t="str">
        <x:v>evento_habilita_unidad_ejecucion_id</x:v>
      </x:c>
      <x:c r="F72" s="3947" t="str">
        <x:v>evento_habilita_id; unidad_ejecucion_id</x:v>
      </x:c>
      <x:c r="G72" s="3947" t="str">
        <x:v>UE vinculada/origen/afectada</x:v>
      </x:c>
      <x:c r="H72" s="3947" t="str">
        <x:v>Append-only</x:v>
      </x:c>
      <x:c r="I72" s="3947" t="str">
        <x:v>Habilita</x:v>
      </x:c>
      <x:c r="J72" s="3948" t="str">
        <x:v>FROZEN</x:v>
      </x:c>
      <x:c r="K72" s="3947" t="str">
        <x:v>N:M.</x:v>
      </x:c>
    </x:row>
    <x:row r="73" ht="62" customHeight="1">
      <x:c r="A73" s="3947" t="str">
        <x:v>69</x:v>
      </x:c>
      <x:c r="B73" s="3947" t="str">
        <x:v>HABILITA</x:v>
      </x:c>
      <x:c r="C73" s="3947" t="str">
        <x:v>EventoHabilitaPersona</x:v>
      </x:c>
      <x:c r="D73" s="3949" t="str">
        <x:v>BRIDGE</x:v>
      </x:c>
      <x:c r="E73" s="3947" t="str">
        <x:v>evento_habilita_persona_id</x:v>
      </x:c>
      <x:c r="F73" s="3947" t="str">
        <x:v>evento_habilita_id; persona_id; rol</x:v>
      </x:c>
      <x:c r="G73" s="3947" t="str">
        <x:v>Persona afectada/involucrada/testigo</x:v>
      </x:c>
      <x:c r="H73" s="3947" t="str">
        <x:v>Append-only</x:v>
      </x:c>
      <x:c r="I73" s="3947" t="str">
        <x:v>Habilita</x:v>
      </x:c>
      <x:c r="J73" s="3948" t="str">
        <x:v>FROZEN</x:v>
      </x:c>
      <x:c r="K73" s="3947" t="str">
        <x:v>N:M.</x:v>
      </x:c>
    </x:row>
    <x:row r="74" ht="62" customHeight="1">
      <x:c r="A74" s="3947" t="str">
        <x:v>70</x:v>
      </x:c>
      <x:c r="B74" s="3947" t="str">
        <x:v>HABILITA</x:v>
      </x:c>
      <x:c r="C74" s="3947" t="str">
        <x:v>EventoHabilitaRecurso</x:v>
      </x:c>
      <x:c r="D74" s="3949" t="str">
        <x:v>BRIDGE</x:v>
      </x:c>
      <x:c r="E74" s="3947" t="str">
        <x:v>evento_habilita_recurso_id</x:v>
      </x:c>
      <x:c r="F74" s="3947" t="str">
        <x:v>evento_habilita_id; recurso_id; rol</x:v>
      </x:c>
      <x:c r="G74" s="3947" t="str">
        <x:v>Recurso vinculado</x:v>
      </x:c>
      <x:c r="H74" s="3947" t="str">
        <x:v>Append-only</x:v>
      </x:c>
      <x:c r="I74" s="3947" t="str">
        <x:v>Habilita</x:v>
      </x:c>
      <x:c r="J74" s="3948" t="str">
        <x:v>FROZEN</x:v>
      </x:c>
      <x:c r="K74" s="3947" t="str">
        <x:v>N:M.</x:v>
      </x:c>
    </x:row>
    <x:row r="75" ht="62" customHeight="1">
      <x:c r="A75" s="3947" t="str">
        <x:v>71</x:v>
      </x:c>
      <x:c r="B75" s="3947" t="str">
        <x:v>HABILITA</x:v>
      </x:c>
      <x:c r="C75" s="3947" t="str">
        <x:v>EventoHabilitaPermiso</x:v>
      </x:c>
      <x:c r="D75" s="3949" t="str">
        <x:v>BRIDGE</x:v>
      </x:c>
      <x:c r="E75" s="3947" t="str">
        <x:v>evento_habilita_permiso_trabajo_id</x:v>
      </x:c>
      <x:c r="F75" s="3947" t="str">
        <x:v>evento_habilita_id; permiso_trabajo_id</x:v>
      </x:c>
      <x:c r="G75" s="3947" t="str">
        <x:v>PTW relacionado al evento</x:v>
      </x:c>
      <x:c r="H75" s="3947" t="str">
        <x:v>Append-only</x:v>
      </x:c>
      <x:c r="I75" s="3947" t="str">
        <x:v>Habilita</x:v>
      </x:c>
      <x:c r="J75" s="3948" t="str">
        <x:v>FROZEN</x:v>
      </x:c>
      <x:c r="K75" s="3947" t="str">
        <x:v>N:M.</x:v>
      </x:c>
    </x:row>
    <x:row r="76" ht="62" customHeight="1">
      <x:c r="A76" s="3947" t="str">
        <x:v>72</x:v>
      </x:c>
      <x:c r="B76" s="3947" t="str">
        <x:v>HABILITA</x:v>
      </x:c>
      <x:c r="C76" s="3947" t="str">
        <x:v>EvaluacionEscalamientoHabilita</x:v>
      </x:c>
      <x:c r="D76" s="3948" t="str">
        <x:v>SNAPSHOT</x:v>
      </x:c>
      <x:c r="E76" s="3947" t="str">
        <x:v>evaluacion_escalamiento_habilita_id</x:v>
      </x:c>
      <x:c r="F76" s="3947" t="str">
        <x:v>evento_habilita_id; regla_escalamiento_habilita_id</x:v>
      </x:c>
      <x:c r="G76" s="3947" t="str">
        <x:v>Resultado auditable del motor Habilita</x:v>
      </x:c>
      <x:c r="H76" s="3947" t="str">
        <x:v>Timestamp/versionada</x:v>
      </x:c>
      <x:c r="I76" s="3947" t="str">
        <x:v>Motor Habilita</x:v>
      </x:c>
      <x:c r="J76" s="3948" t="str">
        <x:v>FROZEN</x:v>
      </x:c>
      <x:c r="K76" s="3947" t="str">
        <x:v>Outputs a Control/Habilita.</x:v>
      </x:c>
    </x:row>
    <x:row r="77" ht="62" customHeight="1">
      <x:c r="A77" s="3947" t="str">
        <x:v>73</x:v>
      </x:c>
      <x:c r="B77" s="3947" t="str">
        <x:v>HABILITA</x:v>
      </x:c>
      <x:c r="C77" s="3947" t="str">
        <x:v>CasoHabilita</x:v>
      </x:c>
      <x:c r="D77" s="3948" t="str">
        <x:v>TRANSACTION</x:v>
      </x:c>
      <x:c r="E77" s="3947" t="str">
        <x:v>caso_habilita_id</x:v>
      </x:c>
      <x:c r="F77" s="3947" t="str">
        <x:v>evento_habilita_id UNIQUE</x:v>
      </x:c>
      <x:c r="G77" s="3947" t="str">
        <x:v>Workflow de triage/investigación/aprendizaje</x:v>
      </x:c>
      <x:c r="H77" s="3947" t="str">
        <x:v>Lifecycle propio</x:v>
      </x:c>
      <x:c r="I77" s="3947" t="str">
        <x:v>Habilita</x:v>
      </x:c>
      <x:c r="J77" s="3948" t="str">
        <x:v>FROZEN</x:v>
      </x:c>
      <x:c r="K77" s="3947" t="str">
        <x:v>0..1 por EventoHabilita baseline.</x:v>
      </x:c>
    </x:row>
    <x:row r="78" ht="62" customHeight="1">
      <x:c r="A78" s="3947" t="str">
        <x:v>74</x:v>
      </x:c>
      <x:c r="B78" s="3947" t="str">
        <x:v>HABILITA</x:v>
      </x:c>
      <x:c r="C78" s="3947" t="str">
        <x:v>MedicionEventoHabilita</x:v>
      </x:c>
      <x:c r="D78" s="3948" t="str">
        <x:v>CHILD/VERSION</x:v>
      </x:c>
      <x:c r="E78" s="3947" t="str">
        <x:v>medicion_evento_habilita_id</x:v>
      </x:c>
      <x:c r="F78" s="3947" t="str">
        <x:v>evento_habilita_id; metrica/unidad refs</x:v>
      </x:c>
      <x:c r="G78" s="3947" t="str">
        <x:v>Medición Habilita refinable (ej. spill)</x:v>
      </x:c>
      <x:c r="H78" s="3947" t="str">
        <x:v>Timestamp/versiones</x:v>
      </x:c>
      <x:c r="I78" s="3947" t="str">
        <x:v>Habilita</x:v>
      </x:c>
      <x:c r="J78" s="3948" t="str">
        <x:v>FROZEN</x:v>
      </x:c>
      <x:c r="K78" s="3947" t="str">
        <x:v>Estimado y confirmado coexisten.</x:v>
      </x:c>
    </x:row>
    <x:row r="79" ht="62" customHeight="1">
      <x:c r="A79" s="3947" t="str">
        <x:v>75</x:v>
      </x:c>
      <x:c r="B79" s="3947" t="str">
        <x:v>HABILITA</x:v>
      </x:c>
      <x:c r="C79" s="3947" t="str">
        <x:v>NotificacionHabilita</x:v>
      </x:c>
      <x:c r="D79" s="3948" t="str">
        <x:v>TRANSACTION</x:v>
      </x:c>
      <x:c r="E79" s="3947" t="str">
        <x:v>notificacion_habilita_id</x:v>
      </x:c>
      <x:c r="F79" s="3947" t="str">
        <x:v>evento_habilita_id; caso_habilita_id?; evaluacion_escalamiento_habilita_id?</x:v>
      </x:c>
      <x:c r="G79" s="3947" t="str">
        <x:v>Obligación/comunicación Habilita</x:v>
      </x:c>
      <x:c r="H79" s="3947" t="str">
        <x:v>deadline/envio/confirmación</x:v>
      </x:c>
      <x:c r="I79" s="3947" t="str">
        <x:v>Habilita</x:v>
      </x:c>
      <x:c r="J79" s="3948" t="str">
        <x:v>FROZEN</x:v>
      </x:c>
      <x:c r="K79" s="3947" t="str">
        <x:v>Canal técnico fuera del modelo.</x:v>
      </x:c>
    </x:row>
    <x:row r="80" ht="62" customHeight="1">
      <x:c r="A80" s="3947" t="str">
        <x:v>76</x:v>
      </x:c>
      <x:c r="B80" s="3947" t="str">
        <x:v>HABILITA</x:v>
      </x:c>
      <x:c r="C80" s="3947" t="str">
        <x:v>AccionCorrectivaHabilita</x:v>
      </x:c>
      <x:c r="D80" s="3948" t="str">
        <x:v>TRANSACTION</x:v>
      </x:c>
      <x:c r="E80" s="3947" t="str">
        <x:v>accion_correctiva_habilita_id</x:v>
      </x:c>
      <x:c r="F80" s="3947" t="str">
        <x:v>caso_habilita_id; responsable_id</x:v>
      </x:c>
      <x:c r="G80" s="3947" t="str">
        <x:v>Acción correctiva/preventiva independiente</x:v>
      </x:c>
      <x:c r="H80" s="3947" t="str">
        <x:v>due/status/verificación</x:v>
      </x:c>
      <x:c r="I80" s="3947" t="str">
        <x:v>Habilita/Responsable</x:v>
      </x:c>
      <x:c r="J80" s="3948" t="str">
        <x:v>FROZEN</x:v>
      </x:c>
      <x:c r="K80" s="3947" t="str">
        <x:v>Puede bloquear cierre según configuración.</x:v>
      </x:c>
    </x:row>
    <x:row r="81" ht="62" customHeight="1">
      <x:c r="A81" s="3947" t="str">
        <x:v>77</x:v>
      </x:c>
      <x:c r="B81" s="3947" t="str">
        <x:v>CERT</x:v>
      </x:c>
      <x:c r="C81" s="3947" t="str">
        <x:v>UnidadComercial</x:v>
      </x:c>
      <x:c r="D81" s="3948" t="str">
        <x:v>DERIVED/WORKFLOW</x:v>
      </x:c>
      <x:c r="E81" s="3947" t="str">
        <x:v>unidad_comercial_id</x:v>
      </x:c>
      <x:c r="F81" s="3947" t="str">
        <x:v>contrato_servicio_id; item_contrato_id; unidad_medida_id</x:v>
      </x:c>
      <x:c r="G81" s="3947" t="str">
        <x:v>Grano mínimo de aceptación comercial</x:v>
      </x:c>
      <x:c r="H81" s="3947" t="str">
        <x:v>Workflow + versionado/supersession</x:v>
      </x:c>
      <x:c r="I81" s="3947" t="str">
        <x:v>Certificación</x:v>
      </x:c>
      <x:c r="J81" s="3948" t="str">
        <x:v>FROZEN</x:v>
      </x:c>
      <x:c r="K81" s="3947" t="str">
        <x:v>No equivale a Parte.</x:v>
      </x:c>
    </x:row>
    <x:row r="82" ht="62" customHeight="1">
      <x:c r="A82" s="3947" t="str">
        <x:v>78</x:v>
      </x:c>
      <x:c r="B82" s="3947" t="str">
        <x:v>CERT</x:v>
      </x:c>
      <x:c r="C82" s="3947" t="str">
        <x:v>UnidadComercialFuenteEjecucion</x:v>
      </x:c>
      <x:c r="D82" s="3949" t="str">
        <x:v>BRIDGE/LINEAGE</x:v>
      </x:c>
      <x:c r="E82" s="3947" t="str">
        <x:v>unidad_comercial_fuente_ejecucion_id</x:v>
      </x:c>
      <x:c r="F82" s="3947" t="str">
        <x:v>unidad_comercial_id; unidad_ejecucion_id; imputacion_ejecucion_id?; fuente_version</x:v>
      </x:c>
      <x:c r="G82" s="3947" t="str">
        <x:v>Fuente N:M de una UC</x:v>
      </x:c>
      <x:c r="H82" s="3947" t="str">
        <x:v>Inmutable por versión</x:v>
      </x:c>
      <x:c r="I82" s="3947" t="str">
        <x:v>Sistema</x:v>
      </x:c>
      <x:c r="J82" s="3948" t="str">
        <x:v>FROZEN</x:v>
      </x:c>
      <x:c r="K82" s="3947" t="str">
        <x:v>Hallazgo relacional clave v2.0.</x:v>
      </x:c>
    </x:row>
    <x:row r="83" ht="62" customHeight="1">
      <x:c r="A83" s="3947" t="str">
        <x:v>79</x:v>
      </x:c>
      <x:c r="B83" s="3947" t="str">
        <x:v>CERT</x:v>
      </x:c>
      <x:c r="C83" s="3947" t="str">
        <x:v>ConformidadCliente</x:v>
      </x:c>
      <x:c r="D83" s="3948" t="str">
        <x:v>EVENT</x:v>
      </x:c>
      <x:c r="E83" s="3947" t="str">
        <x:v>conformidad_cliente_id</x:v>
      </x:c>
      <x:c r="F83" s="3947" t="str">
        <x:v>scope target + actor/cliente</x:v>
      </x:c>
      <x:c r="G83" s="3947" t="str">
        <x:v>Aceptación/rechazo/observación del cliente</x:v>
      </x:c>
      <x:c r="H83" s="3947" t="str">
        <x:v>Timestamp</x:v>
      </x:c>
      <x:c r="I83" s="3947" t="str">
        <x:v>Cliente/Integración</x:v>
      </x:c>
      <x:c r="J83" s="3948" t="str">
        <x:v>FROZEN</x:v>
      </x:c>
      <x:c r="K83" s="3947" t="str">
        <x:v>Scope Parte/UC/Paquete configurable.</x:v>
      </x:c>
    </x:row>
    <x:row r="84" ht="62" customHeight="1">
      <x:c r="A84" s="3947" t="str">
        <x:v>80</x:v>
      </x:c>
      <x:c r="B84" s="3947" t="str">
        <x:v>CERT</x:v>
      </x:c>
      <x:c r="C84" s="3947" t="str">
        <x:v>ObservacionCertificacion</x:v>
      </x:c>
      <x:c r="D84" s="3948" t="str">
        <x:v>EVENT</x:v>
      </x:c>
      <x:c r="E84" s="3947" t="str">
        <x:v>observacion_certificacion_id</x:v>
      </x:c>
      <x:c r="F84" s="3947" t="str">
        <x:v>unidad_comercial_id?; paquete_certificacion_id?</x:v>
      </x:c>
      <x:c r="G84" s="3947" t="str">
        <x:v>Incidencia que bloquea/condiciona certificación</x:v>
      </x:c>
      <x:c r="H84" s="3947" t="str">
        <x:v>Append-only</x:v>
      </x:c>
      <x:c r="I84" s="3947" t="str">
        <x:v>Certificaciones</x:v>
      </x:c>
      <x:c r="J84" s="3948" t="str">
        <x:v>FROZEN</x:v>
      </x:c>
      <x:c r="K84" s="3947" t="str">
        <x:v>No modifica campo.</x:v>
      </x:c>
    </x:row>
    <x:row r="85" ht="62" customHeight="1">
      <x:c r="A85" s="3947" t="str">
        <x:v>81</x:v>
      </x:c>
      <x:c r="B85" s="3947" t="str">
        <x:v>CERT</x:v>
      </x:c>
      <x:c r="C85" s="3947" t="str">
        <x:v>AjusteCertificacion</x:v>
      </x:c>
      <x:c r="D85" s="3948" t="str">
        <x:v>EVENT</x:v>
      </x:c>
      <x:c r="E85" s="3947" t="str">
        <x:v>ajuste_certificacion_id</x:v>
      </x:c>
      <x:c r="F85" s="3947" t="str">
        <x:v>unidad_comercial_id?; paquete_certificacion_id?; actor_autorizador_id</x:v>
      </x:c>
      <x:c r="G85" s="3947" t="str">
        <x:v>Corrección comercial autorizada</x:v>
      </x:c>
      <x:c r="H85" s="3947" t="str">
        <x:v>Append-only</x:v>
      </x:c>
      <x:c r="I85" s="3947" t="str">
        <x:v>Certificaciones</x:v>
      </x:c>
      <x:c r="J85" s="3948" t="str">
        <x:v>FROZEN</x:v>
      </x:c>
      <x:c r="K85" s="3947" t="str">
        <x:v>No corrige verdad operativa.</x:v>
      </x:c>
    </x:row>
    <x:row r="86" ht="62" customHeight="1">
      <x:c r="A86" s="3947" t="str">
        <x:v>82</x:v>
      </x:c>
      <x:c r="B86" s="3947" t="str">
        <x:v>CERT</x:v>
      </x:c>
      <x:c r="C86" s="3947" t="str">
        <x:v>PaqueteCertificacion</x:v>
      </x:c>
      <x:c r="D86" s="3948" t="str">
        <x:v>AGGREGATE</x:v>
      </x:c>
      <x:c r="E86" s="3947" t="str">
        <x:v>paquete_certificacion_id</x:v>
      </x:c>
      <x:c r="F86" s="3947" t="str">
        <x:v>contrato_servicio_id; regla_agrupacion_certificacion_id</x:v>
      </x:c>
      <x:c r="G86" s="3947" t="str">
        <x:v>Contenedor de UC para conformidad/certificación</x:v>
      </x:c>
      <x:c r="H86" s="3947" t="str">
        <x:v>Versionable/lifecycle</x:v>
      </x:c>
      <x:c r="I86" s="3947" t="str">
        <x:v>Certificación</x:v>
      </x:c>
      <x:c r="J86" s="3948" t="str">
        <x:v>FROZEN</x:v>
      </x:c>
      <x:c r="K86" s="3947" t="str">
        <x:v>Puede cruzar Partes.</x:v>
      </x:c>
    </x:row>
    <x:row r="87" ht="62" customHeight="1">
      <x:c r="A87" s="3947" t="str">
        <x:v>83</x:v>
      </x:c>
      <x:c r="B87" s="3947" t="str">
        <x:v>CERT</x:v>
      </x:c>
      <x:c r="C87" s="3947" t="str">
        <x:v>PaqueteCertificacionUnidadComercial</x:v>
      </x:c>
      <x:c r="D87" s="3949" t="str">
        <x:v>BRIDGE/VERSION</x:v>
      </x:c>
      <x:c r="E87" s="3947" t="str">
        <x:v>paquete_certificacion_unidad_comercial_id</x:v>
      </x:c>
      <x:c r="F87" s="3947" t="str">
        <x:v>paquete_certificacion_id; unidad_comercial_id</x:v>
      </x:c>
      <x:c r="G87" s="3947" t="str">
        <x:v>Inclusión de UC en paquete</x:v>
      </x:c>
      <x:c r="H87" s="3947" t="str">
        <x:v>Vigencia/versión inclusión</x:v>
      </x:c>
      <x:c r="I87" s="3947" t="str">
        <x:v>Sistema</x:v>
      </x:c>
      <x:c r="J87" s="3948" t="str">
        <x:v>FROZEN</x:v>
      </x:c>
      <x:c r="K87" s="3947" t="str">
        <x:v>Permite rearmado sin borrar historia.</x:v>
      </x:c>
    </x:row>
    <x:row r="88" ht="62" customHeight="1">
      <x:c r="A88" s="3947" t="str">
        <x:v>84</x:v>
      </x:c>
      <x:c r="B88" s="3947" t="str">
        <x:v>BILLING</x:v>
      </x:c>
      <x:c r="C88" s="3947" t="str">
        <x:v>LineaFacturable</x:v>
      </x:c>
      <x:c r="D88" s="3948" t="str">
        <x:v>DERIVED</x:v>
      </x:c>
      <x:c r="E88" s="3947" t="str">
        <x:v>linea_facturable_id</x:v>
      </x:c>
      <x:c r="F88" s="3947" t="str">
        <x:v>unidad_comercial_id; ajuste_certificacion_id?</x:v>
      </x:c>
      <x:c r="G88" s="3947" t="str">
        <x:v>UC aceptada traducida a línea interna facturable</x:v>
      </x:c>
      <x:c r="H88" s="3947" t="str">
        <x:v>Versionada</x:v>
      </x:c>
      <x:c r="I88" s="3947" t="str">
        <x:v>Facturación</x:v>
      </x:c>
      <x:c r="J88" s="3948" t="str">
        <x:v>FROZEN</x:v>
      </x:c>
      <x:c r="K88" s="3947" t="str">
        <x:v>Consume aceptación, no campo.</x:v>
      </x:c>
    </x:row>
    <x:row r="89" ht="62" customHeight="1">
      <x:c r="A89" s="3947" t="str">
        <x:v>85</x:v>
      </x:c>
      <x:c r="B89" s="3947" t="str">
        <x:v>BILLING</x:v>
      </x:c>
      <x:c r="C89" s="3947" t="str">
        <x:v>LoteFacturacion</x:v>
      </x:c>
      <x:c r="D89" s="3948" t="str">
        <x:v>AGGREGATE</x:v>
      </x:c>
      <x:c r="E89" s="3947" t="str">
        <x:v>lote_facturacion_id</x:v>
      </x:c>
      <x:c r="F89" s="3947" t="str">
        <x:v>contrato_id/cliente_id; regla_facturacion_id</x:v>
      </x:c>
      <x:c r="G89" s="3947" t="str">
        <x:v>Agrupación administrativa de líneas</x:v>
      </x:c>
      <x:c r="H89" s="3947" t="str">
        <x:v>Lifecycle</x:v>
      </x:c>
      <x:c r="I89" s="3947" t="str">
        <x:v>Facturación</x:v>
      </x:c>
      <x:c r="J89" s="3948" t="str">
        <x:v>FROZEN</x:v>
      </x:c>
      <x:c r="K89" s="3947" t="str">
        <x:v>Separado de PaqueteCertificacion.</x:v>
      </x:c>
    </x:row>
    <x:row r="90" ht="62" customHeight="1">
      <x:c r="A90" s="3947" t="str">
        <x:v>86</x:v>
      </x:c>
      <x:c r="B90" s="3947" t="str">
        <x:v>BILLING</x:v>
      </x:c>
      <x:c r="C90" s="3947" t="str">
        <x:v>Factura / Documento ERP</x:v>
      </x:c>
      <x:c r="D90" s="3944" t="str">
        <x:v>BOUNDARY</x:v>
      </x:c>
      <x:c r="E90" s="3947" t="str">
        <x:v>external_document_id</x:v>
      </x:c>
      <x:c r="F90" s="3947" t="str">
        <x:v>lote_facturacion_id</x:v>
      </x:c>
      <x:c r="G90" s="3947" t="str">
        <x:v>Documento emitido en sistema administrativo externo</x:v>
      </x:c>
      <x:c r="H90" s="3947" t="str">
        <x:v>Externo/versionado ERP</x:v>
      </x:c>
      <x:c r="I90" s="3947" t="str">
        <x:v>ERP</x:v>
      </x:c>
      <x:c r="J90" s="3944" t="str">
        <x:v>OUT OF CORE</x:v>
      </x:c>
      <x:c r="K90" s="3947" t="str">
        <x:v>Modelo interno termina en boundary adaptable.</x:v>
      </x:c>
    </x:row>
    <x:row r="91" ht="64" customHeight="1">
      <x:c r="A91" s="20" t="str">
        <x:v>87</x:v>
      </x:c>
      <x:c r="B91" s="20" t="str">
        <x:v>TRACE</x:v>
      </x:c>
      <x:c r="C91" s="20" t="str">
        <x:v>DecisionTrace</x:v>
      </x:c>
      <x:c r="D91" s="4249" t="str">
        <x:v>EVENT/AUDIT</x:v>
      </x:c>
      <x:c r="E91" s="20" t="str">
        <x:v>decision_trace_id</x:v>
      </x:c>
      <x:c r="F91" s="20" t="str">
        <x:v>subject_ref; ruleset_version_ref; actor_id?; parent_trace_id?</x:v>
      </x:c>
      <x:c r="G91" s="20" t="str">
        <x:v>Explicación append-only de una evaluación relevante del Rule Engine</x:v>
      </x:c>
      <x:c r="H91" s="20" t="str">
        <x:v>decision_at; inmutable</x:v>
      </x:c>
      <x:c r="I91" s="20" t="str">
        <x:v>Motor de reglas</x:v>
      </x:c>
      <x:c r="J91" s="4249" t="str">
        <x:v>FROZEN</x:v>
      </x:c>
      <x:c r="K91" s="20" t="str">
        <x:v>Inputs/resultados pueden almacenarse normalizados o como snapshot estructurado; nunca reemplaza entidades de negocio.</x:v>
      </x:c>
    </x:row>
  </x:sheetData>
  <x:mergeCells>
    <x:mergeCell ref="A1:K1"/>
    <x:mergeCell ref="A2:K2"/>
  </x:mergeCells>
  <x:pageMargins left="0.7" right="0.7" top="0.75" bottom="0.75" header="0.3" footer="0.3"/>
</x:worksheet>
</file>

<file path=xl/worksheets/sheet45.xml><?xml version="1.0" encoding="utf-8"?>
<x:worksheet xmlns:x="http://schemas.openxmlformats.org/spreadsheetml/2006/main">
  <x:sheetFormatPr defaultRowHeight="15"/>
  <x:cols>
    <x:col min="1" max="1" width="9" hidden="0" customWidth="1"/>
    <x:col min="2" max="2" width="27" hidden="0" customWidth="1"/>
    <x:col min="3" max="3" width="12" hidden="0" customWidth="1"/>
    <x:col min="4" max="4" width="30" hidden="0" customWidth="1"/>
    <x:col min="5" max="5" width="27" hidden="0" customWidth="1"/>
    <x:col min="6" max="6" width="12" hidden="0" customWidth="1"/>
    <x:col min="7" max="7" width="32" hidden="0" customWidth="1"/>
    <x:col min="8" max="8" width="25" hidden="0" customWidth="1"/>
    <x:col min="9" max="9" width="42" hidden="0" customWidth="1"/>
    <x:col min="10" max="10" width="16" hidden="0" customWidth="1"/>
  </x:cols>
  <x:sheetData>
    <x:row r="1">
      <x:c r="A1" s="3943" t="str">
        <x:v>MODELO RELACIONAL LÓGICO v0.1 · RELACIONES Y CARDINALIDADES</x:v>
      </x:c>
      <x:c r="B1" s="3943"/>
      <x:c r="C1" s="3943"/>
      <x:c r="D1" s="3943"/>
      <x:c r="E1" s="3943"/>
      <x:c r="F1" s="3943"/>
      <x:c r="G1" s="3943"/>
      <x:c r="H1" s="3943"/>
      <x:c r="I1" s="3943"/>
      <x:c r="J1" s="3943"/>
    </x:row>
    <x:row r="2">
      <x:c r="A2" s="3944" t="str">
        <x:v>Cardinalidad expresada desde A hacia B. Las asociaciones 'scope/target' son lógicas; la implementación deberá convertirlas en FK tipadas o puentes con integridad verificable.</x:v>
      </x:c>
      <x:c r="B2" s="3944"/>
      <x:c r="C2" s="3944"/>
      <x:c r="D2" s="3944"/>
      <x:c r="E2" s="3944"/>
      <x:c r="F2" s="3944"/>
      <x:c r="G2" s="3944"/>
      <x:c r="H2" s="3944"/>
      <x:c r="I2" s="3944"/>
      <x:c r="J2" s="3944"/>
    </x:row>
    <x:row r="3">
      <x:c r="A3" s="3945"/>
      <x:c r="B3" s="3945"/>
      <x:c r="C3" s="3945"/>
      <x:c r="D3" s="3945"/>
      <x:c r="E3" s="3945"/>
      <x:c r="F3" s="3945"/>
      <x:c r="G3" s="3945"/>
      <x:c r="H3" s="3945"/>
      <x:c r="I3" s="3945"/>
      <x:c r="J3" s="3945"/>
    </x:row>
    <x:row r="4">
      <x:c r="A4" s="3946" t="str">
        <x:v>ID</x:v>
      </x:c>
      <x:c r="B4" s="3946" t="str">
        <x:v>Entidad A</x:v>
      </x:c>
      <x:c r="C4" s="3946" t="str">
        <x:v>A→B</x:v>
      </x:c>
      <x:c r="D4" s="3946" t="str">
        <x:v>Relación</x:v>
      </x:c>
      <x:c r="E4" s="3946" t="str">
        <x:v>Entidad B</x:v>
      </x:c>
      <x:c r="F4" s="3946" t="str">
        <x:v>B→A</x:v>
      </x:c>
      <x:c r="G4" s="3946" t="str">
        <x:v>Puente / FK</x:v>
      </x:c>
      <x:c r="H4" s="3946" t="str">
        <x:v>Ownership / borrado</x:v>
      </x:c>
      <x:c r="I4" s="3946" t="str">
        <x:v>Invariante</x:v>
      </x:c>
      <x:c r="J4" s="3946" t="str">
        <x:v>Estado</x:v>
      </x:c>
    </x:row>
    <x:row r="5" ht="58" customHeight="1">
      <x:c r="A5" s="3947" t="str">
        <x:v>R-001</x:v>
      </x:c>
      <x:c r="B5" s="3947" t="str">
        <x:v>Cliente</x:v>
      </x:c>
      <x:c r="C5" s="3947" t="str">
        <x:v>1</x:v>
      </x:c>
      <x:c r="D5" s="3947" t="str">
        <x:v>posee</x:v>
      </x:c>
      <x:c r="E5" s="3947" t="str">
        <x:v>Contrato</x:v>
      </x:c>
      <x:c r="F5" s="3947" t="str">
        <x:v>0..N</x:v>
      </x:c>
      <x:c r="G5" s="3947" t="str">
        <x:v>contrato.cliente_id</x:v>
      </x:c>
      <x:c r="H5" s="3947" t="str">
        <x:v>Cliente no cascade histórico</x:v>
      </x:c>
      <x:c r="I5" s="3947" t="str">
        <x:v>Contrato siempre pertenece a un Cliente.</x:v>
      </x:c>
      <x:c r="J5" s="3948" t="str">
        <x:v>FROZEN</x:v>
      </x:c>
    </x:row>
    <x:row r="6" ht="58" customHeight="1">
      <x:c r="A6" s="3947" t="str">
        <x:v>R-002</x:v>
      </x:c>
      <x:c r="B6" s="3947" t="str">
        <x:v>Contrato</x:v>
      </x:c>
      <x:c r="C6" s="3947" t="str">
        <x:v>1</x:v>
      </x:c>
      <x:c r="D6" s="3947" t="str">
        <x:v>versiona</x:v>
      </x:c>
      <x:c r="E6" s="3947" t="str">
        <x:v>ContratoVersion</x:v>
      </x:c>
      <x:c r="F6" s="3947" t="str">
        <x:v>1..N</x:v>
      </x:c>
      <x:c r="G6" s="3947" t="str">
        <x:v>contrato_version.contrato_id</x:v>
      </x:c>
      <x:c r="H6" s="3947" t="str">
        <x:v>No borrar versiones usadas</x:v>
      </x:c>
      <x:c r="I6" s="3947" t="str">
        <x:v>Una ejecución histórica referencia reglas de una versión concreta.</x:v>
      </x:c>
      <x:c r="J6" s="3948" t="str">
        <x:v>FROZEN</x:v>
      </x:c>
    </x:row>
    <x:row r="7" ht="58" customHeight="1">
      <x:c r="A7" s="3947" t="str">
        <x:v>R-003</x:v>
      </x:c>
      <x:c r="B7" s="3947" t="str">
        <x:v>ContratoVersion</x:v>
      </x:c>
      <x:c r="C7" s="3947" t="str">
        <x:v>1</x:v>
      </x:c>
      <x:c r="D7" s="3947" t="str">
        <x:v>configura</x:v>
      </x:c>
      <x:c r="E7" s="3947" t="str">
        <x:v>ContratoServicio</x:v>
      </x:c>
      <x:c r="F7" s="3947" t="str">
        <x:v>0..N</x:v>
      </x:c>
      <x:c r="G7" s="3947" t="str">
        <x:v>contrato_servicio.contrato_version_id</x:v>
      </x:c>
      <x:c r="H7" s="3947" t="str">
        <x:v>Version-owned</x:v>
      </x:c>
      <x:c r="I7" s="3947" t="str">
        <x:v>ContratoServicio pertenece a una versión de contrato.</x:v>
      </x:c>
      <x:c r="J7" s="3948" t="str">
        <x:v>FROZEN</x:v>
      </x:c>
    </x:row>
    <x:row r="8" ht="58" customHeight="1">
      <x:c r="A8" s="3947" t="str">
        <x:v>R-004</x:v>
      </x:c>
      <x:c r="B8" s="3947" t="str">
        <x:v>Servicio</x:v>
      </x:c>
      <x:c r="C8" s="3947" t="str">
        <x:v>1</x:v>
      </x:c>
      <x:c r="D8" s="3947" t="str">
        <x:v>se configura en</x:v>
      </x:c>
      <x:c r="E8" s="3947" t="str">
        <x:v>ContratoServicio</x:v>
      </x:c>
      <x:c r="F8" s="3947" t="str">
        <x:v>0..N</x:v>
      </x:c>
      <x:c r="G8" s="3947" t="str">
        <x:v>contrato_servicio.servicio_id</x:v>
      </x:c>
      <x:c r="H8" s="3947" t="str">
        <x:v>Master independent</x:v>
      </x:c>
      <x:c r="I8" s="3947" t="str">
        <x:v>Servicio no se duplica por contrato.</x:v>
      </x:c>
      <x:c r="J8" s="3948" t="str">
        <x:v>FROZEN</x:v>
      </x:c>
    </x:row>
    <x:row r="9" ht="58" customHeight="1">
      <x:c r="A9" s="3947" t="str">
        <x:v>R-005</x:v>
      </x:c>
      <x:c r="B9" s="3947" t="str">
        <x:v>ContratoServicio</x:v>
      </x:c>
      <x:c r="C9" s="3947" t="str">
        <x:v>1</x:v>
      </x:c>
      <x:c r="D9" s="3947" t="str">
        <x:v>contiene</x:v>
      </x:c>
      <x:c r="E9" s="3947" t="str">
        <x:v>ItemContrato</x:v>
      </x:c>
      <x:c r="F9" s="3947" t="str">
        <x:v>0..N</x:v>
      </x:c>
      <x:c r="G9" s="3947" t="str">
        <x:v>item_contrato.contrato_servicio_id</x:v>
      </x:c>
      <x:c r="H9" s="3947" t="str">
        <x:v>No cascade si usado</x:v>
      </x:c>
      <x:c r="I9" s="3947" t="str">
        <x:v>Item pertenece a un contexto contrato-servicio.</x:v>
      </x:c>
      <x:c r="J9" s="3948" t="str">
        <x:v>FROZEN</x:v>
      </x:c>
    </x:row>
    <x:row r="10" ht="58" customHeight="1">
      <x:c r="A10" s="3947" t="str">
        <x:v>R-006</x:v>
      </x:c>
      <x:c r="B10" s="3947" t="str">
        <x:v>UnidadMedida</x:v>
      </x:c>
      <x:c r="C10" s="3947" t="str">
        <x:v>1</x:v>
      </x:c>
      <x:c r="D10" s="3947" t="str">
        <x:v>unidad de</x:v>
      </x:c>
      <x:c r="E10" s="3947" t="str">
        <x:v>ItemContrato</x:v>
      </x:c>
      <x:c r="F10" s="3947" t="str">
        <x:v>0..N</x:v>
      </x:c>
      <x:c r="G10" s="3947" t="str">
        <x:v>item_contrato.unidad_medida_id</x:v>
      </x:c>
      <x:c r="H10" s="3947" t="str">
        <x:v>Master independent</x:v>
      </x:c>
      <x:c r="I10" s="3947" t="str">
        <x:v>La UM no se escribe libre por ejecución.</x:v>
      </x:c>
      <x:c r="J10" s="3948" t="str">
        <x:v>FROZEN</x:v>
      </x:c>
    </x:row>
    <x:row r="11" ht="58" customHeight="1">
      <x:c r="A11" s="3947" t="str">
        <x:v>R-007</x:v>
      </x:c>
      <x:c r="B11" s="3947" t="str">
        <x:v>ContratoServicio</x:v>
      </x:c>
      <x:c r="C11" s="3947" t="str">
        <x:v>0..N</x:v>
      </x:c>
      <x:c r="D11" s="3947" t="str">
        <x:v>habilita</x:v>
      </x:c>
      <x:c r="E11" s="3947" t="str">
        <x:v>CentroCosto</x:v>
      </x:c>
      <x:c r="F11" s="3947" t="str">
        <x:v>0..N</x:v>
      </x:c>
      <x:c r="G11" s="3947" t="str">
        <x:v>ContratoServicioCentroCosto</x:v>
      </x:c>
      <x:c r="H11" s="3947" t="str">
        <x:v>Bridge versionable</x:v>
      </x:c>
      <x:c r="I11" s="3947" t="str">
        <x:v>CentroCosto no es hijo rígido de Contrato.</x:v>
      </x:c>
      <x:c r="J11" s="3949" t="str">
        <x:v>CONFIG</x:v>
      </x:c>
    </x:row>
    <x:row r="12" ht="58" customHeight="1">
      <x:c r="A12" s="3947" t="str">
        <x:v>R-008</x:v>
      </x:c>
      <x:c r="B12" s="3947" t="str">
        <x:v>TipoParte</x:v>
      </x:c>
      <x:c r="C12" s="3947" t="str">
        <x:v>1</x:v>
      </x:c>
      <x:c r="D12" s="3947" t="str">
        <x:v>define</x:v>
      </x:c>
      <x:c r="E12" s="3947" t="str">
        <x:v>ReglaCorteTipoParte</x:v>
      </x:c>
      <x:c r="F12" s="3947" t="str">
        <x:v>0..N</x:v>
      </x:c>
      <x:c r="G12" s="3947" t="str">
        <x:v>regla_corte.tipo_parte_id</x:v>
      </x:c>
      <x:c r="H12" s="3947" t="str">
        <x:v>Versioned config</x:v>
      </x:c>
      <x:c r="I12" s="3947" t="str">
        <x:v>No existe ReglaCorte global universal.</x:v>
      </x:c>
      <x:c r="J12" s="3948" t="str">
        <x:v>FROZEN</x:v>
      </x:c>
    </x:row>
    <x:row r="13" ht="58" customHeight="1">
      <x:c r="A13" s="3947" t="str">
        <x:v>R-009</x:v>
      </x:c>
      <x:c r="B13" s="3947" t="str">
        <x:v>TipoParte</x:v>
      </x:c>
      <x:c r="C13" s="3947" t="str">
        <x:v>0..N</x:v>
      </x:c>
      <x:c r="D13" s="3947" t="str">
        <x:v>se compone de</x:v>
      </x:c>
      <x:c r="E13" s="3947" t="str">
        <x:v>ComponenteParte</x:v>
      </x:c>
      <x:c r="F13" s="3947" t="str">
        <x:v>0..N</x:v>
      </x:c>
      <x:c r="G13" s="3947" t="str">
        <x:v>TipoParteComponente</x:v>
      </x:c>
      <x:c r="H13" s="3947" t="str">
        <x:v>Versioned config</x:v>
      </x:c>
      <x:c r="I13" s="3947" t="str">
        <x:v>El TipoParte compone comportamiento, no columnas fijas.</x:v>
      </x:c>
      <x:c r="J13" s="3948" t="str">
        <x:v>FROZEN</x:v>
      </x:c>
    </x:row>
    <x:row r="14" ht="58" customHeight="1">
      <x:c r="A14" s="3947" t="str">
        <x:v>R-010</x:v>
      </x:c>
      <x:c r="B14" s="3947" t="str">
        <x:v>Persona</x:v>
      </x:c>
      <x:c r="C14" s="3947" t="str">
        <x:v>0..N</x:v>
      </x:c>
      <x:c r="D14" s="3947" t="str">
        <x:v>tiene</x:v>
      </x:c>
      <x:c r="E14" s="3947" t="str">
        <x:v>PerfilOperativo</x:v>
      </x:c>
      <x:c r="F14" s="3947" t="str">
        <x:v>0..N</x:v>
      </x:c>
      <x:c r="G14" s="3947" t="str">
        <x:v>PersonaPerfilOperativo</x:v>
      </x:c>
      <x:c r="H14" s="3947" t="str">
        <x:v>Temporal bridge</x:v>
      </x:c>
      <x:c r="I14" s="3947" t="str">
        <x:v>Perfil puede cambiar/vencer.</x:v>
      </x:c>
      <x:c r="J14" s="3948" t="str">
        <x:v>FROZEN</x:v>
      </x:c>
    </x:row>
    <x:row r="15" ht="58" customHeight="1">
      <x:c r="A15" s="3947" t="str">
        <x:v>R-011</x:v>
      </x:c>
      <x:c r="B15" s="3947" t="str">
        <x:v>TipoRecurso</x:v>
      </x:c>
      <x:c r="C15" s="3947" t="str">
        <x:v>1</x:v>
      </x:c>
      <x:c r="D15" s="3947" t="str">
        <x:v>clasifica</x:v>
      </x:c>
      <x:c r="E15" s="3947" t="str">
        <x:v>Recurso</x:v>
      </x:c>
      <x:c r="F15" s="3947" t="str">
        <x:v>0..N</x:v>
      </x:c>
      <x:c r="G15" s="3947" t="str">
        <x:v>recurso.tipo_recurso_id</x:v>
      </x:c>
      <x:c r="H15" s="3947" t="str">
        <x:v>Master independent</x:v>
      </x:c>
      <x:c r="I15" s="3947" t="str">
        <x:v>Rol en ejecución es otra relación.</x:v>
      </x:c>
      <x:c r="J15" s="3948" t="str">
        <x:v>FROZEN</x:v>
      </x:c>
    </x:row>
    <x:row r="16" ht="58" customHeight="1">
      <x:c r="A16" s="3947" t="str">
        <x:v>R-012</x:v>
      </x:c>
      <x:c r="B16" s="3947" t="str">
        <x:v>UbicacionTecnica</x:v>
      </x:c>
      <x:c r="C16" s="3947" t="str">
        <x:v>0..1</x:v>
      </x:c>
      <x:c r="D16" s="3947" t="str">
        <x:v>padre de</x:v>
      </x:c>
      <x:c r="E16" s="3947" t="str">
        <x:v>UbicacionTecnica</x:v>
      </x:c>
      <x:c r="F16" s="3947" t="str">
        <x:v>0..N</x:v>
      </x:c>
      <x:c r="G16" s="3947" t="str">
        <x:v>ubicacion_padre_id</x:v>
      </x:c>
      <x:c r="H16" s="3947" t="str">
        <x:v>Hierarchy</x:v>
      </x:c>
      <x:c r="I16" s="3947" t="str">
        <x:v>Sin ciclos en árbol técnico.</x:v>
      </x:c>
      <x:c r="J16" s="3948" t="str">
        <x:v>FROZEN</x:v>
      </x:c>
    </x:row>
    <x:row r="17" ht="58" customHeight="1">
      <x:c r="A17" s="3947" t="str">
        <x:v>R-013</x:v>
      </x:c>
      <x:c r="B17" s="3947" t="str">
        <x:v>UbicacionTecnica</x:v>
      </x:c>
      <x:c r="C17" s="3947" t="str">
        <x:v>1</x:v>
      </x:c>
      <x:c r="D17" s="3947" t="str">
        <x:v>contiene/asocia</x:v>
      </x:c>
      <x:c r="E17" s="3947" t="str">
        <x:v>ActivoCliente</x:v>
      </x:c>
      <x:c r="F17" s="3947" t="str">
        <x:v>0..N</x:v>
      </x:c>
      <x:c r="G17" s="3947" t="str">
        <x:v>activo.ubicacion_tecnica_id?</x:v>
      </x:c>
      <x:c r="H17" s="3947" t="str">
        <x:v>Master independent</x:v>
      </x:c>
      <x:c r="I17" s="3947" t="str">
        <x:v>Activo puede moverse si negocio lo requiere; no confundir con recurso VDS.</x:v>
      </x:c>
      <x:c r="J17" s="3949" t="str">
        <x:v>CONFIG</x:v>
      </x:c>
    </x:row>
    <x:row r="18" ht="58" customHeight="1">
      <x:c r="A18" s="3947" t="str">
        <x:v>R-014</x:v>
      </x:c>
      <x:c r="B18" s="3947" t="str">
        <x:v>RequisitoHabilitacion</x:v>
      </x:c>
      <x:c r="C18" s="3947" t="str">
        <x:v>1</x:v>
      </x:c>
      <x:c r="D18" s="3947" t="str">
        <x:v>se cumple mediante</x:v>
      </x:c>
      <x:c r="E18" s="3947" t="str">
        <x:v>CumplimientoHabilitacion</x:v>
      </x:c>
      <x:c r="F18" s="3947" t="str">
        <x:v>0..N</x:v>
      </x:c>
      <x:c r="G18" s="3947" t="str">
        <x:v>cumplimiento.requisito_id</x:v>
      </x:c>
      <x:c r="H18" s="3947" t="str">
        <x:v>Historical</x:v>
      </x:c>
      <x:c r="I18" s="3947" t="str">
        <x:v>Regla y evidencia concreta se separan.</x:v>
      </x:c>
      <x:c r="J18" s="3948" t="str">
        <x:v>FROZEN</x:v>
      </x:c>
    </x:row>
    <x:row r="19" ht="58" customHeight="1">
      <x:c r="A19" s="3947" t="str">
        <x:v>R-015</x:v>
      </x:c>
      <x:c r="B19" s="3947" t="str">
        <x:v>DocumentoHabilitante</x:v>
      </x:c>
      <x:c r="C19" s="3947" t="str">
        <x:v>1</x:v>
      </x:c>
      <x:c r="D19" s="3947" t="str">
        <x:v>soporta</x:v>
      </x:c>
      <x:c r="E19" s="3947" t="str">
        <x:v>CumplimientoHabilitacion</x:v>
      </x:c>
      <x:c r="F19" s="3947" t="str">
        <x:v>0..N</x:v>
      </x:c>
      <x:c r="G19" s="3947" t="str">
        <x:v>cumplimiento.documento_id</x:v>
      </x:c>
      <x:c r="H19" s="3947" t="str">
        <x:v>Historical</x:v>
      </x:c>
      <x:c r="I19" s="3947" t="str">
        <x:v>Un documento puede soportar varios requisitos según política.</x:v>
      </x:c>
      <x:c r="J19" s="3948" t="str">
        <x:v>FROZEN</x:v>
      </x:c>
    </x:row>
    <x:row r="20" ht="58" customHeight="1">
      <x:c r="A20" s="3947" t="str">
        <x:v>R-016</x:v>
      </x:c>
      <x:c r="B20" s="3947" t="str">
        <x:v>ContratoServicio</x:v>
      </x:c>
      <x:c r="C20" s="3947" t="str">
        <x:v>1</x:v>
      </x:c>
      <x:c r="D20" s="3947" t="str">
        <x:v>parametriza</x:v>
      </x:c>
      <x:c r="E20" s="3947" t="str">
        <x:v>ReglaTratamientoTiempo</x:v>
      </x:c>
      <x:c r="F20" s="3947" t="str">
        <x:v>0..N</x:v>
      </x:c>
      <x:c r="G20" s="3947" t="str">
        <x:v>regla.contrato_servicio_id</x:v>
      </x:c>
      <x:c r="H20" s="3947" t="str">
        <x:v>Versioned config</x:v>
      </x:c>
      <x:c r="I20" s="3947" t="str">
        <x:v>Tiempo real no cambia si cambia regla.</x:v>
      </x:c>
      <x:c r="J20" s="3949" t="str">
        <x:v>CONFIG</x:v>
      </x:c>
    </x:row>
    <x:row r="21" ht="58" customHeight="1">
      <x:c r="A21" s="3947" t="str">
        <x:v>R-017</x:v>
      </x:c>
      <x:c r="B21" s="3947" t="str">
        <x:v>ContratoServicio</x:v>
      </x:c>
      <x:c r="C21" s="3947" t="str">
        <x:v>1</x:v>
      </x:c>
      <x:c r="D21" s="3947" t="str">
        <x:v>parametriza</x:v>
      </x:c>
      <x:c r="E21" s="3947" t="str">
        <x:v>ReglaGranoUnidadComercial</x:v>
      </x:c>
      <x:c r="F21" s="3947" t="str">
        <x:v>0..N</x:v>
      </x:c>
      <x:c r="G21" s="3947" t="str">
        <x:v>regla.contrato_servicio_id</x:v>
      </x:c>
      <x:c r="H21" s="3947" t="str">
        <x:v>Versioned config</x:v>
      </x:c>
      <x:c r="I21" s="3947" t="str">
        <x:v>UC se deriva, no se captura.</x:v>
      </x:c>
      <x:c r="J21" s="3949" t="str">
        <x:v>CONFIG</x:v>
      </x:c>
    </x:row>
    <x:row r="22" ht="58" customHeight="1">
      <x:c r="A22" s="3947" t="str">
        <x:v>R-018</x:v>
      </x:c>
      <x:c r="B22" s="3947" t="str">
        <x:v>ContratoServicio</x:v>
      </x:c>
      <x:c r="C22" s="3947" t="str">
        <x:v>1</x:v>
      </x:c>
      <x:c r="D22" s="3947" t="str">
        <x:v>parametriza</x:v>
      </x:c>
      <x:c r="E22" s="3947" t="str">
        <x:v>ReglaAgrupacionCertificacion</x:v>
      </x:c>
      <x:c r="F22" s="3947" t="str">
        <x:v>0..N</x:v>
      </x:c>
      <x:c r="G22" s="3947" t="str">
        <x:v>regla.contrato_servicio_id</x:v>
      </x:c>
      <x:c r="H22" s="3947" t="str">
        <x:v>Versioned config</x:v>
      </x:c>
      <x:c r="I22" s="3947" t="str">
        <x:v>Paquete puede cruzar Partes.</x:v>
      </x:c>
      <x:c r="J22" s="3949" t="str">
        <x:v>CONFIG</x:v>
      </x:c>
    </x:row>
    <x:row r="23" ht="58" customHeight="1">
      <x:c r="A23" s="3947" t="str">
        <x:v>R-019</x:v>
      </x:c>
      <x:c r="B23" s="3947" t="str">
        <x:v>ContratoServicio</x:v>
      </x:c>
      <x:c r="C23" s="3947" t="str">
        <x:v>1</x:v>
      </x:c>
      <x:c r="D23" s="3947" t="str">
        <x:v>parametriza</x:v>
      </x:c>
      <x:c r="E23" s="3947" t="str">
        <x:v>ReglaParcialidadCertificacion</x:v>
      </x:c>
      <x:c r="F23" s="3947" t="str">
        <x:v>0..N</x:v>
      </x:c>
      <x:c r="G23" s="3947" t="str">
        <x:v>regla.contrato_servicio_id</x:v>
      </x:c>
      <x:c r="H23" s="3947" t="str">
        <x:v>Versioned config</x:v>
      </x:c>
      <x:c r="I23" s="3947" t="str">
        <x:v>No hardcodear parcialidad.</x:v>
      </x:c>
      <x:c r="J23" s="3949" t="str">
        <x:v>CONFIG</x:v>
      </x:c>
    </x:row>
    <x:row r="24" ht="58" customHeight="1">
      <x:c r="A24" s="3947" t="str">
        <x:v>R-020</x:v>
      </x:c>
      <x:c r="B24" s="3947" t="str">
        <x:v>ContratoServicio</x:v>
      </x:c>
      <x:c r="C24" s="3947" t="str">
        <x:v>1</x:v>
      </x:c>
      <x:c r="D24" s="3947" t="str">
        <x:v>parametriza</x:v>
      </x:c>
      <x:c r="E24" s="3947" t="str">
        <x:v>ReglaFacturacion</x:v>
      </x:c>
      <x:c r="F24" s="3947" t="str">
        <x:v>0..N</x:v>
      </x:c>
      <x:c r="G24" s="3947" t="str">
        <x:v>regla.contrato_servicio_id</x:v>
      </x:c>
      <x:c r="H24" s="3947" t="str">
        <x:v>Versioned config</x:v>
      </x:c>
      <x:c r="I24" s="3947" t="str">
        <x:v>ERP no redefine ejecución.</x:v>
      </x:c>
      <x:c r="J24" s="3949" t="str">
        <x:v>CONFIG</x:v>
      </x:c>
    </x:row>
    <x:row r="25" ht="58" customHeight="1">
      <x:c r="A25" s="3947" t="str">
        <x:v>R-021</x:v>
      </x:c>
      <x:c r="B25" s="3947" t="str">
        <x:v>Planificacion</x:v>
      </x:c>
      <x:c r="C25" s="3947" t="str">
        <x:v>1</x:v>
      </x:c>
      <x:c r="D25" s="3947" t="str">
        <x:v>tiene versiones</x:v>
      </x:c>
      <x:c r="E25" s="3947" t="str">
        <x:v>PlanificacionVersion</x:v>
      </x:c>
      <x:c r="F25" s="3947" t="str">
        <x:v>1..N</x:v>
      </x:c>
      <x:c r="G25" s="3947" t="str">
        <x:v>plan_version.planificacion_id</x:v>
      </x:c>
      <x:c r="H25" s="3947" t="str">
        <x:v>Append versions</x:v>
      </x:c>
      <x:c r="I25" s="3947" t="str">
        <x:v>Solo una versión puede estar vigente/aprobada según workflow.</x:v>
      </x:c>
      <x:c r="J25" s="3948" t="str">
        <x:v>FROZEN</x:v>
      </x:c>
    </x:row>
    <x:row r="26" ht="58" customHeight="1">
      <x:c r="A26" s="3947" t="str">
        <x:v>R-022</x:v>
      </x:c>
      <x:c r="B26" s="3947" t="str">
        <x:v>PlanificacionVersion</x:v>
      </x:c>
      <x:c r="C26" s="3947" t="str">
        <x:v>1</x:v>
      </x:c>
      <x:c r="D26" s="3947" t="str">
        <x:v>contiene</x:v>
      </x:c>
      <x:c r="E26" s="3947" t="str">
        <x:v>AsignacionPlanificada</x:v>
      </x:c>
      <x:c r="F26" s="3947" t="str">
        <x:v>1..N</x:v>
      </x:c>
      <x:c r="G26" s="3947" t="str">
        <x:v>asignacion.planificacion_version_id</x:v>
      </x:c>
      <x:c r="H26" s="3947" t="str">
        <x:v>Version-owned</x:v>
      </x:c>
      <x:c r="I26" s="3947" t="str">
        <x:v>No editar asignación de versión aprobada; crear nueva versión.</x:v>
      </x:c>
      <x:c r="J26" s="3948" t="str">
        <x:v>FROZEN</x:v>
      </x:c>
    </x:row>
    <x:row r="27" ht="58" customHeight="1">
      <x:c r="A27" s="3947" t="str">
        <x:v>R-023</x:v>
      </x:c>
      <x:c r="B27" s="3947" t="str">
        <x:v>AsignacionPlanificada</x:v>
      </x:c>
      <x:c r="C27" s="3947" t="str">
        <x:v>1</x:v>
      </x:c>
      <x:c r="D27" s="3947" t="str">
        <x:v>contiene</x:v>
      </x:c>
      <x:c r="E27" s="3947" t="str">
        <x:v>UnidadPlanificada</x:v>
      </x:c>
      <x:c r="F27" s="3947" t="str">
        <x:v>1..N</x:v>
      </x:c>
      <x:c r="G27" s="3947" t="str">
        <x:v>unidad_planificada.asignacion_id</x:v>
      </x:c>
      <x:c r="H27" s="3947" t="str">
        <x:v>Version-owned</x:v>
      </x:c>
      <x:c r="I27" s="3947" t="str">
        <x:v>UnidadPlanificada es trabajo previsto, no ejecución.</x:v>
      </x:c>
      <x:c r="J27" s="3948" t="str">
        <x:v>FROZEN</x:v>
      </x:c>
    </x:row>
    <x:row r="28" ht="58" customHeight="1">
      <x:c r="A28" s="3947" t="str">
        <x:v>R-024</x:v>
      </x:c>
      <x:c r="B28" s="3947" t="str">
        <x:v>DemandaOperativa</x:v>
      </x:c>
      <x:c r="C28" s="3947" t="str">
        <x:v>1</x:v>
      </x:c>
      <x:c r="D28" s="3947" t="str">
        <x:v>origina</x:v>
      </x:c>
      <x:c r="E28" s="3947" t="str">
        <x:v>UnidadPlanificada</x:v>
      </x:c>
      <x:c r="F28" s="3947" t="str">
        <x:v>0..N</x:v>
      </x:c>
      <x:c r="G28" s="3947" t="str">
        <x:v>unidad_planificada.demanda_id</x:v>
      </x:c>
      <x:c r="H28" s="3947" t="str">
        <x:v>No cascade histórico</x:v>
      </x:c>
      <x:c r="I28" s="3947" t="str">
        <x:v>Una demanda puede dividirse en varias unidades planificadas.</x:v>
      </x:c>
      <x:c r="J28" s="3948" t="str">
        <x:v>FROZEN</x:v>
      </x:c>
    </x:row>
    <x:row r="29" ht="58" customHeight="1">
      <x:c r="A29" s="3947" t="str">
        <x:v>R-025</x:v>
      </x:c>
      <x:c r="B29" s="3947" t="str">
        <x:v>UnidadPlanificada</x:v>
      </x:c>
      <x:c r="C29" s="3947" t="str">
        <x:v>1</x:v>
      </x:c>
      <x:c r="D29" s="3947" t="str">
        <x:v>requiere</x:v>
      </x:c>
      <x:c r="E29" s="3947" t="str">
        <x:v>RequerimientoRecurso</x:v>
      </x:c>
      <x:c r="F29" s="3947" t="str">
        <x:v>0..N</x:v>
      </x:c>
      <x:c r="G29" s="3947" t="str">
        <x:v>requerimiento.unidad_planificada_id</x:v>
      </x:c>
      <x:c r="H29" s="3947" t="str">
        <x:v>Plan-owned</x:v>
      </x:c>
      <x:c r="I29" s="3947" t="str">
        <x:v>Requerimiento no implica recurso nominal.</x:v>
      </x:c>
      <x:c r="J29" s="3948" t="str">
        <x:v>FROZEN</x:v>
      </x:c>
    </x:row>
    <x:row r="30" ht="58" customHeight="1">
      <x:c r="A30" s="3947" t="str">
        <x:v>R-026</x:v>
      </x:c>
      <x:c r="B30" s="3947" t="str">
        <x:v>UnidadPlanificada</x:v>
      </x:c>
      <x:c r="C30" s="3947" t="str">
        <x:v>1</x:v>
      </x:c>
      <x:c r="D30" s="3947" t="str">
        <x:v>requiere</x:v>
      </x:c>
      <x:c r="E30" s="3947" t="str">
        <x:v>RequerimientoCompetencia</x:v>
      </x:c>
      <x:c r="F30" s="3947" t="str">
        <x:v>0..N</x:v>
      </x:c>
      <x:c r="G30" s="3947" t="str">
        <x:v>requerimiento.unidad_planificada_id</x:v>
      </x:c>
      <x:c r="H30" s="3947" t="str">
        <x:v>Plan-owned</x:v>
      </x:c>
      <x:c r="I30" s="3947" t="str">
        <x:v>Competencia precede nominación.</x:v>
      </x:c>
      <x:c r="J30" s="3948" t="str">
        <x:v>FROZEN</x:v>
      </x:c>
    </x:row>
    <x:row r="31" ht="58" customHeight="1">
      <x:c r="A31" s="3947" t="str">
        <x:v>R-027</x:v>
      </x:c>
      <x:c r="B31" s="3947" t="str">
        <x:v>Asignacion/UnidadPlanificada</x:v>
      </x:c>
      <x:c r="C31" s="3947" t="str">
        <x:v>0..N</x:v>
      </x:c>
      <x:c r="D31" s="3947" t="str">
        <x:v>nomina</x:v>
      </x:c>
      <x:c r="E31" s="3947" t="str">
        <x:v>Persona</x:v>
      </x:c>
      <x:c r="F31" s="3947" t="str">
        <x:v>0..N</x:v>
      </x:c>
      <x:c r="G31" s="3947" t="str">
        <x:v>AsignacionPersonaPlanificada</x:v>
      </x:c>
      <x:c r="H31" s="3947" t="str">
        <x:v>Temporal bridge</x:v>
      </x:c>
      <x:c r="I31" s="3947" t="str">
        <x:v>No reemplaza participación real.</x:v>
      </x:c>
      <x:c r="J31" s="3948" t="str">
        <x:v>FROZEN</x:v>
      </x:c>
    </x:row>
    <x:row r="32" ht="58" customHeight="1">
      <x:c r="A32" s="3947" t="str">
        <x:v>R-028</x:v>
      </x:c>
      <x:c r="B32" s="3947" t="str">
        <x:v>Asignacion/UnidadPlanificada</x:v>
      </x:c>
      <x:c r="C32" s="3947" t="str">
        <x:v>0..N</x:v>
      </x:c>
      <x:c r="D32" s="3947" t="str">
        <x:v>nomina</x:v>
      </x:c>
      <x:c r="E32" s="3947" t="str">
        <x:v>Recurso</x:v>
      </x:c>
      <x:c r="F32" s="3947" t="str">
        <x:v>0..N</x:v>
      </x:c>
      <x:c r="G32" s="3947" t="str">
        <x:v>AsignacionRecursoPlanificada</x:v>
      </x:c>
      <x:c r="H32" s="3947" t="str">
        <x:v>Temporal bridge</x:v>
      </x:c>
      <x:c r="I32" s="3947" t="str">
        <x:v>Puede estar vacío si se planifica por capacidad.</x:v>
      </x:c>
      <x:c r="J32" s="3948" t="str">
        <x:v>FROZEN</x:v>
      </x:c>
    </x:row>
    <x:row r="33" ht="58" customHeight="1">
      <x:c r="A33" s="3947" t="str">
        <x:v>R-029</x:v>
      </x:c>
      <x:c r="B33" s="3947" t="str">
        <x:v>AsignacionPlanificada</x:v>
      </x:c>
      <x:c r="C33" s="3947" t="str">
        <x:v>1</x:v>
      </x:c>
      <x:c r="D33" s="3947" t="str">
        <x:v>es evaluada por</x:v>
      </x:c>
      <x:c r="E33" s="3947" t="str">
        <x:v>EvaluacionPlanificacion</x:v>
      </x:c>
      <x:c r="F33" s="3947" t="str">
        <x:v>0..N</x:v>
      </x:c>
      <x:c r="G33" s="3947" t="str">
        <x:v>evaluacion.asignacion_id</x:v>
      </x:c>
      <x:c r="H33" s="3947" t="str">
        <x:v>Append snapshots</x:v>
      </x:c>
      <x:c r="I33" s="3947" t="str">
        <x:v>READY debe conservar causas y timestamp.</x:v>
      </x:c>
      <x:c r="J33" s="3948" t="str">
        <x:v>FROZEN</x:v>
      </x:c>
    </x:row>
    <x:row r="34" ht="58" customHeight="1">
      <x:c r="A34" s="3947" t="str">
        <x:v>R-030</x:v>
      </x:c>
      <x:c r="B34" s="3947" t="str">
        <x:v>EvaluacionPlanificacion</x:v>
      </x:c>
      <x:c r="C34" s="3947" t="str">
        <x:v>1</x:v>
      </x:c>
      <x:c r="D34" s="3947" t="str">
        <x:v>puede invalidarse por</x:v>
      </x:c>
      <x:c r="E34" s="3947" t="str">
        <x:v>EventoInvalidacionReadiness</x:v>
      </x:c>
      <x:c r="F34" s="3947" t="str">
        <x:v>0..N</x:v>
      </x:c>
      <x:c r="G34" s="3947" t="str">
        <x:v>evento.evaluacion_id</x:v>
      </x:c>
      <x:c r="H34" s="3947" t="str">
        <x:v>Append-only</x:v>
      </x:c>
      <x:c r="I34" s="3947" t="str">
        <x:v>La evaluación previa no se reescribe.</x:v>
      </x:c>
      <x:c r="J34" s="3948" t="str">
        <x:v>FROZEN</x:v>
      </x:c>
    </x:row>
    <x:row r="35" ht="58" customHeight="1">
      <x:c r="A35" s="3947" t="str">
        <x:v>R-031</x:v>
      </x:c>
      <x:c r="B35" s="3947" t="str">
        <x:v>UnidadPlanificada/Asignacion</x:v>
      </x:c>
      <x:c r="C35" s="3947" t="str">
        <x:v>0..N</x:v>
      </x:c>
      <x:c r="D35" s="3947" t="str">
        <x:v>se materializa en</x:v>
      </x:c>
      <x:c r="E35" s="3947" t="str">
        <x:v>Parte/UnidadEjecucion</x:v>
      </x:c>
      <x:c r="F35" s="3947" t="str">
        <x:v>0..N</x:v>
      </x:c>
      <x:c r="G35" s="3947" t="str">
        <x:v>VinculoPlanEjecucion</x:v>
      </x:c>
      <x:c r="H35" s="3947" t="str">
        <x:v>Append-only bridge</x:v>
      </x:c>
      <x:c r="I35" s="3947" t="str">
        <x:v>Plan↔real NO es 1:1.</x:v>
      </x:c>
      <x:c r="J35" s="3948" t="str">
        <x:v>FROZEN</x:v>
      </x:c>
    </x:row>
    <x:row r="36" ht="58" customHeight="1">
      <x:c r="A36" s="3947" t="str">
        <x:v>R-032</x:v>
      </x:c>
      <x:c r="B36" s="3947" t="str">
        <x:v>DirectivaOperativa</x:v>
      </x:c>
      <x:c r="C36" s="3947" t="str">
        <x:v>1</x:v>
      </x:c>
      <x:c r="D36" s="3947" t="str">
        <x:v>afecta</x:v>
      </x:c>
      <x:c r="E36" s="3947" t="str">
        <x:v>Objetivo operativo</x:v>
      </x:c>
      <x:c r="F36" s="3947" t="str">
        <x:v>1..N</x:v>
      </x:c>
      <x:c r="G36" s="3947" t="str">
        <x:v>DirectivaOperativaObjetivo</x:v>
      </x:c>
      <x:c r="H36" s="3947" t="str">
        <x:v>Append-only</x:v>
      </x:c>
      <x:c r="I36" s="3947" t="str">
        <x:v>emitida≠recibida≠aplicada.</x:v>
      </x:c>
      <x:c r="J36" s="3948" t="str">
        <x:v>FROZEN</x:v>
      </x:c>
    </x:row>
    <x:row r="37" ht="58" customHeight="1">
      <x:c r="A37" s="3947" t="str">
        <x:v>R-033</x:v>
      </x:c>
      <x:c r="B37" s="3947" t="str">
        <x:v>PlanificacionVersion</x:v>
      </x:c>
      <x:c r="C37" s="3947" t="str">
        <x:v>1</x:v>
      </x:c>
      <x:c r="D37" s="3947" t="str">
        <x:v>proyecta</x:v>
      </x:c>
      <x:c r="E37" s="3947" t="str">
        <x:v>ExecutionContextBundle</x:v>
      </x:c>
      <x:c r="F37" s="3947" t="str">
        <x:v>0..N</x:v>
      </x:c>
      <x:c r="G37" s="3947" t="str">
        <x:v>bundle.plan_version_id</x:v>
      </x:c>
      <x:c r="H37" s="3947" t="str">
        <x:v>Projection disposable</x:v>
      </x:c>
      <x:c r="I37" s="3947" t="str">
        <x:v>Bundle no es fuente de verdad.</x:v>
      </x:c>
      <x:c r="J37" s="3948" t="str">
        <x:v>FROZEN</x:v>
      </x:c>
    </x:row>
    <x:row r="38" ht="58" customHeight="1">
      <x:c r="A38" s="3947" t="str">
        <x:v>R-034</x:v>
      </x:c>
      <x:c r="B38" s="3947" t="str">
        <x:v>TipoParte</x:v>
      </x:c>
      <x:c r="C38" s="3947" t="str">
        <x:v>1</x:v>
      </x:c>
      <x:c r="D38" s="3947" t="str">
        <x:v>instancia</x:v>
      </x:c>
      <x:c r="E38" s="3947" t="str">
        <x:v>Parte</x:v>
      </x:c>
      <x:c r="F38" s="3947" t="str">
        <x:v>0..N</x:v>
      </x:c>
      <x:c r="G38" s="3947" t="str">
        <x:v>parte.tipo_parte_id</x:v>
      </x:c>
      <x:c r="H38" s="3947" t="str">
        <x:v>No cascade histórico</x:v>
      </x:c>
      <x:c r="I38" s="3947" t="str">
        <x:v>Todo Parte tiene exactamente un TipoParte resuelto.</x:v>
      </x:c>
      <x:c r="J38" s="3948" t="str">
        <x:v>FROZEN</x:v>
      </x:c>
    </x:row>
    <x:row r="39" ht="58" customHeight="1">
      <x:c r="A39" s="3947" t="str">
        <x:v>R-035</x:v>
      </x:c>
      <x:c r="B39" s="3947" t="str">
        <x:v>Parte</x:v>
      </x:c>
      <x:c r="C39" s="3947" t="str">
        <x:v>1</x:v>
      </x:c>
      <x:c r="D39" s="3947" t="str">
        <x:v>contiene</x:v>
      </x:c>
      <x:c r="E39" s="3947" t="str">
        <x:v>UnidadEjecucion</x:v>
      </x:c>
      <x:c r="F39" s="3947" t="str">
        <x:v>1..N</x:v>
      </x:c>
      <x:c r="G39" s="3947" t="str">
        <x:v>ue.parte_id</x:v>
      </x:c>
      <x:c r="H39" s="3947" t="str">
        <x:v>Aggregate-owned</x:v>
      </x:c>
      <x:c r="I39" s="3947" t="str">
        <x:v>Parte válido requiere al menos una UE salvo estado previo a inicio.</x:v>
      </x:c>
      <x:c r="J39" s="3948" t="str">
        <x:v>FROZEN</x:v>
      </x:c>
    </x:row>
    <x:row r="40" ht="58" customHeight="1">
      <x:c r="A40" s="3947" t="str">
        <x:v>R-036</x:v>
      </x:c>
      <x:c r="B40" s="3947" t="str">
        <x:v>UnidadEjecucion</x:v>
      </x:c>
      <x:c r="C40" s="3947" t="str">
        <x:v>0..N</x:v>
      </x:c>
      <x:c r="D40" s="3947" t="str">
        <x:v>incluye</x:v>
      </x:c>
      <x:c r="E40" s="3947" t="str">
        <x:v>Persona</x:v>
      </x:c>
      <x:c r="F40" s="3947" t="str">
        <x:v>0..N</x:v>
      </x:c>
      <x:c r="G40" s="3947" t="str">
        <x:v>AsignacionPersonaEjecucion</x:v>
      </x:c>
      <x:c r="H40" s="3947" t="str">
        <x:v>Temporal bridge</x:v>
      </x:c>
      <x:c r="I40" s="3947" t="str">
        <x:v>Reemplazos/handover se modelan por intervalos.</x:v>
      </x:c>
      <x:c r="J40" s="3948" t="str">
        <x:v>FROZEN</x:v>
      </x:c>
    </x:row>
    <x:row r="41" ht="58" customHeight="1">
      <x:c r="A41" s="3947" t="str">
        <x:v>R-037</x:v>
      </x:c>
      <x:c r="B41" s="3947" t="str">
        <x:v>UnidadEjecucion</x:v>
      </x:c>
      <x:c r="C41" s="3947" t="str">
        <x:v>0..N</x:v>
      </x:c>
      <x:c r="D41" s="3947" t="str">
        <x:v>incluye</x:v>
      </x:c>
      <x:c r="E41" s="3947" t="str">
        <x:v>Recurso</x:v>
      </x:c>
      <x:c r="F41" s="3947" t="str">
        <x:v>0..N</x:v>
      </x:c>
      <x:c r="G41" s="3947" t="str">
        <x:v>AsignacionRecursoEjecucion</x:v>
      </x:c>
      <x:c r="H41" s="3947" t="str">
        <x:v>Temporal bridge</x:v>
      </x:c>
      <x:c r="I41" s="3947" t="str">
        <x:v>Recurso adicional no implica nuevo Parte.</x:v>
      </x:c>
      <x:c r="J41" s="3948" t="str">
        <x:v>FROZEN</x:v>
      </x:c>
    </x:row>
    <x:row r="42" ht="58" customHeight="1">
      <x:c r="A42" s="3947" t="str">
        <x:v>R-038</x:v>
      </x:c>
      <x:c r="B42" s="3947" t="str">
        <x:v>UnidadEjecucion</x:v>
      </x:c>
      <x:c r="C42" s="3947" t="str">
        <x:v>1</x:v>
      </x:c>
      <x:c r="D42" s="3947" t="str">
        <x:v>ocurre en</x:v>
      </x:c>
      <x:c r="E42" s="3947" t="str">
        <x:v>UbicacionTecnica</x:v>
      </x:c>
      <x:c r="F42" s="3947" t="str">
        <x:v>1..N</x:v>
      </x:c>
      <x:c r="G42" s="3947" t="str">
        <x:v>EjecucionUbicacion</x:v>
      </x:c>
      <x:c r="H42" s="3947" t="str">
        <x:v>Execution-owned</x:v>
      </x:c>
      <x:c r="I42" s="3947" t="str">
        <x:v>Una UE puede tener origen/destino/principal.</x:v>
      </x:c>
      <x:c r="J42" s="3948" t="str">
        <x:v>FROZEN</x:v>
      </x:c>
    </x:row>
    <x:row r="43" ht="58" customHeight="1">
      <x:c r="A43" s="3947" t="str">
        <x:v>R-039</x:v>
      </x:c>
      <x:c r="B43" s="3947" t="str">
        <x:v>UnidadEjecucion</x:v>
      </x:c>
      <x:c r="C43" s="3947" t="str">
        <x:v>1</x:v>
      </x:c>
      <x:c r="D43" s="3947" t="str">
        <x:v>genera</x:v>
      </x:c>
      <x:c r="E43" s="3947" t="str">
        <x:v>EjecucionMedicion</x:v>
      </x:c>
      <x:c r="F43" s="3947" t="str">
        <x:v>0..N</x:v>
      </x:c>
      <x:c r="G43" s="3947" t="str">
        <x:v>medicion.unidad_ejecucion_id</x:v>
      </x:c>
      <x:c r="H43" s="3947" t="str">
        <x:v>Append/controlled correction</x:v>
      </x:c>
      <x:c r="I43" s="3947" t="str">
        <x:v>Medición operativa ≠ cantidad certificada.</x:v>
      </x:c>
      <x:c r="J43" s="3948" t="str">
        <x:v>FROZEN</x:v>
      </x:c>
    </x:row>
    <x:row r="44" ht="58" customHeight="1">
      <x:c r="A44" s="3947" t="str">
        <x:v>R-040</x:v>
      </x:c>
      <x:c r="B44" s="3947" t="str">
        <x:v>Parte/UnidadEjecucion</x:v>
      </x:c>
      <x:c r="C44" s="3947" t="str">
        <x:v>1</x:v>
      </x:c>
      <x:c r="D44" s="3947" t="str">
        <x:v>registra</x:v>
      </x:c>
      <x:c r="E44" s="3947" t="str">
        <x:v>EventoTiempo</x:v>
      </x:c>
      <x:c r="F44" s="3947" t="str">
        <x:v>0..N</x:v>
      </x:c>
      <x:c r="G44" s="3947" t="str">
        <x:v>evento_tiempo scope FK</x:v>
      </x:c>
      <x:c r="H44" s="3947" t="str">
        <x:v>Append-only</x:v>
      </x:c>
      <x:c r="I44" s="3947" t="str">
        <x:v>Intervalos no se sobreescriben.</x:v>
      </x:c>
      <x:c r="J44" s="3948" t="str">
        <x:v>FROZEN</x:v>
      </x:c>
    </x:row>
    <x:row r="45" ht="58" customHeight="1">
      <x:c r="A45" s="3947" t="str">
        <x:v>R-041</x:v>
      </x:c>
      <x:c r="B45" s="3947" t="str">
        <x:v>Parte/UnidadEjecucion</x:v>
      </x:c>
      <x:c r="C45" s="3947" t="str">
        <x:v>1</x:v>
      </x:c>
      <x:c r="D45" s="3947" t="str">
        <x:v>registra</x:v>
      </x:c>
      <x:c r="E45" s="3947" t="str">
        <x:v>EventoOperativo</x:v>
      </x:c>
      <x:c r="F45" s="3947" t="str">
        <x:v>0..N</x:v>
      </x:c>
      <x:c r="G45" s="3947" t="str">
        <x:v>evento_operativo scope FK</x:v>
      </x:c>
      <x:c r="H45" s="3947" t="str">
        <x:v>Append-only</x:v>
      </x:c>
      <x:c r="I45" s="3947" t="str">
        <x:v>Desvío es evento, no columna booleana.</x:v>
      </x:c>
      <x:c r="J45" s="3948" t="str">
        <x:v>FROZEN</x:v>
      </x:c>
    </x:row>
    <x:row r="46" ht="58" customHeight="1">
      <x:c r="A46" s="3947" t="str">
        <x:v>R-042</x:v>
      </x:c>
      <x:c r="B46" s="3947" t="str">
        <x:v>UnidadEjecucion</x:v>
      </x:c>
      <x:c r="C46" s="3947" t="str">
        <x:v>0..N</x:v>
      </x:c>
      <x:c r="D46" s="3947" t="str">
        <x:v>origen/destino de</x:v>
      </x:c>
      <x:c r="E46" s="3947" t="str">
        <x:v>TransicionOperativa</x:v>
      </x:c>
      <x:c r="F46" s="3947" t="str">
        <x:v>0..N</x:v>
      </x:c>
      <x:c r="G46" s="3947" t="str">
        <x:v>origen_ue_id/destino_ue_id</x:v>
      </x:c>
      <x:c r="H46" s="3947" t="str">
        <x:v>Append-only</x:v>
      </x:c>
      <x:c r="I46" s="3947" t="str">
        <x:v>Una transición puede tener uno de los extremos nulo.</x:v>
      </x:c>
      <x:c r="J46" s="3948" t="str">
        <x:v>FROZEN</x:v>
      </x:c>
    </x:row>
    <x:row r="47" ht="58" customHeight="1">
      <x:c r="A47" s="3947" t="str">
        <x:v>R-043</x:v>
      </x:c>
      <x:c r="B47" s="3947" t="str">
        <x:v>UnidadEjecucion</x:v>
      </x:c>
      <x:c r="C47" s="3947" t="str">
        <x:v>1</x:v>
      </x:c>
      <x:c r="D47" s="3947" t="str">
        <x:v>tiene</x:v>
      </x:c>
      <x:c r="E47" s="3947" t="str">
        <x:v>ImputacionEjecucion</x:v>
      </x:c>
      <x:c r="F47" s="3947" t="str">
        <x:v>0..N</x:v>
      </x:c>
      <x:c r="G47" s="3947" t="str">
        <x:v>imputacion.unidad_ejecucion_id</x:v>
      </x:c>
      <x:c r="H47" s="3947" t="str">
        <x:v>Historical/versioned</x:v>
      </x:c>
      <x:c r="I47" s="3947" t="str">
        <x:v>No inventar CC/Item faltante.</x:v>
      </x:c>
      <x:c r="J47" s="3948" t="str">
        <x:v>FROZEN</x:v>
      </x:c>
    </x:row>
    <x:row r="48" ht="58" customHeight="1">
      <x:c r="A48" s="3947" t="str">
        <x:v>R-044</x:v>
      </x:c>
      <x:c r="B48" s="3947" t="str">
        <x:v>ImputacionEjecucion</x:v>
      </x:c>
      <x:c r="C48" s="3947" t="str">
        <x:v>0..N</x:v>
      </x:c>
      <x:c r="D48" s="3947" t="str">
        <x:v>referencia</x:v>
      </x:c>
      <x:c r="E48" s="3947" t="str">
        <x:v>ContratoServicio</x:v>
      </x:c>
      <x:c r="F48" s="3947" t="str">
        <x:v>0..1</x:v>
      </x:c>
      <x:c r="G48" s="3947" t="str">
        <x:v>imputacion.contrato_servicio_id</x:v>
      </x:c>
      <x:c r="H48" s="3947" t="str">
        <x:v>Nullable until resolved</x:v>
      </x:c>
      <x:c r="I48" s="3947" t="str">
        <x:v>PENDIENTE contractual es estado explícito.</x:v>
      </x:c>
      <x:c r="J48" s="3948" t="str">
        <x:v>FROZEN</x:v>
      </x:c>
    </x:row>
    <x:row r="49" ht="58" customHeight="1">
      <x:c r="A49" s="3947" t="str">
        <x:v>R-045</x:v>
      </x:c>
      <x:c r="B49" s="3947" t="str">
        <x:v>ImputacionEjecucion</x:v>
      </x:c>
      <x:c r="C49" s="3947" t="str">
        <x:v>0..N</x:v>
      </x:c>
      <x:c r="D49" s="3947" t="str">
        <x:v>referencia</x:v>
      </x:c>
      <x:c r="E49" s="3947" t="str">
        <x:v>CentroCosto</x:v>
      </x:c>
      <x:c r="F49" s="3947" t="str">
        <x:v>0..1</x:v>
      </x:c>
      <x:c r="G49" s="3947" t="str">
        <x:v>imputacion.centro_costo_id</x:v>
      </x:c>
      <x:c r="H49" s="3947" t="str">
        <x:v>Nullable until resolved</x:v>
      </x:c>
      <x:c r="I49" s="3947" t="str">
        <x:v>CentroCosto debe ser permitido por contexto cuando esté resuelto.</x:v>
      </x:c>
      <x:c r="J49" s="3949" t="str">
        <x:v>CONFIG</x:v>
      </x:c>
    </x:row>
    <x:row r="50" ht="58" customHeight="1">
      <x:c r="A50" s="3947" t="str">
        <x:v>R-046</x:v>
      </x:c>
      <x:c r="B50" s="3947" t="str">
        <x:v>ImputacionEjecucion</x:v>
      </x:c>
      <x:c r="C50" s="3947" t="str">
        <x:v>0..N</x:v>
      </x:c>
      <x:c r="D50" s="3947" t="str">
        <x:v>referencia</x:v>
      </x:c>
      <x:c r="E50" s="3947" t="str">
        <x:v>ItemContrato</x:v>
      </x:c>
      <x:c r="F50" s="3947" t="str">
        <x:v>0..1</x:v>
      </x:c>
      <x:c r="G50" s="3947" t="str">
        <x:v>imputacion.item_contrato_id</x:v>
      </x:c>
      <x:c r="H50" s="3947" t="str">
        <x:v>Nullable until resolved</x:v>
      </x:c>
      <x:c r="I50" s="3947" t="str">
        <x:v>Item debe pertenecer al ContratoServicio resuelto.</x:v>
      </x:c>
      <x:c r="J50" s="3949" t="str">
        <x:v>CONFIG</x:v>
      </x:c>
    </x:row>
    <x:row r="51" ht="58" customHeight="1">
      <x:c r="A51" s="3947" t="str">
        <x:v>R-047</x:v>
      </x:c>
      <x:c r="B51" s="3947" t="str">
        <x:v>Recurso</x:v>
      </x:c>
      <x:c r="C51" s="3947" t="str">
        <x:v>1</x:v>
      </x:c>
      <x:c r="D51" s="3947" t="str">
        <x:v>tiene historial de</x:v>
      </x:c>
      <x:c r="E51" s="3947" t="str">
        <x:v>DisponibilidadRecurso</x:v>
      </x:c>
      <x:c r="F51" s="3947" t="str">
        <x:v>0..N</x:v>
      </x:c>
      <x:c r="G51" s="3947" t="str">
        <x:v>disponibilidad.recurso_id</x:v>
      </x:c>
      <x:c r="H51" s="3947" t="str">
        <x:v>Temporal append</x:v>
      </x:c>
      <x:c r="I51" s="3947" t="str">
        <x:v>No deducir disponibilidad actual borrando historial.</x:v>
      </x:c>
      <x:c r="J51" s="3948" t="str">
        <x:v>FROZEN</x:v>
      </x:c>
    </x:row>
    <x:row r="52" ht="58" customHeight="1">
      <x:c r="A52" s="3947" t="str">
        <x:v>R-048</x:v>
      </x:c>
      <x:c r="B52" s="3947" t="str">
        <x:v>Evidencia</x:v>
      </x:c>
      <x:c r="C52" s="3947" t="str">
        <x:v>1</x:v>
      </x:c>
      <x:c r="D52" s="3947" t="str">
        <x:v>valida/documenta</x:v>
      </x:c>
      <x:c r="E52" s="3947" t="str">
        <x:v>Objeto trazable</x:v>
      </x:c>
      <x:c r="F52" s="3947" t="str">
        <x:v>1..N</x:v>
      </x:c>
      <x:c r="G52" s="3947" t="str">
        <x:v>EvidenciaVinculo</x:v>
      </x:c>
      <x:c r="H52" s="3947" t="str">
        <x:v>Append-only</x:v>
      </x:c>
      <x:c r="I52" s="3947" t="str">
        <x:v>Implementar targets tipados; no FK polimórfico sin control.</x:v>
      </x:c>
      <x:c r="J52" s="3948" t="str">
        <x:v>FROZEN</x:v>
      </x:c>
    </x:row>
    <x:row r="53" ht="58" customHeight="1">
      <x:c r="A53" s="3947" t="str">
        <x:v>R-049</x:v>
      </x:c>
      <x:c r="B53" s="3947" t="str">
        <x:v>PermisoTrabajo</x:v>
      </x:c>
      <x:c r="C53" s="3947" t="str">
        <x:v>0..N</x:v>
      </x:c>
      <x:c r="D53" s="3947" t="str">
        <x:v>cubre</x:v>
      </x:c>
      <x:c r="E53" s="3947" t="str">
        <x:v>UnidadEjecucion</x:v>
      </x:c>
      <x:c r="F53" s="3947" t="str">
        <x:v>0..N</x:v>
      </x:c>
      <x:c r="G53" s="3947" t="str">
        <x:v>PermisoTrabajoUnidadEjecucion</x:v>
      </x:c>
      <x:c r="H53" s="3947" t="str">
        <x:v>Temporal bridge</x:v>
      </x:c>
      <x:c r="I53" s="3947" t="str">
        <x:v>PTW distinto no redefine TP-01.</x:v>
      </x:c>
      <x:c r="J53" s="3948" t="str">
        <x:v>FROZEN</x:v>
      </x:c>
    </x:row>
    <x:row r="54" ht="58" customHeight="1">
      <x:c r="A54" s="3947" t="str">
        <x:v>R-050</x:v>
      </x:c>
      <x:c r="B54" s="3947" t="str">
        <x:v>EnmiendaOperativa</x:v>
      </x:c>
      <x:c r="C54" s="3947" t="str">
        <x:v>1</x:v>
      </x:c>
      <x:c r="D54" s="3947" t="str">
        <x:v>corrige</x:v>
      </x:c>
      <x:c r="E54" s="3947" t="str">
        <x:v>Objeto operacional/version</x:v>
      </x:c>
      <x:c r="F54" s="3947" t="str">
        <x:v>1</x:v>
      </x:c>
      <x:c r="G54" s="3947" t="str">
        <x:v>target/version ref</x:v>
      </x:c>
      <x:c r="H54" s="3947" t="str">
        <x:v>Append-only</x:v>
      </x:c>
      <x:c r="I54" s="3947" t="str">
        <x:v>Original nunca desaparece.</x:v>
      </x:c>
      <x:c r="J54" s="3948" t="str">
        <x:v>FROZEN</x:v>
      </x:c>
    </x:row>
    <x:row r="55" ht="58" customHeight="1">
      <x:c r="A55" s="3947" t="str">
        <x:v>R-051</x:v>
      </x:c>
      <x:c r="B55" s="3947" t="str">
        <x:v>EvaluacionHabilitacion</x:v>
      </x:c>
      <x:c r="C55" s="3947" t="str">
        <x:v>0..N</x:v>
      </x:c>
      <x:c r="D55" s="3947" t="str">
        <x:v>puede tener</x:v>
      </x:c>
      <x:c r="E55" s="3947" t="str">
        <x:v>OverrideGate</x:v>
      </x:c>
      <x:c r="F55" s="3947" t="str">
        <x:v>0..N</x:v>
      </x:c>
      <x:c r="G55" s="3947" t="str">
        <x:v>override.evaluacion_id</x:v>
      </x:c>
      <x:c r="H55" s="3947" t="str">
        <x:v>Append-only</x:v>
      </x:c>
      <x:c r="I55" s="3947" t="str">
        <x:v>Solo warnings configurados; hard block no default.</x:v>
      </x:c>
      <x:c r="J55" s="3948" t="str">
        <x:v>FROZEN</x:v>
      </x:c>
    </x:row>
    <x:row r="56" ht="58" customHeight="1">
      <x:c r="A56" s="3947" t="str">
        <x:v>R-052</x:v>
      </x:c>
      <x:c r="B56" s="3947" t="str">
        <x:v>EventoHabilita</x:v>
      </x:c>
      <x:c r="C56" s="3947" t="str">
        <x:v>0..N</x:v>
      </x:c>
      <x:c r="D56" s="3947" t="str">
        <x:v>se vincula a</x:v>
      </x:c>
      <x:c r="E56" s="3947" t="str">
        <x:v>UnidadEjecucion</x:v>
      </x:c>
      <x:c r="F56" s="3947" t="str">
        <x:v>0..N</x:v>
      </x:c>
      <x:c r="G56" s="3947" t="str">
        <x:v>EventoHabilitaUnidadEjecucion</x:v>
      </x:c>
      <x:c r="H56" s="3947" t="str">
        <x:v>Append-only bridge</x:v>
      </x:c>
      <x:c r="I56" s="3947" t="str">
        <x:v>Evento puede existir sin UE.</x:v>
      </x:c>
      <x:c r="J56" s="3948" t="str">
        <x:v>FROZEN</x:v>
      </x:c>
    </x:row>
    <x:row r="57" ht="58" customHeight="1">
      <x:c r="A57" s="3947" t="str">
        <x:v>R-053</x:v>
      </x:c>
      <x:c r="B57" s="3947" t="str">
        <x:v>EventoHabilita</x:v>
      </x:c>
      <x:c r="C57" s="3947" t="str">
        <x:v>0..N</x:v>
      </x:c>
      <x:c r="D57" s="3947" t="str">
        <x:v>involucra</x:v>
      </x:c>
      <x:c r="E57" s="3947" t="str">
        <x:v>Persona</x:v>
      </x:c>
      <x:c r="F57" s="3947" t="str">
        <x:v>0..N</x:v>
      </x:c>
      <x:c r="G57" s="3947" t="str">
        <x:v>EventoHabilitaPersona</x:v>
      </x:c>
      <x:c r="H57" s="3947" t="str">
        <x:v>Append-only bridge</x:v>
      </x:c>
      <x:c r="I57" s="3947" t="str">
        <x:v>Roles Habilita tipados.</x:v>
      </x:c>
      <x:c r="J57" s="3948" t="str">
        <x:v>FROZEN</x:v>
      </x:c>
    </x:row>
    <x:row r="58" ht="58" customHeight="1">
      <x:c r="A58" s="3947" t="str">
        <x:v>R-054</x:v>
      </x:c>
      <x:c r="B58" s="3947" t="str">
        <x:v>EventoHabilita</x:v>
      </x:c>
      <x:c r="C58" s="3947" t="str">
        <x:v>0..N</x:v>
      </x:c>
      <x:c r="D58" s="3947" t="str">
        <x:v>involucra</x:v>
      </x:c>
      <x:c r="E58" s="3947" t="str">
        <x:v>Recurso</x:v>
      </x:c>
      <x:c r="F58" s="3947" t="str">
        <x:v>0..N</x:v>
      </x:c>
      <x:c r="G58" s="3947" t="str">
        <x:v>EventoHabilitaRecurso</x:v>
      </x:c>
      <x:c r="H58" s="3947" t="str">
        <x:v>Append-only bridge</x:v>
      </x:c>
      <x:c r="I58" s="3947" t="str">
        <x:v>Mismo recurso puede estar en múltiples eventos.</x:v>
      </x:c>
      <x:c r="J58" s="3948" t="str">
        <x:v>FROZEN</x:v>
      </x:c>
    </x:row>
    <x:row r="59" ht="58" customHeight="1">
      <x:c r="A59" s="3947" t="str">
        <x:v>R-055</x:v>
      </x:c>
      <x:c r="B59" s="3947" t="str">
        <x:v>EventoHabilita</x:v>
      </x:c>
      <x:c r="C59" s="3947" t="str">
        <x:v>0..N</x:v>
      </x:c>
      <x:c r="D59" s="3947" t="str">
        <x:v>relaciona</x:v>
      </x:c>
      <x:c r="E59" s="3947" t="str">
        <x:v>PermisoTrabajo</x:v>
      </x:c>
      <x:c r="F59" s="3947" t="str">
        <x:v>0..N</x:v>
      </x:c>
      <x:c r="G59" s="3947" t="str">
        <x:v>EventoHabilitaPermiso</x:v>
      </x:c>
      <x:c r="H59" s="3947" t="str">
        <x:v>Append-only bridge</x:v>
      </x:c>
      <x:c r="I59" s="3947" t="str">
        <x:v>Evento y PTW mantienen lifecycles separados.</x:v>
      </x:c>
      <x:c r="J59" s="3948" t="str">
        <x:v>FROZEN</x:v>
      </x:c>
    </x:row>
    <x:row r="60" ht="58" customHeight="1">
      <x:c r="A60" s="3947" t="str">
        <x:v>R-056</x:v>
      </x:c>
      <x:c r="B60" s="3947" t="str">
        <x:v>EventoHabilita</x:v>
      </x:c>
      <x:c r="C60" s="3947" t="str">
        <x:v>1</x:v>
      </x:c>
      <x:c r="D60" s="3947" t="str">
        <x:v>es evaluado por</x:v>
      </x:c>
      <x:c r="E60" s="3947" t="str">
        <x:v>EvaluacionEscalamientoHabilita</x:v>
      </x:c>
      <x:c r="F60" s="3947" t="str">
        <x:v>0..N</x:v>
      </x:c>
      <x:c r="G60" s="3947" t="str">
        <x:v>evaluacion.evento_habilita_id</x:v>
      </x:c>
      <x:c r="H60" s="3947" t="str">
        <x:v>Append snapshots</x:v>
      </x:c>
      <x:c r="I60" s="3947" t="str">
        <x:v>Reevaluar sin borrar evaluación previa.</x:v>
      </x:c>
      <x:c r="J60" s="3948" t="str">
        <x:v>FROZEN</x:v>
      </x:c>
    </x:row>
    <x:row r="61" ht="58" customHeight="1">
      <x:c r="A61" s="3947" t="str">
        <x:v>R-057</x:v>
      </x:c>
      <x:c r="B61" s="3947" t="str">
        <x:v>EventoHabilita</x:v>
      </x:c>
      <x:c r="C61" s="3947" t="str">
        <x:v>1</x:v>
      </x:c>
      <x:c r="D61" s="3947" t="str">
        <x:v>puede abrir</x:v>
      </x:c>
      <x:c r="E61" s="3947" t="str">
        <x:v>CasoHabilita</x:v>
      </x:c>
      <x:c r="F61" s="3947" t="str">
        <x:v>0..1</x:v>
      </x:c>
      <x:c r="G61" s="3947" t="str">
        <x:v>caso.evento_habilita_id UNIQUE</x:v>
      </x:c>
      <x:c r="H61" s="3947" t="str">
        <x:v>Case lifecycle</x:v>
      </x:c>
      <x:c r="I61" s="3947" t="str">
        <x:v>Baseline: máximo un caso por evento.</x:v>
      </x:c>
      <x:c r="J61" s="3948" t="str">
        <x:v>FROZEN</x:v>
      </x:c>
    </x:row>
    <x:row r="62" ht="58" customHeight="1">
      <x:c r="A62" s="3947" t="str">
        <x:v>R-058</x:v>
      </x:c>
      <x:c r="B62" s="3947" t="str">
        <x:v>EventoHabilita</x:v>
      </x:c>
      <x:c r="C62" s="3947" t="str">
        <x:v>1</x:v>
      </x:c>
      <x:c r="D62" s="3947" t="str">
        <x:v>tiene</x:v>
      </x:c>
      <x:c r="E62" s="3947" t="str">
        <x:v>MedicionEventoHabilita</x:v>
      </x:c>
      <x:c r="F62" s="3947" t="str">
        <x:v>0..N</x:v>
      </x:c>
      <x:c r="G62" s="3947" t="str">
        <x:v>medicion.evento_habilita_id</x:v>
      </x:c>
      <x:c r="H62" s="3947" t="str">
        <x:v>Versioned/append</x:v>
      </x:c>
      <x:c r="I62" s="3947" t="str">
        <x:v>Estimación y confirmación coexisten.</x:v>
      </x:c>
      <x:c r="J62" s="3948" t="str">
        <x:v>FROZEN</x:v>
      </x:c>
    </x:row>
    <x:row r="63" ht="58" customHeight="1">
      <x:c r="A63" s="3947" t="str">
        <x:v>R-059</x:v>
      </x:c>
      <x:c r="B63" s="3947" t="str">
        <x:v>EventoHabilita/CasoHabilita</x:v>
      </x:c>
      <x:c r="C63" s="3947" t="str">
        <x:v>1</x:v>
      </x:c>
      <x:c r="D63" s="3947" t="str">
        <x:v>genera</x:v>
      </x:c>
      <x:c r="E63" s="3947" t="str">
        <x:v>NotificacionHabilita</x:v>
      </x:c>
      <x:c r="F63" s="3947" t="str">
        <x:v>0..N</x:v>
      </x:c>
      <x:c r="G63" s="3947" t="str">
        <x:v>notification scope FK</x:v>
      </x:c>
      <x:c r="H63" s="3947" t="str">
        <x:v>Append/workflow</x:v>
      </x:c>
      <x:c r="I63" s="3947" t="str">
        <x:v>Canal técnico no forma parte del ERD funcional.</x:v>
      </x:c>
      <x:c r="J63" s="3948" t="str">
        <x:v>FROZEN</x:v>
      </x:c>
    </x:row>
    <x:row r="64" ht="58" customHeight="1">
      <x:c r="A64" s="3947" t="str">
        <x:v>R-060</x:v>
      </x:c>
      <x:c r="B64" s="3947" t="str">
        <x:v>CasoHabilita</x:v>
      </x:c>
      <x:c r="C64" s="3947" t="str">
        <x:v>1</x:v>
      </x:c>
      <x:c r="D64" s="3947" t="str">
        <x:v>genera</x:v>
      </x:c>
      <x:c r="E64" s="3947" t="str">
        <x:v>AccionCorrectivaHabilita</x:v>
      </x:c>
      <x:c r="F64" s="3947" t="str">
        <x:v>0..N</x:v>
      </x:c>
      <x:c r="G64" s="3947" t="str">
        <x:v>accion.caso_habilita_id</x:v>
      </x:c>
      <x:c r="H64" s="3947" t="str">
        <x:v>Independent lifecycle</x:v>
      </x:c>
      <x:c r="I64" s="3947" t="str">
        <x:v>Estado acción ≠ estado caso.</x:v>
      </x:c>
      <x:c r="J64" s="3948" t="str">
        <x:v>FROZEN</x:v>
      </x:c>
    </x:row>
    <x:row r="65" ht="58" customHeight="1">
      <x:c r="A65" s="3947" t="str">
        <x:v>R-061</x:v>
      </x:c>
      <x:c r="B65" s="3947" t="str">
        <x:v>UnidadComercial</x:v>
      </x:c>
      <x:c r="C65" s="3947" t="str">
        <x:v>0..N</x:v>
      </x:c>
      <x:c r="D65" s="3947" t="str">
        <x:v>se deriva de</x:v>
      </x:c>
      <x:c r="E65" s="3947" t="str">
        <x:v>UnidadEjecucion</x:v>
      </x:c>
      <x:c r="F65" s="3947" t="str">
        <x:v>0..N</x:v>
      </x:c>
      <x:c r="G65" s="3947" t="str">
        <x:v>UnidadComercialFuenteEjecucion</x:v>
      </x:c>
      <x:c r="H65" s="3947" t="str">
        <x:v>Immutable lineage bridge</x:v>
      </x:c>
      <x:c r="I65" s="3947" t="str">
        <x:v>Una UC puede consolidar N UE; una UE puede alimentar N UC.</x:v>
      </x:c>
      <x:c r="J65" s="3948" t="str">
        <x:v>FROZEN</x:v>
      </x:c>
    </x:row>
    <x:row r="66" ht="58" customHeight="1">
      <x:c r="A66" s="3947" t="str">
        <x:v>R-062</x:v>
      </x:c>
      <x:c r="B66" s="3947" t="str">
        <x:v>UnidadComercialFuenteEjecucion</x:v>
      </x:c>
      <x:c r="C66" s="3947" t="str">
        <x:v>0..N</x:v>
      </x:c>
      <x:c r="D66" s="3947" t="str">
        <x:v>puede precisar</x:v>
      </x:c>
      <x:c r="E66" s="3947" t="str">
        <x:v>ImputacionEjecucion</x:v>
      </x:c>
      <x:c r="F66" s="3947" t="str">
        <x:v>0..1</x:v>
      </x:c>
      <x:c r="G66" s="3947" t="str">
        <x:v>source.imputacion_id</x:v>
      </x:c>
      <x:c r="H66" s="3947" t="str">
        <x:v>Immutable lineage</x:v>
      </x:c>
      <x:c r="I66" s="3947" t="str">
        <x:v>La fuente comercial puede ser solo una porción/imputación de una UE.</x:v>
      </x:c>
      <x:c r="J66" s="3948" t="str">
        <x:v>FROZEN</x:v>
      </x:c>
    </x:row>
    <x:row r="67" ht="58" customHeight="1">
      <x:c r="A67" s="3947" t="str">
        <x:v>R-063</x:v>
      </x:c>
      <x:c r="B67" s="3947" t="str">
        <x:v>UnidadComercial</x:v>
      </x:c>
      <x:c r="C67" s="3947" t="str">
        <x:v>0..1</x:v>
      </x:c>
      <x:c r="D67" s="3947" t="str">
        <x:v>sustituye a</x:v>
      </x:c>
      <x:c r="E67" s="3947" t="str">
        <x:v>UnidadComercial</x:v>
      </x:c>
      <x:c r="F67" s="3947" t="str">
        <x:v>0..N</x:v>
      </x:c>
      <x:c r="G67" s="3947" t="str">
        <x:v>unidad_comercial_sustituye_a_id</x:v>
      </x:c>
      <x:c r="H67" s="3947" t="str">
        <x:v>No delete</x:v>
      </x:c>
      <x:c r="I67" s="3947" t="str">
        <x:v>Supersession forma cadena acíclica.</x:v>
      </x:c>
      <x:c r="J67" s="3948" t="str">
        <x:v>FROZEN</x:v>
      </x:c>
    </x:row>
    <x:row r="68" ht="58" customHeight="1">
      <x:c r="A68" s="3947" t="str">
        <x:v>R-064</x:v>
      </x:c>
      <x:c r="B68" s="3947" t="str">
        <x:v>ContratoServicio</x:v>
      </x:c>
      <x:c r="C68" s="3947" t="str">
        <x:v>1</x:v>
      </x:c>
      <x:c r="D68" s="3947" t="str">
        <x:v>rige</x:v>
      </x:c>
      <x:c r="E68" s="3947" t="str">
        <x:v>UnidadComercial</x:v>
      </x:c>
      <x:c r="F68" s="3947" t="str">
        <x:v>0..N</x:v>
      </x:c>
      <x:c r="G68" s="3947" t="str">
        <x:v>uc.contrato_servicio_id</x:v>
      </x:c>
      <x:c r="H68" s="3947" t="str">
        <x:v>Historical</x:v>
      </x:c>
      <x:c r="I68" s="3947" t="str">
        <x:v>UC conserva regla/version aplicada.</x:v>
      </x:c>
      <x:c r="J68" s="3948" t="str">
        <x:v>FROZEN</x:v>
      </x:c>
    </x:row>
    <x:row r="69" ht="58" customHeight="1">
      <x:c r="A69" s="3947" t="str">
        <x:v>R-065</x:v>
      </x:c>
      <x:c r="B69" s="3947" t="str">
        <x:v>ItemContrato</x:v>
      </x:c>
      <x:c r="C69" s="3947" t="str">
        <x:v>1</x:v>
      </x:c>
      <x:c r="D69" s="3947" t="str">
        <x:v>clasifica</x:v>
      </x:c>
      <x:c r="E69" s="3947" t="str">
        <x:v>UnidadComercial</x:v>
      </x:c>
      <x:c r="F69" s="3947" t="str">
        <x:v>0..N</x:v>
      </x:c>
      <x:c r="G69" s="3947" t="str">
        <x:v>uc.item_contrato_id</x:v>
      </x:c>
      <x:c r="H69" s="3947" t="str">
        <x:v>Historical</x:v>
      </x:c>
      <x:c r="I69" s="3947" t="str">
        <x:v>UC ya tiene item explícito.</x:v>
      </x:c>
      <x:c r="J69" s="3948" t="str">
        <x:v>FROZEN</x:v>
      </x:c>
    </x:row>
    <x:row r="70" ht="58" customHeight="1">
      <x:c r="A70" s="3947" t="str">
        <x:v>R-066</x:v>
      </x:c>
      <x:c r="B70" s="3947" t="str">
        <x:v>PaqueteCertificacion</x:v>
      </x:c>
      <x:c r="C70" s="3947" t="str">
        <x:v>0..N</x:v>
      </x:c>
      <x:c r="D70" s="3947" t="str">
        <x:v>incluye</x:v>
      </x:c>
      <x:c r="E70" s="3947" t="str">
        <x:v>UnidadComercial</x:v>
      </x:c>
      <x:c r="F70" s="3947" t="str">
        <x:v>0..N</x:v>
      </x:c>
      <x:c r="G70" s="3947" t="str">
        <x:v>PaqueteCertificacionUnidadComercial</x:v>
      </x:c>
      <x:c r="H70" s="3947" t="str">
        <x:v>Versioned bridge</x:v>
      </x:c>
      <x:c r="I70" s="3947" t="str">
        <x:v>No mover/borrar UC; versionar inclusión.</x:v>
      </x:c>
      <x:c r="J70" s="3948" t="str">
        <x:v>FROZEN</x:v>
      </x:c>
    </x:row>
    <x:row r="71" ht="58" customHeight="1">
      <x:c r="A71" s="3947" t="str">
        <x:v>R-067</x:v>
      </x:c>
      <x:c r="B71" s="3947" t="str">
        <x:v>PaqueteCertificacion</x:v>
      </x:c>
      <x:c r="C71" s="3947" t="str">
        <x:v>0..N</x:v>
      </x:c>
      <x:c r="D71" s="3947" t="str">
        <x:v>recibe</x:v>
      </x:c>
      <x:c r="E71" s="3947" t="str">
        <x:v>ConformidadCliente</x:v>
      </x:c>
      <x:c r="F71" s="3947" t="str">
        <x:v>0..N</x:v>
      </x:c>
      <x:c r="G71" s="3947" t="str">
        <x:v>conformidad target scope</x:v>
      </x:c>
      <x:c r="H71" s="3947" t="str">
        <x:v>Append-only</x:v>
      </x:c>
      <x:c r="I71" s="3947" t="str">
        <x:v>Conformidad puede tener otro scope según regla.</x:v>
      </x:c>
      <x:c r="J71" s="3949" t="str">
        <x:v>CONFIG</x:v>
      </x:c>
    </x:row>
    <x:row r="72" ht="58" customHeight="1">
      <x:c r="A72" s="3947" t="str">
        <x:v>R-068</x:v>
      </x:c>
      <x:c r="B72" s="3947" t="str">
        <x:v>UnidadComercial</x:v>
      </x:c>
      <x:c r="C72" s="3947" t="str">
        <x:v>0..N</x:v>
      </x:c>
      <x:c r="D72" s="3947" t="str">
        <x:v>recibe</x:v>
      </x:c>
      <x:c r="E72" s="3947" t="str">
        <x:v>ObservacionCertificacion</x:v>
      </x:c>
      <x:c r="F72" s="3947" t="str">
        <x:v>0..N</x:v>
      </x:c>
      <x:c r="G72" s="3947" t="str">
        <x:v>observacion target scope</x:v>
      </x:c>
      <x:c r="H72" s="3947" t="str">
        <x:v>Append-only</x:v>
      </x:c>
      <x:c r="I72" s="3947" t="str">
        <x:v>Observación no cambia verdad operativa.</x:v>
      </x:c>
      <x:c r="J72" s="3948" t="str">
        <x:v>FROZEN</x:v>
      </x:c>
    </x:row>
    <x:row r="73" ht="58" customHeight="1">
      <x:c r="A73" s="3947" t="str">
        <x:v>R-069</x:v>
      </x:c>
      <x:c r="B73" s="3947" t="str">
        <x:v>UnidadComercial/Paquete</x:v>
      </x:c>
      <x:c r="C73" s="3947" t="str">
        <x:v>0..N</x:v>
      </x:c>
      <x:c r="D73" s="3947" t="str">
        <x:v>recibe</x:v>
      </x:c>
      <x:c r="E73" s="3947" t="str">
        <x:v>AjusteCertificacion</x:v>
      </x:c>
      <x:c r="F73" s="3947" t="str">
        <x:v>0..N</x:v>
      </x:c>
      <x:c r="G73" s="3947" t="str">
        <x:v>ajuste target scope</x:v>
      </x:c>
      <x:c r="H73" s="3947" t="str">
        <x:v>Append-only</x:v>
      </x:c>
      <x:c r="I73" s="3947" t="str">
        <x:v>Ajuste comercial ≠ EnmiendaOperativa.</x:v>
      </x:c>
      <x:c r="J73" s="3948" t="str">
        <x:v>FROZEN</x:v>
      </x:c>
    </x:row>
    <x:row r="74" ht="58" customHeight="1">
      <x:c r="A74" s="3947" t="str">
        <x:v>R-070</x:v>
      </x:c>
      <x:c r="B74" s="3947" t="str">
        <x:v>UnidadComercial</x:v>
      </x:c>
      <x:c r="C74" s="3947" t="str">
        <x:v>1</x:v>
      </x:c>
      <x:c r="D74" s="3947" t="str">
        <x:v>habilita</x:v>
      </x:c>
      <x:c r="E74" s="3947" t="str">
        <x:v>LineaFacturable</x:v>
      </x:c>
      <x:c r="F74" s="3947" t="str">
        <x:v>0..N</x:v>
      </x:c>
      <x:c r="G74" s="3947" t="str">
        <x:v>linea.unidad_comercial_id</x:v>
      </x:c>
      <x:c r="H74" s="3947" t="str">
        <x:v>Versioned/one effective</x:v>
      </x:c>
      <x:c r="I74" s="3947" t="str">
        <x:v>Solo UC aceptada/vigente puede facturar.</x:v>
      </x:c>
      <x:c r="J74" s="3948" t="str">
        <x:v>FROZEN</x:v>
      </x:c>
    </x:row>
    <x:row r="75" ht="58" customHeight="1">
      <x:c r="A75" s="3947" t="str">
        <x:v>R-071</x:v>
      </x:c>
      <x:c r="B75" s="3947" t="str">
        <x:v>LoteFacturacion</x:v>
      </x:c>
      <x:c r="C75" s="3947" t="str">
        <x:v>1</x:v>
      </x:c>
      <x:c r="D75" s="3947" t="str">
        <x:v>agrupa</x:v>
      </x:c>
      <x:c r="E75" s="3947" t="str">
        <x:v>LineaFacturable</x:v>
      </x:c>
      <x:c r="F75" s="3947" t="str">
        <x:v>1..N</x:v>
      </x:c>
      <x:c r="G75" s="3947" t="str">
        <x:v>linea.lote_facturacion_id</x:v>
      </x:c>
      <x:c r="H75" s="3947" t="str">
        <x:v>Aggregate-owned</x:v>
      </x:c>
      <x:c r="I75" s="3947" t="str">
        <x:v>PaqueteCertificacion y LoteFacturacion son distintos.</x:v>
      </x:c>
      <x:c r="J75" s="3948" t="str">
        <x:v>FROZEN</x:v>
      </x:c>
    </x:row>
    <x:row r="76" ht="58" customHeight="1">
      <x:c r="A76" s="3947" t="str">
        <x:v>R-072</x:v>
      </x:c>
      <x:c r="B76" s="3947" t="str">
        <x:v>LoteFacturacion</x:v>
      </x:c>
      <x:c r="C76" s="3947" t="str">
        <x:v>1</x:v>
      </x:c>
      <x:c r="D76" s="3947" t="str">
        <x:v>se materializa en</x:v>
      </x:c>
      <x:c r="E76" s="3947" t="str">
        <x:v>Factura / Documento ERP</x:v>
      </x:c>
      <x:c r="F76" s="3947" t="str">
        <x:v>0..N</x:v>
      </x:c>
      <x:c r="G76" s="3947" t="str">
        <x:v>external reference</x:v>
      </x:c>
      <x:c r="H76" s="3947" t="str">
        <x:v>External boundary</x:v>
      </x:c>
      <x:c r="I76" s="3947" t="str">
        <x:v>ERP define documento real.</x:v>
      </x:c>
      <x:c r="J76" s="3944" t="str">
        <x:v>OUT OF CORE</x:v>
      </x:c>
    </x:row>
    <x:row r="77" ht="58" customHeight="1">
      <x:c r="A77" s="20" t="str">
        <x:v>R-073</x:v>
      </x:c>
      <x:c r="B77" s="20" t="str">
        <x:v>Objeto evaluable</x:v>
      </x:c>
      <x:c r="C77" s="20" t="str">
        <x:v>0..N</x:v>
      </x:c>
      <x:c r="D77" s="20" t="str">
        <x:v>genera</x:v>
      </x:c>
      <x:c r="E77" s="20" t="str">
        <x:v>DecisionTrace</x:v>
      </x:c>
      <x:c r="F77" s="20" t="str">
        <x:v>0..N</x:v>
      </x:c>
      <x:c r="G77" s="20" t="str">
        <x:v>subject_ref tipado</x:v>
      </x:c>
      <x:c r="H77" s="20" t="str">
        <x:v>Append-only audit</x:v>
      </x:c>
      <x:c r="I77" s="20" t="str">
        <x:v>Toda decisión crítica puede reconstruirse sin editar el objeto evaluado.</x:v>
      </x:c>
      <x:c r="J77" s="4249" t="str">
        <x:v>FROZEN</x:v>
      </x:c>
    </x:row>
    <x:row r="78" ht="58" customHeight="1">
      <x:c r="A78" s="20" t="str">
        <x:v>R-074</x:v>
      </x:c>
      <x:c r="B78" s="20" t="str">
        <x:v>DecisionTrace</x:v>
      </x:c>
      <x:c r="C78" s="20" t="str">
        <x:v>0..N</x:v>
      </x:c>
      <x:c r="D78" s="20" t="str">
        <x:v>puede encadenar</x:v>
      </x:c>
      <x:c r="E78" s="20" t="str">
        <x:v>DecisionTrace</x:v>
      </x:c>
      <x:c r="F78" s="20" t="str">
        <x:v>0..1</x:v>
      </x:c>
      <x:c r="G78" s="20" t="str">
        <x:v>parent_trace_id</x:v>
      </x:c>
      <x:c r="H78" s="20" t="str">
        <x:v>Append-only</x:v>
      </x:c>
      <x:c r="I78" s="20" t="str">
        <x:v>Una decisión puede derivar de otra sin perder causalidad.</x:v>
      </x:c>
      <x:c r="J78" s="4249" t="str">
        <x:v>FROZEN</x:v>
      </x:c>
    </x:row>
    <x:row r="79" ht="58" customHeight="1">
      <x:c r="A79" s="20" t="str">
        <x:v>R-075</x:v>
      </x:c>
      <x:c r="B79" s="20" t="str">
        <x:v>DecisionTrace</x:v>
      </x:c>
      <x:c r="C79" s="20" t="str">
        <x:v>1</x:v>
      </x:c>
      <x:c r="D79" s="20" t="str">
        <x:v>referencia versión de</x:v>
      </x:c>
      <x:c r="E79" s="20" t="str">
        <x:v>Ruleset/configuración</x:v>
      </x:c>
      <x:c r="F79" s="20" t="str">
        <x:v>1</x:v>
      </x:c>
      <x:c r="G79" s="20" t="str">
        <x:v>ruleset_version_ref</x:v>
      </x:c>
      <x:c r="H79" s="20" t="str">
        <x:v>Historical</x:v>
      </x:c>
      <x:c r="I79" s="20" t="str">
        <x:v>Nunca reevaluar una decisión histórica con reglas actuales para explicar el pasado.</x:v>
      </x:c>
      <x:c r="J79" s="4249" t="str">
        <x:v>FROZEN</x:v>
      </x:c>
    </x:row>
  </x:sheetData>
  <x:mergeCells>
    <x:mergeCell ref="A1:J1"/>
    <x:mergeCell ref="A2:J2"/>
  </x:mergeCells>
  <x:pageMargins left="0.7" right="0.7" top="0.75" bottom="0.75" header="0.3" footer="0.3"/>
</x:worksheet>
</file>

<file path=xl/worksheets/sheet46.xml><?xml version="1.0" encoding="utf-8"?>
<x:worksheet xmlns:x="http://schemas.openxmlformats.org/spreadsheetml/2006/main">
  <x:sheetFormatPr defaultRowHeight="15"/>
  <x:cols>
    <x:col min="1" max="1" width="10" hidden="0" customWidth="1"/>
    <x:col min="2" max="2" width="22" hidden="0" customWidth="1"/>
    <x:col min="3" max="3" width="46" hidden="0" customWidth="1"/>
    <x:col min="4" max="4" width="30" hidden="0" customWidth="1"/>
    <x:col min="5" max="5" width="28" hidden="0" customWidth="1"/>
    <x:col min="6" max="6" width="18" hidden="0" customWidth="1"/>
    <x:col min="7" max="7" width="38" hidden="0" customWidth="1"/>
  </x:cols>
  <x:sheetData>
    <x:row r="1">
      <x:c r="A1" s="3943" t="str">
        <x:v>MODELO RELACIONAL LÓGICO v0.1 · INVARIANTES / CONSTRAINTS</x:v>
      </x:c>
      <x:c r="B1" s="3943"/>
      <x:c r="C1" s="3943"/>
      <x:c r="D1" s="3943"/>
      <x:c r="E1" s="3943"/>
      <x:c r="F1" s="3943"/>
      <x:c r="G1" s="3943"/>
    </x:row>
    <x:row r="2">
      <x:c r="A2" s="3944" t="str">
        <x:v>Estas reglas valen aunque cambie la tecnología. Algunas serán constraints físicos; otras máquinas de estado/reglas de dominio.</x:v>
      </x:c>
      <x:c r="B2" s="3944"/>
      <x:c r="C2" s="3944"/>
      <x:c r="D2" s="3944"/>
      <x:c r="E2" s="3944"/>
      <x:c r="F2" s="3944"/>
      <x:c r="G2" s="3944"/>
    </x:row>
    <x:row r="3">
      <x:c r="A3" s="3945"/>
      <x:c r="B3" s="3945"/>
      <x:c r="C3" s="3945"/>
      <x:c r="D3" s="3945"/>
      <x:c r="E3" s="3945"/>
      <x:c r="F3" s="3945"/>
      <x:c r="G3" s="3945"/>
    </x:row>
    <x:row r="4">
      <x:c r="A4" s="3946" t="str">
        <x:v>ID</x:v>
      </x:c>
      <x:c r="B4" s="3946" t="str">
        <x:v>Área</x:v>
      </x:c>
      <x:c r="C4" s="3946" t="str">
        <x:v>Invariante</x:v>
      </x:c>
      <x:c r="D4" s="3946" t="str">
        <x:v>Entidades</x:v>
      </x:c>
      <x:c r="E4" s="3946" t="str">
        <x:v>Tipo de enforcement</x:v>
      </x:c>
      <x:c r="F4" s="3946" t="str">
        <x:v>Severidad</x:v>
      </x:c>
      <x:c r="G4" s="3946" t="str">
        <x:v>Razón</x:v>
      </x:c>
    </x:row>
    <x:row r="5" ht="60" customHeight="1">
      <x:c r="A5" s="3947" t="str">
        <x:v>C-001</x:v>
      </x:c>
      <x:c r="B5" s="3947" t="str">
        <x:v>Arquitectura</x:v>
      </x:c>
      <x:c r="C5" s="3947" t="str">
        <x:v>Planificación registra intención; Ejecución registra realidad; una nunca sobrescribe a la otra.</x:v>
      </x:c>
      <x:c r="D5" s="3947" t="str">
        <x:v>PlanificacionVersion, UnidadPlanificada, Parte, UnidadEjecucion</x:v>
      </x:c>
      <x:c r="E5" s="3947" t="str">
        <x:v>Dominio + versionado</x:v>
      </x:c>
      <x:c r="F5" s="3954" t="str">
        <x:v>CRÍTICA</x:v>
      </x:c>
      <x:c r="G5" s="3947" t="str">
        <x:v>Sin esta separación se pierde previsto vs real.</x:v>
      </x:c>
    </x:row>
    <x:row r="6" ht="60" customHeight="1">
      <x:c r="A6" s="3947" t="str">
        <x:v>C-002</x:v>
      </x:c>
      <x:c r="B6" s="3947" t="str">
        <x:v>Historia</x:v>
      </x:c>
      <x:c r="C6" s="3947" t="str">
        <x:v>Objetos usados en ejecución/certificación no se hard-delete; se versionan, invalidan o superseden.</x:v>
      </x:c>
      <x:c r="D6" s="3947" t="str">
        <x:v>ContratoVersion, PlanificacionVersion, UE, UC, Paquete, Habilita</x:v>
      </x:c>
      <x:c r="E6" s="3947" t="str">
        <x:v>Persistencia + dominio</x:v>
      </x:c>
      <x:c r="F6" s="3954" t="str">
        <x:v>CRÍTICA</x:v>
      </x:c>
      <x:c r="G6" s="3947" t="str">
        <x:v>Auditoría y reconstrucción histórica.</x:v>
      </x:c>
    </x:row>
    <x:row r="7" ht="60" customHeight="1">
      <x:c r="A7" s="3947" t="str">
        <x:v>C-003</x:v>
      </x:c>
      <x:c r="B7" s="3947" t="str">
        <x:v>Contrato</x:v>
      </x:c>
      <x:c r="C7" s="3947" t="str">
        <x:v>CentroCosto es dimensión independiente; nunca se usa como sustituto de Contrato.</x:v>
      </x:c>
      <x:c r="D7" s="3947" t="str">
        <x:v>Contrato, CentroCosto, ImputacionEjecucion</x:v>
      </x:c>
      <x:c r="E7" s="3947" t="str">
        <x:v>FK/regla</x:v>
      </x:c>
      <x:c r="F7" s="3954" t="str">
        <x:v>CRÍTICA</x:v>
      </x:c>
      <x:c r="G7" s="3947" t="str">
        <x:v>Evita errores de semántica contractual.</x:v>
      </x:c>
    </x:row>
    <x:row r="8" ht="60" customHeight="1">
      <x:c r="A8" s="3947" t="str">
        <x:v>C-004</x:v>
      </x:c>
      <x:c r="B8" s="3947" t="str">
        <x:v>Contrato</x:v>
      </x:c>
      <x:c r="C8" s="3947" t="str">
        <x:v>Una ImputacionEjecucion con estado contractual PENDIENTE no puede inventar CC/Item default.</x:v>
      </x:c>
      <x:c r="D8" s="3947" t="str">
        <x:v>ImputacionEjecucion</x:v>
      </x:c>
      <x:c r="E8" s="3947" t="str">
        <x:v>Dominio</x:v>
      </x:c>
      <x:c r="F8" s="3954" t="str">
        <x:v>CRÍTICA</x:v>
      </x:c>
      <x:c r="G8" s="3947" t="str">
        <x:v>La incertidumbre debe ser explícita.</x:v>
      </x:c>
    </x:row>
    <x:row r="9" ht="60" customHeight="1">
      <x:c r="A9" s="3947" t="str">
        <x:v>C-005</x:v>
      </x:c>
      <x:c r="B9" s="3947" t="str">
        <x:v>TipoParte</x:v>
      </x:c>
      <x:c r="C9" s="3947" t="str">
        <x:v>Todo Parte operativo tiene exactamente un TipoParte resuelto.</x:v>
      </x:c>
      <x:c r="D9" s="3947" t="str">
        <x:v>Parte, TipoParte</x:v>
      </x:c>
      <x:c r="E9" s="3947" t="str">
        <x:v>FK NOT NULL al iniciar</x:v>
      </x:c>
      <x:c r="F9" s="3954" t="str">
        <x:v>CRÍTICA</x:v>
      </x:c>
      <x:c r="G9" s="3947" t="str">
        <x:v>Comportamiento consistente.</x:v>
      </x:c>
    </x:row>
    <x:row r="10" ht="60" customHeight="1">
      <x:c r="A10" s="3947" t="str">
        <x:v>C-006</x:v>
      </x:c>
      <x:c r="B10" s="3947" t="str">
        <x:v>TipoParte</x:v>
      </x:c>
      <x:c r="C10" s="3947" t="str">
        <x:v>El camino normal no ofrece selector libre de TipoParte; Motor de Ruteo deriva la ruta.</x:v>
      </x:c>
      <x:c r="D10" s="3947" t="str">
        <x:v>TipoParte, Perfil, Asignacion</x:v>
      </x:c>
      <x:c r="E10" s="3947" t="str">
        <x:v>Aplicación/dominio</x:v>
      </x:c>
      <x:c r="F10" s="3950" t="str">
        <x:v>ALTA</x:v>
      </x:c>
      <x:c r="G10" s="3947" t="str">
        <x:v>Objetivo &lt;2 min y menor error.</x:v>
      </x:c>
    </x:row>
    <x:row r="11" ht="60" customHeight="1">
      <x:c r="A11" s="3947" t="str">
        <x:v>C-007</x:v>
      </x:c>
      <x:c r="B11" s="3947" t="str">
        <x:v>Identidad</x:v>
      </x:c>
      <x:c r="C11" s="3947" t="str">
        <x:v>No existe ReglaCorte universal para ubicación/turno/recurso; se evalúa por TipoParte/contexto.</x:v>
      </x:c>
      <x:c r="D11" s="3947" t="str">
        <x:v>ReglaCorteTipoParte</x:v>
      </x:c>
      <x:c r="E11" s="3947" t="str">
        <x:v>Dominio/configuración</x:v>
      </x:c>
      <x:c r="F11" s="3954" t="str">
        <x:v>CRÍTICA</x:v>
      </x:c>
      <x:c r="G11" s="3947" t="str">
        <x:v>Evita fragmentación artificial.</x:v>
      </x:c>
    </x:row>
    <x:row r="12" ht="60" customHeight="1">
      <x:c r="A12" s="3947" t="str">
        <x:v>C-008</x:v>
      </x:c>
      <x:c r="B12" s="3947" t="str">
        <x:v>TP-01</x:v>
      </x:c>
      <x:c r="C12" s="3947" t="str">
        <x:v>Default: cambio de turno mantiene TP-01 y genera handover; split solo por regla configurada.</x:v>
      </x:c>
      <x:c r="D12" s="3947" t="str">
        <x:v>Parte TP-01, EventoOperativo, Asignaciones temporales</x:v>
      </x:c>
      <x:c r="E12" s="3947" t="str">
        <x:v>Dominio</x:v>
      </x:c>
      <x:c r="F12" s="3950" t="str">
        <x:v>ALTA</x:v>
      </x:c>
      <x:c r="G12" s="3947" t="str">
        <x:v>Work package define identidad.</x:v>
      </x:c>
    </x:row>
    <x:row r="13" ht="60" customHeight="1">
      <x:c r="A13" s="3947" t="str">
        <x:v>C-009</x:v>
      </x:c>
      <x:c r="B13" s="3947" t="str">
        <x:v>Parte</x:v>
      </x:c>
      <x:c r="C13" s="3947" t="str">
        <x:v>Un Parte iniciado debe tener al menos una UnidadEjecucion.</x:v>
      </x:c>
      <x:c r="D13" s="3947" t="str">
        <x:v>Parte, UnidadEjecucion</x:v>
      </x:c>
      <x:c r="E13" s="3947" t="str">
        <x:v>Constraint diferido/máquina estado</x:v>
      </x:c>
      <x:c r="F13" s="3954" t="str">
        <x:v>CRÍTICA</x:v>
      </x:c>
      <x:c r="G13" s="3947" t="str">
        <x:v>UE es grano operacional.</x:v>
      </x:c>
    </x:row>
    <x:row r="14" ht="60" customHeight="1">
      <x:c r="A14" s="3947" t="str">
        <x:v>C-010</x:v>
      </x:c>
      <x:c r="B14" s="3947" t="str">
        <x:v>UE</x:v>
      </x:c>
      <x:c r="C14" s="3947" t="str">
        <x:v>Recurso/persona adicional no crea Parte por sí solo.</x:v>
      </x:c>
      <x:c r="D14" s="3947" t="str">
        <x:v>UE, AsignacionPersonaEjecucion, AsignacionRecursoEjecucion</x:v>
      </x:c>
      <x:c r="E14" s="3947" t="str">
        <x:v>Dominio</x:v>
      </x:c>
      <x:c r="F14" s="3950" t="str">
        <x:v>ALTA</x:v>
      </x:c>
      <x:c r="G14" s="3947" t="str">
        <x:v>Separar participación de identidad.</x:v>
      </x:c>
    </x:row>
    <x:row r="15" ht="60" customHeight="1">
      <x:c r="A15" s="3947" t="str">
        <x:v>C-011</x:v>
      </x:c>
      <x:c r="B15" s="3947" t="str">
        <x:v>Temporalidad</x:v>
      </x:c>
      <x:c r="C15" s="3947" t="str">
        <x:v>Asignaciones de persona/recurso conservan intervalos; reemplazos cierran/abren intervalos, no editan el pasado.</x:v>
      </x:c>
      <x:c r="D15" s="3947" t="str">
        <x:v>Asignaciones ejecución</x:v>
      </x:c>
      <x:c r="E15" s="3947" t="str">
        <x:v>Dominio</x:v>
      </x:c>
      <x:c r="F15" s="3954" t="str">
        <x:v>CRÍTICA</x:v>
      </x:c>
      <x:c r="G15" s="3947" t="str">
        <x:v>Horas y responsabilidad trazables.</x:v>
      </x:c>
    </x:row>
    <x:row r="16" ht="60" customHeight="1">
      <x:c r="A16" s="3947" t="str">
        <x:v>C-012</x:v>
      </x:c>
      <x:c r="B16" s="3947" t="str">
        <x:v>Temporalidad</x:v>
      </x:c>
      <x:c r="C16" s="3947" t="str">
        <x:v>Solapamientos incompatibles se detectan; solo reglas explícitas permiten excepciones.</x:v>
      </x:c>
      <x:c r="D16" s="3947" t="str">
        <x:v>ConflictoTemporal, Asignaciones</x:v>
      </x:c>
      <x:c r="E16" s="3947" t="str">
        <x:v>Regla + warning/block</x:v>
      </x:c>
      <x:c r="F16" s="3950" t="str">
        <x:v>ALTA</x:v>
      </x:c>
      <x:c r="G16" s="3947" t="str">
        <x:v>Evita doble uso inconsistente.</x:v>
      </x:c>
    </x:row>
    <x:row r="17" ht="60" customHeight="1">
      <x:c r="A17" s="3947" t="str">
        <x:v>C-013</x:v>
      </x:c>
      <x:c r="B17" s="3947" t="str">
        <x:v>Tiempo</x:v>
      </x:c>
      <x:c r="C17" s="3947" t="str">
        <x:v>Todo tiempo relevante entre dos work packages puede representarse mediante TransicionOperativa.</x:v>
      </x:c>
      <x:c r="D17" s="3947" t="str">
        <x:v>TransicionOperativa, UE</x:v>
      </x:c>
      <x:c r="E17" s="3947" t="str">
        <x:v>Dominio</x:v>
      </x:c>
      <x:c r="F17" s="3950" t="str">
        <x:v>ALTA</x:v>
      </x:c>
      <x:c r="G17" s="3947" t="str">
        <x:v>Evita tiempo huérfano.</x:v>
      </x:c>
    </x:row>
    <x:row r="18" ht="60" customHeight="1">
      <x:c r="A18" s="3947" t="str">
        <x:v>C-014</x:v>
      </x:c>
      <x:c r="B18" s="3947" t="str">
        <x:v>Medición</x:v>
      </x:c>
      <x:c r="C18" s="3947" t="str">
        <x:v>EjecucionMedicion conserva magnitud operacional; cantidad_certificable es derivada downstream.</x:v>
      </x:c>
      <x:c r="D18" s="3947" t="str">
        <x:v>EjecucionMedicion, UnidadComercial</x:v>
      </x:c>
      <x:c r="E18" s="3947" t="str">
        <x:v>Dominio</x:v>
      </x:c>
      <x:c r="F18" s="3954" t="str">
        <x:v>CRÍTICA</x:v>
      </x:c>
      <x:c r="G18" s="3947" t="str">
        <x:v>No deformar realidad para cobrar.</x:v>
      </x:c>
    </x:row>
    <x:row r="19" ht="60" customHeight="1">
      <x:c r="A19" s="3947" t="str">
        <x:v>C-015</x:v>
      </x:c>
      <x:c r="B19" s="3947" t="str">
        <x:v>Readiness</x:v>
      </x:c>
      <x:c r="C19" s="3947" t="str">
        <x:v>READY tiene evaluado_at/valido_hasta; un cambio de dependencia puede invalidarlo sin borrar evaluación previa.</x:v>
      </x:c>
      <x:c r="D19" s="3947" t="str">
        <x:v>EvaluacionPlanificacion, EventoInvalidacionReadiness</x:v>
      </x:c>
      <x:c r="E19" s="3947" t="str">
        <x:v>Dominio</x:v>
      </x:c>
      <x:c r="F19" s="3950" t="str">
        <x:v>ALTA</x:v>
      </x:c>
      <x:c r="G19" s="3947" t="str">
        <x:v>Ready no es checkbox eterno.</x:v>
      </x:c>
    </x:row>
    <x:row r="20" ht="60" customHeight="1">
      <x:c r="A20" s="3947" t="str">
        <x:v>C-016</x:v>
      </x:c>
      <x:c r="B20" s="3947" t="str">
        <x:v>Offline</x:v>
      </x:c>
      <x:c r="C20" s="3947" t="str">
        <x:v>ExecutionContextBundle es proyección/cache; nunca fuente maestra.</x:v>
      </x:c>
      <x:c r="D20" s="3947" t="str">
        <x:v>ExecutionContextBundle</x:v>
      </x:c>
      <x:c r="E20" s="3947" t="str">
        <x:v>Arquitectura</x:v>
      </x:c>
      <x:c r="F20" s="3954" t="str">
        <x:v>CRÍTICA</x:v>
      </x:c>
      <x:c r="G20" s="3947" t="str">
        <x:v>Evita divergencia offline.</x:v>
      </x:c>
    </x:row>
    <x:row r="21" ht="60" customHeight="1">
      <x:c r="A21" s="3947" t="str">
        <x:v>C-017</x:v>
      </x:c>
      <x:c r="B21" s="3947" t="str">
        <x:v>Control Plane</x:v>
      </x:c>
      <x:c r="C21" s="3947" t="str">
        <x:v>Directiva emitida, recibida y aplicada son estados distintos.</x:v>
      </x:c>
      <x:c r="D21" s="3947" t="str">
        <x:v>DirectivaOperativa</x:v>
      </x:c>
      <x:c r="E21" s="3947" t="str">
        <x:v>Máquina estado</x:v>
      </x:c>
      <x:c r="F21" s="3954" t="str">
        <x:v>CRÍTICA</x:v>
      </x:c>
      <x:c r="G21" s="3947" t="str">
        <x:v>Offline/ACK auditable.</x:v>
      </x:c>
    </x:row>
    <x:row r="22" ht="60" customHeight="1">
      <x:c r="A22" s="3947" t="str">
        <x:v>C-018</x:v>
      </x:c>
      <x:c r="B22" s="3947" t="str">
        <x:v>Habilita</x:v>
      </x:c>
      <x:c r="C22" s="3947" t="str">
        <x:v>Hard block documental/Habilita no se convierte en override implícito.</x:v>
      </x:c>
      <x:c r="D22" s="3947" t="str">
        <x:v>EvaluacionHabilitacion, OverrideGate</x:v>
      </x:c>
      <x:c r="E22" s="3947" t="str">
        <x:v>Dominio</x:v>
      </x:c>
      <x:c r="F22" s="3954" t="str">
        <x:v>CRÍTICA</x:v>
      </x:c>
      <x:c r="G22" s="3947" t="str">
        <x:v>Responsabilidad y seguridad.</x:v>
      </x:c>
    </x:row>
    <x:row r="23" ht="60" customHeight="1">
      <x:c r="A23" s="3947" t="str">
        <x:v>C-019</x:v>
      </x:c>
      <x:c r="B23" s="3947" t="str">
        <x:v>Habilita</x:v>
      </x:c>
      <x:c r="C23" s="3947" t="str">
        <x:v>PermisoTrabajo es independiente del Parte; PTW distinto no crea TP-01 automáticamente.</x:v>
      </x:c>
      <x:c r="D23" s="3947" t="str">
        <x:v>PermisoTrabajo, UE, Parte</x:v>
      </x:c>
      <x:c r="E23" s="3947" t="str">
        <x:v>Dominio</x:v>
      </x:c>
      <x:c r="F23" s="3954" t="str">
        <x:v>CRÍTICA</x:v>
      </x:c>
      <x:c r="G23" s="3947" t="str">
        <x:v>Work control ≠ registro operativo.</x:v>
      </x:c>
    </x:row>
    <x:row r="24" ht="60" customHeight="1">
      <x:c r="A24" s="3947" t="str">
        <x:v>C-020</x:v>
      </x:c>
      <x:c r="B24" s="3947" t="str">
        <x:v>Habilita</x:v>
      </x:c>
      <x:c r="C24" s="3947" t="str">
        <x:v>PTW puede cubrir N UE y una UE puede requerir N PTW.</x:v>
      </x:c>
      <x:c r="D24" s="3947" t="str">
        <x:v>PermisoTrabajoUnidadEjecucion</x:v>
      </x:c>
      <x:c r="E24" s="3947" t="str">
        <x:v>Cardinalidad N:M</x:v>
      </x:c>
      <x:c r="F24" s="3950" t="str">
        <x:v>ALTA</x:v>
      </x:c>
      <x:c r="G24" s="3947" t="str">
        <x:v>Permisos secuenciales/simultáneos.</x:v>
      </x:c>
    </x:row>
    <x:row r="25" ht="60" customHeight="1">
      <x:c r="A25" s="3947" t="str">
        <x:v>C-021</x:v>
      </x:c>
      <x:c r="B25" s="3947" t="str">
        <x:v>Habilita</x:v>
      </x:c>
      <x:c r="C25" s="3947" t="str">
        <x:v>Timeout nunca autocierra PTW; solo alerta/escalamiento/cierre autorizado.</x:v>
      </x:c>
      <x:c r="D25" s="3947" t="str">
        <x:v>PermisoTrabajo</x:v>
      </x:c>
      <x:c r="E25" s="3947" t="str">
        <x:v>Dominio</x:v>
      </x:c>
      <x:c r="F25" s="3954" t="str">
        <x:v>CRÍTICA</x:v>
      </x:c>
      <x:c r="G25" s="3947" t="str">
        <x:v>No declarar seguridad por reloj.</x:v>
      </x:c>
    </x:row>
    <x:row r="26" ht="60" customHeight="1">
      <x:c r="A26" s="3947" t="str">
        <x:v>C-022</x:v>
      </x:c>
      <x:c r="B26" s="3947" t="str">
        <x:v>Emergente</x:v>
      </x:c>
      <x:c r="C26" s="3947" t="str">
        <x:v>Trabajo emergente puede existir sin contexto contractual resuelto si ReglaInicioEmergente lo permite; gates de Habilita siguen completos.</x:v>
      </x:c>
      <x:c r="D26" s="3947" t="str">
        <x:v>ReglaInicioEmergente, ImputacionEjecucion</x:v>
      </x:c>
      <x:c r="E26" s="3947" t="str">
        <x:v>Dominio</x:v>
      </x:c>
      <x:c r="F26" s="3954" t="str">
        <x:v>CRÍTICA</x:v>
      </x:c>
      <x:c r="G26" s="3947" t="str">
        <x:v>Continuidad operativa sin falsificar comercio.</x:v>
      </x:c>
    </x:row>
    <x:row r="27" ht="60" customHeight="1">
      <x:c r="A27" s="3947" t="str">
        <x:v>C-023</x:v>
      </x:c>
      <x:c r="B27" s="3947" t="str">
        <x:v>Plan↔Real</x:v>
      </x:c>
      <x:c r="C27" s="3947" t="str">
        <x:v>VinculoPlanEjecucion soporta 0..N↔0..N; nunca asumir 1 UnidadPlanificada = 1 UE.</x:v>
      </x:c>
      <x:c r="D27" s="3947" t="str">
        <x:v>VinculoPlanEjecucion</x:v>
      </x:c>
      <x:c r="E27" s="3947" t="str">
        <x:v>Cardinalidad</x:v>
      </x:c>
      <x:c r="F27" s="3954" t="str">
        <x:v>CRÍTICA</x:v>
      </x:c>
      <x:c r="G27" s="3947" t="str">
        <x:v>Split/merge y no realizado.</x:v>
      </x:c>
    </x:row>
    <x:row r="28" ht="60" customHeight="1">
      <x:c r="A28" s="3947" t="str">
        <x:v>C-024</x:v>
      </x:c>
      <x:c r="B28" s="3947" t="str">
        <x:v>Evidencia</x:v>
      </x:c>
      <x:c r="C28" s="3947" t="str">
        <x:v>Evidencia es entidad independiente; sus targets deben tener integridad referencial tipada.</x:v>
      </x:c>
      <x:c r="D28" s="3947" t="str">
        <x:v>Evidencia, EvidenciaVinculo</x:v>
      </x:c>
      <x:c r="E28" s="3947" t="str">
        <x:v>Relacional</x:v>
      </x:c>
      <x:c r="F28" s="3950" t="str">
        <x:v>ALTA</x:v>
      </x:c>
      <x:c r="G28" s="3947" t="str">
        <x:v>Evitar FK polimórfico opaco.</x:v>
      </x:c>
    </x:row>
    <x:row r="29" ht="60" customHeight="1">
      <x:c r="A29" s="3947" t="str">
        <x:v>C-025</x:v>
      </x:c>
      <x:c r="B29" s="3947" t="str">
        <x:v>Habilita</x:v>
      </x:c>
      <x:c r="C29" s="3947" t="str">
        <x:v>EventoHabilita no es TipoParte y puede existir sin ejecución activa.</x:v>
      </x:c>
      <x:c r="D29" s="3947" t="str">
        <x:v>EventoHabilita, Parte</x:v>
      </x:c>
      <x:c r="E29" s="3947" t="str">
        <x:v>Dominio</x:v>
      </x:c>
      <x:c r="F29" s="3954" t="str">
        <x:v>CRÍTICA</x:v>
      </x:c>
      <x:c r="G29" s="3947" t="str">
        <x:v>Habilita respond &amp; learn transversal.</x:v>
      </x:c>
    </x:row>
    <x:row r="30" ht="60" customHeight="1">
      <x:c r="A30" s="3947" t="str">
        <x:v>C-026</x:v>
      </x:c>
      <x:c r="B30" s="3947" t="str">
        <x:v>Habilita</x:v>
      </x:c>
      <x:c r="C30" s="3947" t="str">
        <x:v>EventoHabilita puede vincular N UE/personas/recursos/PTW sin cambiar su identidad.</x:v>
      </x:c>
      <x:c r="D30" s="3947" t="str">
        <x:v>Bridges EventoHabilita</x:v>
      </x:c>
      <x:c r="E30" s="3947" t="str">
        <x:v>Cardinalidad</x:v>
      </x:c>
      <x:c r="F30" s="3950" t="str">
        <x:v>ALTA</x:v>
      </x:c>
      <x:c r="G30" s="3947" t="str">
        <x:v>Choques/eventos multioperación.</x:v>
      </x:c>
    </x:row>
    <x:row r="31" ht="60" customHeight="1">
      <x:c r="A31" s="3947" t="str">
        <x:v>C-027</x:v>
      </x:c>
      <x:c r="B31" s="3947" t="str">
        <x:v>Habilita</x:v>
      </x:c>
      <x:c r="C31" s="3947" t="str">
        <x:v>EvaluacionEscalamientoHabilita guarda regla/versión e inputs; outputs reutilizan Control/HABILITA Plane.</x:v>
      </x:c>
      <x:c r="D31" s="3947" t="str">
        <x:v>EvaluacionEscalamientoHabilita, Directiva, PTW, Caso, Notificacion</x:v>
      </x:c>
      <x:c r="E31" s="3947" t="str">
        <x:v>Dominio</x:v>
      </x:c>
      <x:c r="F31" s="3950" t="str">
        <x:v>ALTA</x:v>
      </x:c>
      <x:c r="G31" s="3947" t="str">
        <x:v>No duplicar buses.</x:v>
      </x:c>
    </x:row>
    <x:row r="32" ht="60" customHeight="1">
      <x:c r="A32" s="3947" t="str">
        <x:v>C-028</x:v>
      </x:c>
      <x:c r="B32" s="3947" t="str">
        <x:v>Habilita</x:v>
      </x:c>
      <x:c r="C32" s="3947" t="str">
        <x:v>Investigación, CasoHabilita y AccionCorrectivaHabilita tienen lifecycles separados.</x:v>
      </x:c>
      <x:c r="D32" s="3947" t="str">
        <x:v>CasoHabilita, AccionCorrectivaHabilita</x:v>
      </x:c>
      <x:c r="E32" s="3947" t="str">
        <x:v>Máquinas estado</x:v>
      </x:c>
      <x:c r="F32" s="3950" t="str">
        <x:v>ALTA</x:v>
      </x:c>
      <x:c r="G32" s="3947" t="str">
        <x:v>Investigación puede terminar con acciones abiertas.</x:v>
      </x:c>
    </x:row>
    <x:row r="33" ht="60" customHeight="1">
      <x:c r="A33" s="3947" t="str">
        <x:v>C-029</x:v>
      </x:c>
      <x:c r="B33" s="3947" t="str">
        <x:v>Certificación</x:v>
      </x:c>
      <x:c r="C33" s="3947" t="str">
        <x:v>UnidadComercial no tiene una única fuente escalar: fuentes son N:M mediante UnidadComercialFuenteEjecucion.</x:v>
      </x:c>
      <x:c r="D33" s="3947" t="str">
        <x:v>UC, UE, bridge</x:v>
      </x:c>
      <x:c r="E33" s="3947" t="str">
        <x:v>Cardinalidad N:M</x:v>
      </x:c>
      <x:c r="F33" s="3954" t="str">
        <x:v>CRÍTICA</x:v>
      </x:c>
      <x:c r="G33" s="3947" t="str">
        <x:v>Mensualizado/agrupación/splits.</x:v>
      </x:c>
    </x:row>
    <x:row r="34" ht="60" customHeight="1">
      <x:c r="A34" s="3947" t="str">
        <x:v>C-030</x:v>
      </x:c>
      <x:c r="B34" s="3947" t="str">
        <x:v>Certificación</x:v>
      </x:c>
      <x:c r="C34" s="3947" t="str">
        <x:v>Cada vínculo fuente de UC conserva la versión exacta de ejecución usada.</x:v>
      </x:c>
      <x:c r="D34" s="3947" t="str">
        <x:v>UnidadComercialFuenteEjecucion</x:v>
      </x:c>
      <x:c r="E34" s="3947" t="str">
        <x:v>Lineage</x:v>
      </x:c>
      <x:c r="F34" s="3954" t="str">
        <x:v>CRÍTICA</x:v>
      </x:c>
      <x:c r="G34" s="3947" t="str">
        <x:v>Enmiendas detectan derivados obsoletos.</x:v>
      </x:c>
    </x:row>
    <x:row r="35" ht="60" customHeight="1">
      <x:c r="A35" s="3947" t="str">
        <x:v>C-031</x:v>
      </x:c>
      <x:c r="B35" s="3947" t="str">
        <x:v>Certificación</x:v>
      </x:c>
      <x:c r="C35" s="3947" t="str">
        <x:v>Certificación nunca modifica silenciosamente Parte/UE para hacer cerrar cantidades.</x:v>
      </x:c>
      <x:c r="D35" s="3947" t="str">
        <x:v>UC, Observacion, Ajuste, Enmienda</x:v>
      </x:c>
      <x:c r="E35" s="3947" t="str">
        <x:v>Dominio</x:v>
      </x:c>
      <x:c r="F35" s="3954" t="str">
        <x:v>CRÍTICA</x:v>
      </x:c>
      <x:c r="G35" s="3947" t="str">
        <x:v>Verdad operativa inmutable.</x:v>
      </x:c>
    </x:row>
    <x:row r="36" ht="60" customHeight="1">
      <x:c r="A36" s="3947" t="str">
        <x:v>C-032</x:v>
      </x:c>
      <x:c r="B36" s="3947" t="str">
        <x:v>Certificación</x:v>
      </x:c>
      <x:c r="C36" s="3947" t="str">
        <x:v>PaqueteCertificacion↔UnidadComercial se versiona por puente; no mover/borrar UC histórica.</x:v>
      </x:c>
      <x:c r="D36" s="3947" t="str">
        <x:v>PaqueteCertificacionUnidadComercial</x:v>
      </x:c>
      <x:c r="E36" s="3947" t="str">
        <x:v>Cardinalidad/versionado</x:v>
      </x:c>
      <x:c r="F36" s="3950" t="str">
        <x:v>ALTA</x:v>
      </x:c>
      <x:c r="G36" s="3947" t="str">
        <x:v>Rearmado/reenvío auditable.</x:v>
      </x:c>
    </x:row>
    <x:row r="37" ht="60" customHeight="1">
      <x:c r="A37" s="3947" t="str">
        <x:v>C-033</x:v>
      </x:c>
      <x:c r="B37" s="3947" t="str">
        <x:v>Correcciones</x:v>
      </x:c>
      <x:c r="C37" s="3947" t="str">
        <x:v>EnmiendaOperativa corrige realidad; AjusteCertificacion corrige acuerdo comercial.</x:v>
      </x:c>
      <x:c r="D37" s="3947" t="str">
        <x:v>EnmiendaOperativa, AjusteCertificacion</x:v>
      </x:c>
      <x:c r="E37" s="3947" t="str">
        <x:v>Dominio</x:v>
      </x:c>
      <x:c r="F37" s="3954" t="str">
        <x:v>CRÍTICA</x:v>
      </x:c>
      <x:c r="G37" s="3947" t="str">
        <x:v>Dos verdades diferentes.</x:v>
      </x:c>
    </x:row>
    <x:row r="38" ht="60" customHeight="1">
      <x:c r="A38" s="3947" t="str">
        <x:v>C-034</x:v>
      </x:c>
      <x:c r="B38" s="3947" t="str">
        <x:v>Supersession</x:v>
      </x:c>
      <x:c r="C38" s="3947" t="str">
        <x:v>Una UC nueva puede sustituir otra; la cadena de supersession debe ser acíclica y la anterior permanece histórica.</x:v>
      </x:c>
      <x:c r="D38" s="3947" t="str">
        <x:v>UnidadComercial</x:v>
      </x:c>
      <x:c r="E38" s="3947" t="str">
        <x:v>Constraint + dominio</x:v>
      </x:c>
      <x:c r="F38" s="3954" t="str">
        <x:v>CRÍTICA</x:v>
      </x:c>
      <x:c r="G38" s="3947" t="str">
        <x:v>Corrección post-cert.</x:v>
      </x:c>
    </x:row>
    <x:row r="39" ht="60" customHeight="1">
      <x:c r="A39" s="3947" t="str">
        <x:v>C-035</x:v>
      </x:c>
      <x:c r="B39" s="3947" t="str">
        <x:v>Facturación</x:v>
      </x:c>
      <x:c r="C39" s="3947" t="str">
        <x:v>LoteFacturacion es distinto de PaqueteCertificacion.</x:v>
      </x:c>
      <x:c r="D39" s="3947" t="str">
        <x:v>PaqueteCertificacion, LoteFacturacion</x:v>
      </x:c>
      <x:c r="E39" s="3947" t="str">
        <x:v>Dominio</x:v>
      </x:c>
      <x:c r="F39" s="3950" t="str">
        <x:v>ALTA</x:v>
      </x:c>
      <x:c r="G39" s="3947" t="str">
        <x:v>Cadencias/granos distintos.</x:v>
      </x:c>
    </x:row>
    <x:row r="40" ht="60" customHeight="1">
      <x:c r="A40" s="3947" t="str">
        <x:v>C-036</x:v>
      </x:c>
      <x:c r="B40" s="3947" t="str">
        <x:v>Facturación</x:v>
      </x:c>
      <x:c r="C40" s="3947" t="str">
        <x:v>Factura/ERP consume líneas aceptadas; no vuelve a evidencia cruda de campo.</x:v>
      </x:c>
      <x:c r="D40" s="3947" t="str">
        <x:v>LineaFacturable, LoteFacturacion</x:v>
      </x:c>
      <x:c r="E40" s="3947" t="str">
        <x:v>Contrato funcional</x:v>
      </x:c>
      <x:c r="F40" s="3954" t="str">
        <x:v>CRÍTICA</x:v>
      </x:c>
      <x:c r="G40" s="3947" t="str">
        <x:v>Evita segunda interpretación.</x:v>
      </x:c>
    </x:row>
  </x:sheetData>
  <x:mergeCells>
    <x:mergeCell ref="A1:G1"/>
    <x:mergeCell ref="A2:G2"/>
  </x:mergeCells>
  <x:pageMargins left="0.7" right="0.7" top="0.75" bottom="0.75" header="0.3" footer="0.3"/>
</x:worksheet>
</file>

<file path=xl/worksheets/sheet47.xml><?xml version="1.0" encoding="utf-8"?>
<x:worksheet xmlns:x="http://schemas.openxmlformats.org/spreadsheetml/2006/main">
  <x:sheetFormatPr defaultRowHeight="15"/>
  <x:cols>
    <x:col min="1" max="1" width="10" hidden="0" customWidth="1"/>
    <x:col min="2" max="2" width="16" hidden="0" customWidth="1"/>
    <x:col min="3" max="3" width="32" hidden="0" customWidth="1"/>
    <x:col min="4" max="4" width="44" hidden="0" customWidth="1"/>
    <x:col min="5" max="5" width="42" hidden="0" customWidth="1"/>
    <x:col min="6" max="6" width="36" hidden="0" customWidth="1"/>
    <x:col min="7" max="7" width="20" hidden="0" customWidth="1"/>
    <x:col min="8" max="8" width="18" hidden="0" customWidth="1"/>
  </x:cols>
  <x:sheetData>
    <x:row r="1">
      <x:c r="A1" s="3943" t="str">
        <x:v>HALLAZGOS DE NORMALIZACIÓN · MODELO RELACIONAL LÓGICO v0.1</x:v>
      </x:c>
      <x:c r="B1" s="3943"/>
      <x:c r="C1" s="3943"/>
      <x:c r="D1" s="3943"/>
      <x:c r="E1" s="3943"/>
      <x:c r="F1" s="3943"/>
      <x:c r="G1" s="3943"/>
      <x:c r="H1" s="3943"/>
    </x:row>
    <x:row r="2">
      <x:c r="A2" s="3944" t="str">
        <x:v>Esta etapa busca anomalías relacionales, no nuevas funcionalidades. Un hallazgo solo se incorpora si evita perder historia, imponer 1:1 falso o duplicar fuente de verdad.</x:v>
      </x:c>
      <x:c r="B2" s="3944"/>
      <x:c r="C2" s="3944"/>
      <x:c r="D2" s="3944"/>
      <x:c r="E2" s="3944"/>
      <x:c r="F2" s="3944"/>
      <x:c r="G2" s="3944"/>
      <x:c r="H2" s="3944"/>
    </x:row>
    <x:row r="3">
      <x:c r="A3" s="3945"/>
      <x:c r="B3" s="3945"/>
      <x:c r="C3" s="3945"/>
      <x:c r="D3" s="3945"/>
      <x:c r="E3" s="3945"/>
      <x:c r="F3" s="3945"/>
      <x:c r="G3" s="3945"/>
      <x:c r="H3" s="3945"/>
    </x:row>
    <x:row r="4">
      <x:c r="A4" s="3946" t="str">
        <x:v>ID</x:v>
      </x:c>
      <x:c r="B4" s="3946" t="str">
        <x:v>Severidad</x:v>
      </x:c>
      <x:c r="C4" s="3946" t="str">
        <x:v>Hallazgo</x:v>
      </x:c>
      <x:c r="D4" s="3946" t="str">
        <x:v>Problema si no se corrige</x:v>
      </x:c>
      <x:c r="E4" s="3946" t="str">
        <x:v>Decisión v2.0</x:v>
      </x:c>
      <x:c r="F4" s="3946" t="str">
        <x:v>Patch lógico</x:v>
      </x:c>
      <x:c r="G4" s="3946" t="str">
        <x:v>¿Cambia REV E?</x:v>
      </x:c>
      <x:c r="H4" s="3946" t="str">
        <x:v>Estado</x:v>
      </x:c>
    </x:row>
    <x:row r="5" ht="72" customHeight="1">
      <x:c r="A5" s="3947" t="str">
        <x:v>MR-01</x:v>
      </x:c>
      <x:c r="B5" s="3954" t="str">
        <x:v>CRÍTICA</x:v>
      </x:c>
      <x:c r="C5" s="3947" t="str">
        <x:v>UnidadComercial tenía lineage conceptual demasiado escalar.</x:v>
      </x:c>
      <x:c r="D5" s="3947" t="str">
        <x:v>Una UC mensual/período puede derivar de muchas UE y una UE puede generar distintas UC/ítems. Un solo fuente_ejecucion_version_id rompe ambos casos.</x:v>
      </x:c>
      <x:c r="E5" s="3947" t="str">
        <x:v>Modelar UC↔UE como N:M.</x:v>
      </x:c>
      <x:c r="F5" s="3947" t="str">
        <x:v>UnidadComercialFuenteEjecucion con versión fuente e imputación opcional.</x:v>
      </x:c>
      <x:c r="G5" s="3947" t="str">
        <x:v>NO: formaliza una capacidad ya prevista.</x:v>
      </x:c>
      <x:c r="H5" s="3948" t="str">
        <x:v>APLICADO</x:v>
      </x:c>
    </x:row>
    <x:row r="6" ht="72" customHeight="1">
      <x:c r="A6" s="3947" t="str">
        <x:v>MR-02</x:v>
      </x:c>
      <x:c r="B6" s="3950" t="str">
        <x:v>ALTA</x:v>
      </x:c>
      <x:c r="C6" s="3947" t="str">
        <x:v>PaqueteCertificacion↔UC no debe ser pertenencia rígida.</x:v>
      </x:c>
      <x:c r="D6" s="3947" t="str">
        <x:v>Una UC observada/reprocesada puede entrar en una nueva versión de paquete; mover package_id borraría historia.</x:v>
      </x:c>
      <x:c r="E6" s="3947" t="str">
        <x:v>Usar asociación versionable.</x:v>
      </x:c>
      <x:c r="F6" s="3947" t="str">
        <x:v>PaqueteCertificacionUnidadComercial.</x:v>
      </x:c>
      <x:c r="G6" s="3947" t="str">
        <x:v>NO</x:v>
      </x:c>
      <x:c r="H6" s="3948" t="str">
        <x:v>APLICADO</x:v>
      </x:c>
    </x:row>
    <x:row r="7" ht="72" customHeight="1">
      <x:c r="A7" s="3947" t="str">
        <x:v>MR-03</x:v>
      </x:c>
      <x:c r="B7" s="3950" t="str">
        <x:v>ALTA</x:v>
      </x:c>
      <x:c r="C7" s="3947" t="str">
        <x:v>PermisoTrabajo↔UE es naturalmente N:M.</x:v>
      </x:c>
      <x:c r="D7" s="3947" t="str">
        <x:v>Una intervención puede requerir varios permisos y un permiso puede cubrir más de una UE/subtarea.</x:v>
      </x:c>
      <x:c r="E7" s="3947" t="str">
        <x:v>Formalizar puente.</x:v>
      </x:c>
      <x:c r="F7" s="3947" t="str">
        <x:v>PermisoTrabajoUnidadEjecucion.</x:v>
      </x:c>
      <x:c r="G7" s="3947" t="str">
        <x:v>NO</x:v>
      </x:c>
      <x:c r="H7" s="3948" t="str">
        <x:v>APLICADO</x:v>
      </x:c>
    </x:row>
    <x:row r="8" ht="72" customHeight="1">
      <x:c r="A8" s="3947" t="str">
        <x:v>MR-04</x:v>
      </x:c>
      <x:c r="B8" s="3954" t="str">
        <x:v>CRÍTICA</x:v>
      </x:c>
      <x:c r="C8" s="3947" t="str">
        <x:v>Planificación↔Ejecución no puede resolverse con FK 1:1.</x:v>
      </x:c>
      <x:c r="D8" s="3947" t="str">
        <x:v>Una tarea planificada puede no realizarse, dividirse o consolidarse; emergente no tiene plan.</x:v>
      </x:c>
      <x:c r="E8" s="3947" t="str">
        <x:v>Mantener bridge 0..N↔0..N.</x:v>
      </x:c>
      <x:c r="F8" s="3947" t="str">
        <x:v>VinculoPlanEjecucion se vuelve pieza central del ERD.</x:v>
      </x:c>
      <x:c r="G8" s="3947" t="str">
        <x:v>NO</x:v>
      </x:c>
      <x:c r="H8" s="3948" t="str">
        <x:v>APLICADO</x:v>
      </x:c>
    </x:row>
    <x:row r="9" ht="72" customHeight="1">
      <x:c r="A9" s="3947" t="str">
        <x:v>MR-05</x:v>
      </x:c>
      <x:c r="B9" s="3950" t="str">
        <x:v>ALTA</x:v>
      </x:c>
      <x:c r="C9" s="3947" t="str">
        <x:v>Evidencia tiene múltiples scopes reales.</x:v>
      </x:c>
      <x:c r="D9" s="3947" t="str">
        <x:v>Firmas/fotos pueden validar UE, PTW, Habilita, UC o paquete; columnas específicas duplicarían modelo.</x:v>
      </x:c>
      <x:c r="E9" s="3947" t="str">
        <x:v>Evidencia independiente + vínculo controlado.</x:v>
      </x:c>
      <x:c r="F9" s="3947" t="str">
        <x:v>EvidenciaVinculo lógico; implementación con targets tipados.</x:v>
      </x:c>
      <x:c r="G9" s="3947" t="str">
        <x:v>NO</x:v>
      </x:c>
      <x:c r="H9" s="3948" t="str">
        <x:v>APLICADO</x:v>
      </x:c>
    </x:row>
    <x:row r="10" ht="72" customHeight="1">
      <x:c r="A10" s="3947" t="str">
        <x:v>MR-06</x:v>
      </x:c>
      <x:c r="B10" s="3950" t="str">
        <x:v>ALTA</x:v>
      </x:c>
      <x:c r="C10" s="3947" t="str">
        <x:v>CentroCosto no debe colgar rígidamente de ContratoServicio.</x:v>
      </x:c>
      <x:c r="D10" s="3947" t="str">
        <x:v>Un CC puede cruzar servicios/contextos y los datos actuales no permiten mapear 1:1.</x:v>
      </x:c>
      <x:c r="E10" s="3947" t="str">
        <x:v>Dimensión independiente + bridge configurable.</x:v>
      </x:c>
      <x:c r="F10" s="3947" t="str">
        <x:v>ContratoServicioCentroCosto.</x:v>
      </x:c>
      <x:c r="G10" s="3947" t="str">
        <x:v>NO</x:v>
      </x:c>
      <x:c r="H10" s="3948" t="str">
        <x:v>APLICADO</x:v>
      </x:c>
    </x:row>
    <x:row r="11" ht="72" customHeight="1">
      <x:c r="A11" s="3947" t="str">
        <x:v>MR-07</x:v>
      </x:c>
      <x:c r="B11" s="3944" t="str">
        <x:v>MEDIA</x:v>
      </x:c>
      <x:c r="C11" s="3947" t="str">
        <x:v>Planificación nominal necesitaba diferenciar requisito de nominación.</x:v>
      </x:c>
      <x:c r="D11" s="3947" t="str">
        <x:v>'Necesito 1 retro' y 'asigno Retro 803' son hechos diferentes.</x:v>
      </x:c>
      <x:c r="E11" s="3947" t="str">
        <x:v>Separar Requerimiento de Asignación nominal.</x:v>
      </x:c>
      <x:c r="F11" s="3947" t="str">
        <x:v>AsignacionPersonaPlanificada / AsignacionRecursoPlanificada.</x:v>
      </x:c>
      <x:c r="G11" s="3947" t="str">
        <x:v>NO</x:v>
      </x:c>
      <x:c r="H11" s="3948" t="str">
        <x:v>APLICADO</x:v>
      </x:c>
    </x:row>
    <x:row r="12" ht="72" customHeight="1">
      <x:c r="A12" s="3947" t="str">
        <x:v>MR-08</x:v>
      </x:c>
      <x:c r="B12" s="3954" t="str">
        <x:v>CRÍTICA</x:v>
      </x:c>
      <x:c r="C12" s="3947" t="str">
        <x:v>ExecutionContextBundle podía confundirse con entidad maestra.</x:v>
      </x:c>
      <x:c r="D12" s="3947" t="str">
        <x:v>Si offline cache se trata como verdad, aparecen conflictos imposibles de reconciliar.</x:v>
      </x:c>
      <x:c r="E12" s="3947" t="str">
        <x:v>Clasificar como PROJECTION descartable/versionada.</x:v>
      </x:c>
      <x:c r="F12" s="3947" t="str">
        <x:v>Bundle referencia PlanificacionVersion/rulesets, nunca al revés.</x:v>
      </x:c>
      <x:c r="G12" s="3947" t="str">
        <x:v>NO</x:v>
      </x:c>
      <x:c r="H12" s="3948" t="str">
        <x:v>APLICADO</x:v>
      </x:c>
    </x:row>
    <x:row r="13" ht="72" customHeight="1">
      <x:c r="A13" s="3947" t="str">
        <x:v>MR-09</x:v>
      </x:c>
      <x:c r="B13" s="3950" t="str">
        <x:v>ALTA</x:v>
      </x:c>
      <x:c r="C13" s="3947" t="str">
        <x:v>Targets genéricos (Directiva, Evidencia, Conformidad, Enmienda) pueden degenerar en FK polimórficos opacos.</x:v>
      </x:c>
      <x:c r="D13" s="3947" t="str">
        <x:v>Se pierde integridad referencial y aparecen IDs válidos con tipo incorrecto.</x:v>
      </x:c>
      <x:c r="E13" s="3947" t="str">
        <x:v>Mantener scope lógico, pero exigir implementación tipada/constraint fuerte.</x:v>
      </x:c>
      <x:c r="F13" s="3947" t="str">
        <x:v>Puentes de objetivo o tablas target específicas en modelo físico.</x:v>
      </x:c>
      <x:c r="G13" s="3947" t="str">
        <x:v>NO</x:v>
      </x:c>
      <x:c r="H13" s="3948" t="str">
        <x:v>GUARDRAIL</x:v>
      </x:c>
    </x:row>
    <x:row r="14" ht="72" customHeight="1">
      <x:c r="A14" s="3947" t="str">
        <x:v>MR-10</x:v>
      </x:c>
      <x:c r="B14" s="3944" t="str">
        <x:v>MEDIA</x:v>
      </x:c>
      <x:c r="C14" s="3947" t="str">
        <x:v>Cuadrilla todavía puede ser maestro o composición temporal.</x:v>
      </x:c>
      <x:c r="D14" s="3947" t="str">
        <x:v>Si se congela mal, podría duplicar AsignacionPersonaEjecucion.</x:v>
      </x:c>
      <x:c r="E14" s="3947" t="str">
        <x:v>Mantener Cuadrilla como CONFIG, no core obligatorio.</x:v>
      </x:c>
      <x:c r="F14" s="3947" t="str">
        <x:v>Validar cuando diseñemos planificación/UI.</x:v>
      </x:c>
      <x:c r="G14" s="3947" t="str">
        <x:v>NO</x:v>
      </x:c>
      <x:c r="H14" s="3949" t="str">
        <x:v>ABIERTO NO BLOQUEANTE</x:v>
      </x:c>
    </x:row>
    <x:row r="15" ht="72" customHeight="1">
      <x:c r="A15" s="3947" t="str">
        <x:v>MR-11</x:v>
      </x:c>
      <x:c r="B15" s="3944" t="str">
        <x:v>MEDIA</x:v>
      </x:c>
      <x:c r="C15" s="3947" t="str">
        <x:v>Factura pertenece al límite con ERP, no al núcleo funcional actual.</x:v>
      </x:c>
      <x:c r="D15" s="3947" t="str">
        <x:v>Sin proceso administrativo real, modelar documento fiscal interno sería inventar campos/reglas.</x:v>
      </x:c>
      <x:c r="E15" s="3947" t="str">
        <x:v>Terminar modelo interno en LoteFacturacion y representar Factura como boundary.</x:v>
      </x:c>
      <x:c r="F15" s="3947" t="str">
        <x:v>Adapter futuro al ERP/documento real.</x:v>
      </x:c>
      <x:c r="G15" s="3947" t="str">
        <x:v>NO</x:v>
      </x:c>
      <x:c r="H15" s="3948" t="str">
        <x:v>APLICADO</x:v>
      </x:c>
    </x:row>
    <x:row r="16" ht="72" customHeight="1">
      <x:c r="A16" s="3947" t="str">
        <x:v>MR-12</x:v>
      </x:c>
      <x:c r="B16" s="3950" t="str">
        <x:v>ALTA</x:v>
      </x:c>
      <x:c r="C16" s="3947" t="str">
        <x:v>Corrección post-cert necesita supersession, no update.</x:v>
      </x:c>
      <x:c r="D16" s="3947" t="str">
        <x:v>Actualizar UC aceptada destruye qué se certificó originalmente.</x:v>
      </x:c>
      <x:c r="E16" s="3947" t="str">
        <x:v>Self-reference + lineage N:M + estado supersession.</x:v>
      </x:c>
      <x:c r="F16" s="3947" t="str">
        <x:v>UC v2 sustituye UC v1; ambas permanecen.</x:v>
      </x:c>
      <x:c r="G16" s="3947" t="str">
        <x:v>NO</x:v>
      </x:c>
      <x:c r="H16" s="3948" t="str">
        <x:v>APLICADO</x:v>
      </x:c>
    </x:row>
  </x:sheetData>
  <x:mergeCells>
    <x:mergeCell ref="A1:H1"/>
    <x:mergeCell ref="A2:H2"/>
  </x:mergeCells>
  <x:pageMargins left="0.7" right="0.7" top="0.75" bottom="0.75" header="0.3" footer="0.3"/>
</x:worksheet>
</file>

<file path=xl/worksheets/sheet48.xml><?xml version="1.0" encoding="utf-8"?>
<x:worksheet xmlns:x="http://schemas.openxmlformats.org/spreadsheetml/2006/main">
  <x:sheetFormatPr defaultRowHeight="15"/>
  <x:cols>
    <x:col min="1" max="1" width="10.5" hidden="0" customWidth="1"/>
    <x:col min="2" max="2" width="10.5" hidden="0" customWidth="1"/>
    <x:col min="3" max="3" width="10.5" hidden="0" customWidth="1"/>
    <x:col min="4" max="4" width="10.5" hidden="0" customWidth="1"/>
    <x:col min="5" max="5" width="10.5" hidden="0" customWidth="1"/>
    <x:col min="6" max="6" width="10.5" hidden="0" customWidth="1"/>
    <x:col min="7" max="7" width="10.5" hidden="0" customWidth="1"/>
    <x:col min="8" max="8" width="10.5" hidden="0" customWidth="1"/>
    <x:col min="9" max="9" width="10.5" hidden="0" customWidth="1"/>
    <x:col min="10" max="10" width="10.5" hidden="0" customWidth="1"/>
    <x:col min="11" max="11" width="10.5" hidden="0" customWidth="1"/>
    <x:col min="12" max="12" width="10.5" hidden="0" customWidth="1"/>
    <x:col min="13" max="13" width="10.5" hidden="0" customWidth="1"/>
    <x:col min="14" max="14" width="10.5" hidden="0" customWidth="1"/>
    <x:col min="15" max="15" width="10.5" hidden="0" customWidth="1"/>
    <x:col min="16" max="16" width="10.5" hidden="0" customWidth="1"/>
    <x:col min="17" max="17" width="10.5" hidden="0" customWidth="1"/>
    <x:col min="18" max="18" width="10.5" hidden="0" customWidth="1"/>
    <x:col min="19" max="19" width="10.5" hidden="0" customWidth="1"/>
    <x:col min="20" max="20" width="10.5" hidden="0" customWidth="1"/>
    <x:col min="21" max="21" width="10.5" hidden="0" customWidth="1"/>
    <x:col min="22" max="22" width="10.5" hidden="0" customWidth="1"/>
    <x:col min="23" max="23" width="10.5" hidden="0" customWidth="1"/>
    <x:col min="24" max="24" width="10.5" hidden="0" customWidth="1"/>
    <x:col min="25" max="25" width="10.5" hidden="0" customWidth="1"/>
    <x:col min="26" max="26" width="10.5" hidden="0" customWidth="1"/>
    <x:col min="27" max="27" width="10.5" hidden="0" customWidth="1"/>
    <x:col min="28" max="28" width="10.5" hidden="0" customWidth="1"/>
    <x:col min="29" max="29" width="10.5" hidden="0" customWidth="1"/>
    <x:col min="30" max="30" width="10.5" hidden="0" customWidth="1"/>
  </x:cols>
  <x:sheetData>
    <x:row r="1">
      <x:c r="A1" s="3943" t="str">
        <x:v>ERD LÓGICO CORE · REV E FINAL · BASELINE 1.0</x:v>
      </x:c>
      <x:c r="B1" s="3943"/>
      <x:c r="C1" s="3943"/>
      <x:c r="D1" s="3943"/>
      <x:c r="E1" s="3943"/>
      <x:c r="F1" s="3943"/>
      <x:c r="G1" s="3943"/>
      <x:c r="H1" s="3943"/>
      <x:c r="I1" s="3943"/>
      <x:c r="J1" s="3943"/>
      <x:c r="K1" s="3943"/>
      <x:c r="L1" s="3943"/>
      <x:c r="M1" s="3943"/>
      <x:c r="N1" s="3943"/>
      <x:c r="O1" s="3943"/>
      <x:c r="P1" s="3943"/>
      <x:c r="Q1" s="3943"/>
      <x:c r="R1" s="3943"/>
      <x:c r="S1" s="3943"/>
      <x:c r="T1" s="3943"/>
      <x:c r="U1" s="3943"/>
      <x:c r="V1" s="3943"/>
      <x:c r="W1" s="3943"/>
      <x:c r="X1" s="3943"/>
      <x:c r="Y1" s="3943"/>
      <x:c r="Z1" s="3943"/>
      <x:c r="AA1" s="3943"/>
      <x:c r="AB1" s="3943"/>
      <x:c r="AC1" s="3943"/>
      <x:c r="AD1" s="3943"/>
    </x:row>
    <x:row r="2">
      <x:c r="A2" s="4108" t="str">
        <x:v>VERDE = entidad fuente de verdad · AZUL = puente/lineage · AMARILLO = configuración/regla · GRIS = proyección/boundary</x:v>
      </x:c>
      <x:c r="B2" s="4108"/>
      <x:c r="C2" s="4108"/>
      <x:c r="D2" s="4108"/>
      <x:c r="E2" s="4108"/>
      <x:c r="F2" s="4108"/>
      <x:c r="G2" s="4108"/>
      <x:c r="H2" s="4108"/>
      <x:c r="I2" s="4108"/>
      <x:c r="J2" s="4108"/>
      <x:c r="K2" s="4108"/>
      <x:c r="L2" s="4108"/>
      <x:c r="M2" s="4108"/>
      <x:c r="N2" s="4108"/>
      <x:c r="O2" s="4108"/>
      <x:c r="P2" s="4108"/>
      <x:c r="Q2" s="4108"/>
      <x:c r="R2" s="4108"/>
      <x:c r="S2" s="4108"/>
      <x:c r="T2" s="4108"/>
      <x:c r="U2" s="4108"/>
      <x:c r="V2" s="4108"/>
      <x:c r="W2" s="4108"/>
      <x:c r="X2" s="4108"/>
      <x:c r="Y2" s="4108"/>
      <x:c r="Z2" s="4108"/>
      <x:c r="AA2" s="4108"/>
      <x:c r="AB2" s="4108"/>
      <x:c r="AC2" s="4108"/>
      <x:c r="AD2" s="4108"/>
    </x:row>
    <x:row r="3">
      <x:c r="A3" s="3945"/>
      <x:c r="B3" s="3945"/>
      <x:c r="C3" s="3945"/>
      <x:c r="D3" s="3945"/>
      <x:c r="E3" s="3945"/>
      <x:c r="F3" s="3945"/>
      <x:c r="G3" s="3945"/>
      <x:c r="H3" s="3945"/>
      <x:c r="I3" s="3945"/>
      <x:c r="J3" s="3945"/>
      <x:c r="K3" s="3945"/>
      <x:c r="L3" s="3945"/>
      <x:c r="M3" s="3945"/>
      <x:c r="N3" s="3945"/>
      <x:c r="O3" s="3945"/>
      <x:c r="P3" s="3945"/>
      <x:c r="Q3" s="3945"/>
      <x:c r="R3" s="3945"/>
      <x:c r="S3" s="3945"/>
      <x:c r="T3" s="3945"/>
      <x:c r="U3" s="3945"/>
      <x:c r="V3" s="3945"/>
      <x:c r="W3" s="3945"/>
      <x:c r="X3" s="3945"/>
      <x:c r="Y3" s="3945"/>
      <x:c r="Z3" s="3945"/>
      <x:c r="AA3" s="3945"/>
      <x:c r="AB3" s="3945"/>
      <x:c r="AC3" s="3945"/>
      <x:c r="AD3" s="3945"/>
    </x:row>
    <x:row r="4">
      <x:c r="A4" s="4149" t="str">
        <x:v>CONFIGURATION PLANE</x:v>
      </x:c>
      <x:c r="B4" s="4149"/>
      <x:c r="C4" s="4149"/>
      <x:c r="D4" s="4149"/>
      <x:c r="E4" s="4149"/>
      <x:c r="F4" s="4149"/>
      <x:c r="G4" s="4149"/>
      <x:c r="H4" s="4149"/>
      <x:c r="I4" s="4149"/>
      <x:c r="J4" s="4149"/>
      <x:c r="K4" s="4149"/>
      <x:c r="L4" s="4149"/>
      <x:c r="M4" s="4149"/>
      <x:c r="N4" s="4149"/>
      <x:c r="O4" s="4149"/>
      <x:c r="P4" s="4149"/>
      <x:c r="Q4" s="4149"/>
      <x:c r="R4" s="4149"/>
      <x:c r="S4" s="4149"/>
      <x:c r="T4" s="4149"/>
      <x:c r="U4" s="4149"/>
      <x:c r="V4" s="4149"/>
      <x:c r="W4" s="4149"/>
      <x:c r="X4" s="4149"/>
      <x:c r="Y4" s="4149"/>
      <x:c r="Z4" s="4149"/>
      <x:c r="AA4" s="4149"/>
      <x:c r="AB4" s="4149"/>
      <x:c r="AC4" s="4149"/>
      <x:c r="AD4" s="4149"/>
    </x:row>
    <x:row r="5">
      <x:c r="A5" s="3945"/>
      <x:c r="B5" s="3945"/>
      <x:c r="C5" s="3945"/>
      <x:c r="D5" s="3945"/>
      <x:c r="E5" s="3945"/>
      <x:c r="F5" s="3945"/>
      <x:c r="G5" s="3945"/>
      <x:c r="H5" s="3945"/>
      <x:c r="I5" s="3945"/>
      <x:c r="J5" s="3945"/>
      <x:c r="K5" s="3945"/>
      <x:c r="L5" s="3945"/>
      <x:c r="M5" s="3945"/>
      <x:c r="N5" s="3945"/>
      <x:c r="O5" s="3945"/>
      <x:c r="P5" s="3945"/>
      <x:c r="Q5" s="3945"/>
      <x:c r="R5" s="3945"/>
      <x:c r="S5" s="3945"/>
      <x:c r="T5" s="3945"/>
      <x:c r="U5" s="3945"/>
      <x:c r="V5" s="3945"/>
      <x:c r="W5" s="3945"/>
      <x:c r="X5" s="3945"/>
      <x:c r="Y5" s="3945"/>
      <x:c r="Z5" s="3945"/>
      <x:c r="AA5" s="3945"/>
      <x:c r="AB5" s="3945"/>
      <x:c r="AC5" s="3945"/>
      <x:c r="AD5" s="3945"/>
    </x:row>
    <x:row r="6">
      <x:c r="A6" s="4110" t="str">
        <x:v>CLIENTE
PK cliente_id</x:v>
      </x:c>
      <x:c r="B6" s="4111"/>
      <x:c r="C6" s="4111"/>
      <x:c r="D6" s="4112"/>
      <x:c r="E6" s="3945"/>
      <x:c r="F6" s="4110" t="str">
        <x:v>CONTRATO
PK contrato_id
FK cliente</x:v>
      </x:c>
      <x:c r="G6" s="4111"/>
      <x:c r="H6" s="4111"/>
      <x:c r="I6" s="4112"/>
      <x:c r="J6" s="3945"/>
      <x:c r="K6" s="4110" t="str">
        <x:v>CONTRATO VERSION
PK contrato_version_id</x:v>
      </x:c>
      <x:c r="L6" s="4111"/>
      <x:c r="M6" s="4111"/>
      <x:c r="N6" s="4112"/>
      <x:c r="O6" s="3945"/>
      <x:c r="P6" s="4110" t="str">
        <x:v>CONTRATO SERVICIO
PK contrato_servicio_id
FK versión + servicio</x:v>
      </x:c>
      <x:c r="Q6" s="4111"/>
      <x:c r="R6" s="4111"/>
      <x:c r="S6" s="4111"/>
      <x:c r="T6" s="4112"/>
      <x:c r="U6" s="3945"/>
      <x:c r="V6" s="4110" t="str">
        <x:v>ITEM CONTRATO
PK item_contrato_id
FK CS + UM</x:v>
      </x:c>
      <x:c r="W6" s="4111"/>
      <x:c r="X6" s="4111"/>
      <x:c r="Y6" s="4111"/>
      <x:c r="Z6" s="4112"/>
      <x:c r="AA6" s="3945"/>
      <x:c r="AB6" s="4113" t="str">
        <x:v>REGLAS
medición · tiempo
grano UC · agrupación</x:v>
      </x:c>
      <x:c r="AC6" s="4114"/>
      <x:c r="AD6" s="4115"/>
    </x:row>
    <x:row r="7">
      <x:c r="A7" s="4116"/>
      <x:c r="B7" s="4117"/>
      <x:c r="C7" s="4117"/>
      <x:c r="D7" s="4118"/>
      <x:c r="E7" s="3945"/>
      <x:c r="F7" s="4116"/>
      <x:c r="G7" s="4117"/>
      <x:c r="H7" s="4117"/>
      <x:c r="I7" s="4118"/>
      <x:c r="J7" s="3945"/>
      <x:c r="K7" s="4116"/>
      <x:c r="L7" s="4117"/>
      <x:c r="M7" s="4117"/>
      <x:c r="N7" s="4118"/>
      <x:c r="O7" s="3945"/>
      <x:c r="P7" s="4116"/>
      <x:c r="Q7" s="4117"/>
      <x:c r="R7" s="4117"/>
      <x:c r="S7" s="4117"/>
      <x:c r="T7" s="4118"/>
      <x:c r="U7" s="3945"/>
      <x:c r="V7" s="4116"/>
      <x:c r="W7" s="4117"/>
      <x:c r="X7" s="4117"/>
      <x:c r="Y7" s="4117"/>
      <x:c r="Z7" s="4118"/>
      <x:c r="AA7" s="3945"/>
      <x:c r="AB7" s="4119"/>
      <x:c r="AC7" s="4120"/>
      <x:c r="AD7" s="4121"/>
    </x:row>
    <x:row r="8">
      <x:c r="A8" s="4116"/>
      <x:c r="B8" s="4117"/>
      <x:c r="C8" s="4117"/>
      <x:c r="D8" s="4118"/>
      <x:c r="E8" s="4122" t="str">
        <x:v>→</x:v>
      </x:c>
      <x:c r="F8" s="4116"/>
      <x:c r="G8" s="4117"/>
      <x:c r="H8" s="4117"/>
      <x:c r="I8" s="4118"/>
      <x:c r="J8" s="4122" t="str">
        <x:v>→</x:v>
      </x:c>
      <x:c r="K8" s="4116"/>
      <x:c r="L8" s="4117"/>
      <x:c r="M8" s="4117"/>
      <x:c r="N8" s="4118"/>
      <x:c r="O8" s="4122" t="str">
        <x:v>→</x:v>
      </x:c>
      <x:c r="P8" s="4116"/>
      <x:c r="Q8" s="4117"/>
      <x:c r="R8" s="4117"/>
      <x:c r="S8" s="4117"/>
      <x:c r="T8" s="4118"/>
      <x:c r="U8" s="4122" t="str">
        <x:v>→</x:v>
      </x:c>
      <x:c r="V8" s="4116"/>
      <x:c r="W8" s="4117"/>
      <x:c r="X8" s="4117"/>
      <x:c r="Y8" s="4117"/>
      <x:c r="Z8" s="4118"/>
      <x:c r="AA8" s="3945"/>
      <x:c r="AB8" s="4119"/>
      <x:c r="AC8" s="4120"/>
      <x:c r="AD8" s="4121"/>
    </x:row>
    <x:row r="9">
      <x:c r="A9" s="4116"/>
      <x:c r="B9" s="4117"/>
      <x:c r="C9" s="4117"/>
      <x:c r="D9" s="4118"/>
      <x:c r="E9" s="3945"/>
      <x:c r="F9" s="4116"/>
      <x:c r="G9" s="4117"/>
      <x:c r="H9" s="4117"/>
      <x:c r="I9" s="4118"/>
      <x:c r="J9" s="3945"/>
      <x:c r="K9" s="4116"/>
      <x:c r="L9" s="4117"/>
      <x:c r="M9" s="4117"/>
      <x:c r="N9" s="4118"/>
      <x:c r="O9" s="3945"/>
      <x:c r="P9" s="4116"/>
      <x:c r="Q9" s="4117"/>
      <x:c r="R9" s="4117"/>
      <x:c r="S9" s="4117"/>
      <x:c r="T9" s="4118"/>
      <x:c r="U9" s="3945"/>
      <x:c r="V9" s="4116"/>
      <x:c r="W9" s="4117"/>
      <x:c r="X9" s="4117"/>
      <x:c r="Y9" s="4117"/>
      <x:c r="Z9" s="4118"/>
      <x:c r="AA9" s="3945"/>
      <x:c r="AB9" s="4119"/>
      <x:c r="AC9" s="4120"/>
      <x:c r="AD9" s="4121"/>
    </x:row>
    <x:row r="10">
      <x:c r="A10" s="4123"/>
      <x:c r="B10" s="4124"/>
      <x:c r="C10" s="4124"/>
      <x:c r="D10" s="4125"/>
      <x:c r="E10" s="3945"/>
      <x:c r="F10" s="4123"/>
      <x:c r="G10" s="4124"/>
      <x:c r="H10" s="4124"/>
      <x:c r="I10" s="4125"/>
      <x:c r="J10" s="3945"/>
      <x:c r="K10" s="4123"/>
      <x:c r="L10" s="4124"/>
      <x:c r="M10" s="4124"/>
      <x:c r="N10" s="4125"/>
      <x:c r="O10" s="3945"/>
      <x:c r="P10" s="4123"/>
      <x:c r="Q10" s="4124"/>
      <x:c r="R10" s="4124"/>
      <x:c r="S10" s="4124"/>
      <x:c r="T10" s="4125"/>
      <x:c r="U10" s="3945"/>
      <x:c r="V10" s="4123"/>
      <x:c r="W10" s="4124"/>
      <x:c r="X10" s="4124"/>
      <x:c r="Y10" s="4124"/>
      <x:c r="Z10" s="4125"/>
      <x:c r="AA10" s="3945"/>
      <x:c r="AB10" s="4126"/>
      <x:c r="AC10" s="4127"/>
      <x:c r="AD10" s="4128"/>
    </x:row>
    <x:row r="11">
      <x:c r="A11" s="3945"/>
      <x:c r="B11" s="3945"/>
      <x:c r="C11" s="3945"/>
      <x:c r="D11" s="3945"/>
      <x:c r="E11" s="3945"/>
      <x:c r="F11" s="3945"/>
      <x:c r="G11" s="3945"/>
      <x:c r="H11" s="3945"/>
      <x:c r="I11" s="3945"/>
      <x:c r="J11" s="3945"/>
      <x:c r="K11" s="3945"/>
      <x:c r="L11" s="3945"/>
      <x:c r="M11" s="3945"/>
      <x:c r="N11" s="3945"/>
      <x:c r="O11" s="3945"/>
      <x:c r="P11" s="3945"/>
      <x:c r="Q11" s="3945"/>
      <x:c r="R11" s="3945"/>
      <x:c r="S11" s="3945"/>
      <x:c r="T11" s="3945"/>
      <x:c r="U11" s="3945"/>
      <x:c r="V11" s="3945"/>
      <x:c r="W11" s="3945"/>
      <x:c r="X11" s="3945"/>
      <x:c r="Y11" s="3945"/>
      <x:c r="Z11" s="3945"/>
      <x:c r="AA11" s="3945"/>
      <x:c r="AB11" s="3945"/>
      <x:c r="AC11" s="3945"/>
      <x:c r="AD11" s="3945"/>
    </x:row>
    <x:row r="12">
      <x:c r="A12" s="3945"/>
      <x:c r="B12" s="3945"/>
      <x:c r="C12" s="3945"/>
      <x:c r="D12" s="3945"/>
      <x:c r="E12" s="3945"/>
      <x:c r="F12" s="3945"/>
      <x:c r="G12" s="3945"/>
      <x:c r="H12" s="3945"/>
      <x:c r="I12" s="3945"/>
      <x:c r="J12" s="3945"/>
      <x:c r="K12" s="3945"/>
      <x:c r="L12" s="3945"/>
      <x:c r="M12" s="3945"/>
      <x:c r="N12" s="3945"/>
      <x:c r="O12" s="3945"/>
      <x:c r="P12" s="4129" t="str">
        <x:v>CS ↔ CC
ContratoServicioCentroCosto</x:v>
      </x:c>
      <x:c r="Q12" s="4130"/>
      <x:c r="R12" s="4130"/>
      <x:c r="S12" s="4130"/>
      <x:c r="T12" s="4131"/>
      <x:c r="U12" s="3945"/>
      <x:c r="V12" s="4110" t="str">
        <x:v>CENTRO COSTO
independiente</x:v>
      </x:c>
      <x:c r="W12" s="4111"/>
      <x:c r="X12" s="4111"/>
      <x:c r="Y12" s="4111"/>
      <x:c r="Z12" s="4112"/>
      <x:c r="AA12" s="3945"/>
      <x:c r="AB12" s="3945"/>
      <x:c r="AC12" s="3945"/>
      <x:c r="AD12" s="3945"/>
    </x:row>
    <x:row r="13">
      <x:c r="A13" s="3945"/>
      <x:c r="B13" s="3945"/>
      <x:c r="C13" s="3945"/>
      <x:c r="D13" s="3945"/>
      <x:c r="E13" s="3945"/>
      <x:c r="F13" s="3945"/>
      <x:c r="G13" s="3945"/>
      <x:c r="H13" s="3945"/>
      <x:c r="I13" s="3945"/>
      <x:c r="J13" s="3945"/>
      <x:c r="K13" s="3945"/>
      <x:c r="L13" s="3945"/>
      <x:c r="M13" s="3945"/>
      <x:c r="N13" s="3945"/>
      <x:c r="O13" s="3945"/>
      <x:c r="P13" s="4132"/>
      <x:c r="Q13" s="4133"/>
      <x:c r="R13" s="4133"/>
      <x:c r="S13" s="4133"/>
      <x:c r="T13" s="4134"/>
      <x:c r="U13" s="4122" t="str">
        <x:v>→</x:v>
      </x:c>
      <x:c r="V13" s="4116"/>
      <x:c r="W13" s="4117"/>
      <x:c r="X13" s="4117"/>
      <x:c r="Y13" s="4117"/>
      <x:c r="Z13" s="4118"/>
      <x:c r="AA13" s="3945"/>
      <x:c r="AB13" s="3945"/>
      <x:c r="AC13" s="3945"/>
      <x:c r="AD13" s="3945"/>
    </x:row>
    <x:row r="14">
      <x:c r="A14" s="3945"/>
      <x:c r="B14" s="3945"/>
      <x:c r="C14" s="3945"/>
      <x:c r="D14" s="3945"/>
      <x:c r="E14" s="3945"/>
      <x:c r="F14" s="3945"/>
      <x:c r="G14" s="3945"/>
      <x:c r="H14" s="3945"/>
      <x:c r="I14" s="3945"/>
      <x:c r="J14" s="3945"/>
      <x:c r="K14" s="3945"/>
      <x:c r="L14" s="3945"/>
      <x:c r="M14" s="3945"/>
      <x:c r="N14" s="3945"/>
      <x:c r="O14" s="3945"/>
      <x:c r="P14" s="4132"/>
      <x:c r="Q14" s="4133"/>
      <x:c r="R14" s="4133"/>
      <x:c r="S14" s="4133"/>
      <x:c r="T14" s="4134"/>
      <x:c r="U14" s="3945"/>
      <x:c r="V14" s="4116"/>
      <x:c r="W14" s="4117"/>
      <x:c r="X14" s="4117"/>
      <x:c r="Y14" s="4117"/>
      <x:c r="Z14" s="4118"/>
      <x:c r="AA14" s="3945"/>
      <x:c r="AB14" s="3945"/>
      <x:c r="AC14" s="3945"/>
      <x:c r="AD14" s="3945"/>
    </x:row>
    <x:row r="15">
      <x:c r="A15" s="3945"/>
      <x:c r="B15" s="3945"/>
      <x:c r="C15" s="3945"/>
      <x:c r="D15" s="3945"/>
      <x:c r="E15" s="3945"/>
      <x:c r="F15" s="3945"/>
      <x:c r="G15" s="3945"/>
      <x:c r="H15" s="3945"/>
      <x:c r="I15" s="3945"/>
      <x:c r="J15" s="3945"/>
      <x:c r="K15" s="3945"/>
      <x:c r="L15" s="3945"/>
      <x:c r="M15" s="3945"/>
      <x:c r="N15" s="3945"/>
      <x:c r="O15" s="3945"/>
      <x:c r="P15" s="4135"/>
      <x:c r="Q15" s="4136"/>
      <x:c r="R15" s="4136"/>
      <x:c r="S15" s="4136"/>
      <x:c r="T15" s="4137"/>
      <x:c r="U15" s="3945"/>
      <x:c r="V15" s="4123"/>
      <x:c r="W15" s="4124"/>
      <x:c r="X15" s="4124"/>
      <x:c r="Y15" s="4124"/>
      <x:c r="Z15" s="4125"/>
      <x:c r="AA15" s="3945"/>
      <x:c r="AB15" s="3945"/>
      <x:c r="AC15" s="3945"/>
      <x:c r="AD15" s="3945"/>
    </x:row>
    <x:row r="16">
      <x:c r="A16" s="3945"/>
      <x:c r="B16" s="3945"/>
      <x:c r="C16" s="3945"/>
      <x:c r="D16" s="3945"/>
      <x:c r="E16" s="3945"/>
      <x:c r="F16" s="3945"/>
      <x:c r="G16" s="3945"/>
      <x:c r="H16" s="3945"/>
      <x:c r="I16" s="3945"/>
      <x:c r="J16" s="3945"/>
      <x:c r="K16" s="3945"/>
      <x:c r="L16" s="3945"/>
      <x:c r="M16" s="3945"/>
      <x:c r="N16" s="3945"/>
      <x:c r="O16" s="3945"/>
      <x:c r="P16" s="3945"/>
      <x:c r="Q16" s="3945"/>
      <x:c r="R16" s="3945"/>
      <x:c r="S16" s="3945"/>
      <x:c r="T16" s="3945"/>
      <x:c r="U16" s="3945"/>
      <x:c r="V16" s="3945"/>
      <x:c r="W16" s="3945"/>
      <x:c r="X16" s="3945"/>
      <x:c r="Y16" s="3945"/>
      <x:c r="Z16" s="3945"/>
      <x:c r="AA16" s="3945"/>
      <x:c r="AB16" s="3945"/>
      <x:c r="AC16" s="3945"/>
      <x:c r="AD16" s="3945"/>
    </x:row>
    <x:row r="17">
      <x:c r="A17" s="3945"/>
      <x:c r="B17" s="3945"/>
      <x:c r="C17" s="3945"/>
      <x:c r="D17" s="3945"/>
      <x:c r="E17" s="3945"/>
      <x:c r="F17" s="3945"/>
      <x:c r="G17" s="3945"/>
      <x:c r="H17" s="3945"/>
      <x:c r="I17" s="3945"/>
      <x:c r="J17" s="3945"/>
      <x:c r="K17" s="3945"/>
      <x:c r="L17" s="3945"/>
      <x:c r="M17" s="3945"/>
      <x:c r="N17" s="3945"/>
      <x:c r="O17" s="3945"/>
      <x:c r="P17" s="3945"/>
      <x:c r="Q17" s="3945"/>
      <x:c r="R17" s="3945"/>
      <x:c r="S17" s="3945"/>
      <x:c r="T17" s="3945"/>
      <x:c r="U17" s="3945"/>
      <x:c r="V17" s="3945"/>
      <x:c r="W17" s="3945"/>
      <x:c r="X17" s="3945"/>
      <x:c r="Y17" s="3945"/>
      <x:c r="Z17" s="3945"/>
      <x:c r="AA17" s="3945"/>
      <x:c r="AB17" s="3945"/>
      <x:c r="AC17" s="3945"/>
      <x:c r="AD17" s="3945"/>
    </x:row>
    <x:row r="18">
      <x:c r="A18" s="4109" t="str">
        <x:v>PLANIFICACIÓN</x:v>
      </x:c>
      <x:c r="B18" s="4109"/>
      <x:c r="C18" s="4109"/>
      <x:c r="D18" s="4109"/>
      <x:c r="E18" s="4109"/>
      <x:c r="F18" s="4109"/>
      <x:c r="G18" s="4109"/>
      <x:c r="H18" s="4109"/>
      <x:c r="I18" s="4109"/>
      <x:c r="J18" s="3945"/>
      <x:c r="K18" s="4109" t="str">
        <x:v>EJECUCIÓN / PARTES</x:v>
      </x:c>
      <x:c r="L18" s="4109"/>
      <x:c r="M18" s="4109"/>
      <x:c r="N18" s="4109"/>
      <x:c r="O18" s="4109"/>
      <x:c r="P18" s="4109"/>
      <x:c r="Q18" s="4109"/>
      <x:c r="R18" s="4109"/>
      <x:c r="S18" s="4109"/>
      <x:c r="T18" s="4109"/>
      <x:c r="U18" s="3945"/>
      <x:c r="V18" s="4109" t="str">
        <x:v>CERTIFICACIÓN / FACTURACIÓN</x:v>
      </x:c>
      <x:c r="W18" s="4109"/>
      <x:c r="X18" s="4109"/>
      <x:c r="Y18" s="4109"/>
      <x:c r="Z18" s="4109"/>
      <x:c r="AA18" s="4109"/>
      <x:c r="AB18" s="4109"/>
      <x:c r="AC18" s="4109"/>
      <x:c r="AD18" s="4109"/>
    </x:row>
    <x:row r="19">
      <x:c r="A19" s="3945"/>
      <x:c r="B19" s="3945"/>
      <x:c r="C19" s="3945"/>
      <x:c r="D19" s="3945"/>
      <x:c r="E19" s="3945"/>
      <x:c r="F19" s="3945"/>
      <x:c r="G19" s="3945"/>
      <x:c r="H19" s="3945"/>
      <x:c r="I19" s="3945"/>
      <x:c r="J19" s="3945"/>
      <x:c r="K19" s="3945"/>
      <x:c r="L19" s="3945"/>
      <x:c r="M19" s="3945"/>
      <x:c r="N19" s="3945"/>
      <x:c r="O19" s="3945"/>
      <x:c r="P19" s="3945"/>
      <x:c r="Q19" s="3945"/>
      <x:c r="R19" s="3945"/>
      <x:c r="S19" s="3945"/>
      <x:c r="T19" s="3945"/>
      <x:c r="U19" s="3945"/>
      <x:c r="V19" s="3945"/>
      <x:c r="W19" s="3945"/>
      <x:c r="X19" s="3945"/>
      <x:c r="Y19" s="3945"/>
      <x:c r="Z19" s="3945"/>
      <x:c r="AA19" s="3945"/>
      <x:c r="AB19" s="3945"/>
      <x:c r="AC19" s="3945"/>
      <x:c r="AD19" s="3945"/>
    </x:row>
    <x:row r="20">
      <x:c r="A20" s="4110" t="str">
        <x:v>DEMANDA
OPERATIVA</x:v>
      </x:c>
      <x:c r="B20" s="4111"/>
      <x:c r="C20" s="4111"/>
      <x:c r="D20" s="4112"/>
      <x:c r="E20" s="3945"/>
      <x:c r="F20" s="3945"/>
      <x:c r="G20" s="3945"/>
      <x:c r="H20" s="3945"/>
      <x:c r="I20" s="3945"/>
      <x:c r="J20" s="3945"/>
      <x:c r="K20" s="4113" t="str">
        <x:v>TIPO PARTE
TP-01 / 02 / 03</x:v>
      </x:c>
      <x:c r="L20" s="4114"/>
      <x:c r="M20" s="4114"/>
      <x:c r="N20" s="4115"/>
      <x:c r="O20" s="3945"/>
      <x:c r="P20" s="4110" t="str">
        <x:v>PARTE
PK parte_id
FK tipo_parte</x:v>
      </x:c>
      <x:c r="Q20" s="4111"/>
      <x:c r="R20" s="4111"/>
      <x:c r="S20" s="4111"/>
      <x:c r="T20" s="4112"/>
      <x:c r="U20" s="3945"/>
      <x:c r="V20" s="4129" t="str">
        <x:v>UC ↔ UE
UnidadComercial
FuenteEjecución
N:M + versión</x:v>
      </x:c>
      <x:c r="W20" s="4130"/>
      <x:c r="X20" s="4130"/>
      <x:c r="Y20" s="4130"/>
      <x:c r="Z20" s="4131"/>
      <x:c r="AA20" s="3945"/>
      <x:c r="AB20" s="3945"/>
      <x:c r="AC20" s="3945"/>
      <x:c r="AD20" s="3945"/>
    </x:row>
    <x:row r="21">
      <x:c r="A21" s="4116"/>
      <x:c r="B21" s="4117"/>
      <x:c r="C21" s="4117"/>
      <x:c r="D21" s="4118"/>
      <x:c r="E21" s="3945"/>
      <x:c r="F21" s="3945"/>
      <x:c r="G21" s="3945"/>
      <x:c r="H21" s="3945"/>
      <x:c r="I21" s="3945"/>
      <x:c r="J21" s="3945"/>
      <x:c r="K21" s="4119"/>
      <x:c r="L21" s="4120"/>
      <x:c r="M21" s="4120"/>
      <x:c r="N21" s="4121"/>
      <x:c r="O21" s="3945"/>
      <x:c r="P21" s="4116"/>
      <x:c r="Q21" s="4117"/>
      <x:c r="R21" s="4117"/>
      <x:c r="S21" s="4117"/>
      <x:c r="T21" s="4118"/>
      <x:c r="U21" s="3945"/>
      <x:c r="V21" s="4132"/>
      <x:c r="W21" s="4133"/>
      <x:c r="X21" s="4133"/>
      <x:c r="Y21" s="4133"/>
      <x:c r="Z21" s="4134"/>
      <x:c r="AA21" s="3945"/>
      <x:c r="AB21" s="3945"/>
      <x:c r="AC21" s="3945"/>
      <x:c r="AD21" s="3945"/>
    </x:row>
    <x:row r="22">
      <x:c r="A22" s="4116"/>
      <x:c r="B22" s="4117"/>
      <x:c r="C22" s="4117"/>
      <x:c r="D22" s="4118"/>
      <x:c r="E22" s="3945"/>
      <x:c r="F22" s="3945"/>
      <x:c r="G22" s="3945"/>
      <x:c r="H22" s="3945"/>
      <x:c r="I22" s="3945"/>
      <x:c r="J22" s="3945"/>
      <x:c r="K22" s="4119"/>
      <x:c r="L22" s="4120"/>
      <x:c r="M22" s="4120"/>
      <x:c r="N22" s="4121"/>
      <x:c r="O22" s="4122" t="str">
        <x:v>→</x:v>
      </x:c>
      <x:c r="P22" s="4116"/>
      <x:c r="Q22" s="4117"/>
      <x:c r="R22" s="4117"/>
      <x:c r="S22" s="4117"/>
      <x:c r="T22" s="4118"/>
      <x:c r="U22" s="3945"/>
      <x:c r="V22" s="4132"/>
      <x:c r="W22" s="4133"/>
      <x:c r="X22" s="4133"/>
      <x:c r="Y22" s="4133"/>
      <x:c r="Z22" s="4134"/>
      <x:c r="AA22" s="3945"/>
      <x:c r="AB22" s="3945"/>
      <x:c r="AC22" s="3945"/>
      <x:c r="AD22" s="3945"/>
    </x:row>
    <x:row r="23">
      <x:c r="A23" s="4116"/>
      <x:c r="B23" s="4117"/>
      <x:c r="C23" s="4117"/>
      <x:c r="D23" s="4118"/>
      <x:c r="E23" s="3945"/>
      <x:c r="F23" s="3945"/>
      <x:c r="G23" s="3945"/>
      <x:c r="H23" s="3945"/>
      <x:c r="I23" s="3945"/>
      <x:c r="J23" s="3945"/>
      <x:c r="K23" s="4119"/>
      <x:c r="L23" s="4120"/>
      <x:c r="M23" s="4120"/>
      <x:c r="N23" s="4121"/>
      <x:c r="O23" s="3945"/>
      <x:c r="P23" s="4116"/>
      <x:c r="Q23" s="4117"/>
      <x:c r="R23" s="4117"/>
      <x:c r="S23" s="4117"/>
      <x:c r="T23" s="4118"/>
      <x:c r="U23" s="3945"/>
      <x:c r="V23" s="4132"/>
      <x:c r="W23" s="4133"/>
      <x:c r="X23" s="4133"/>
      <x:c r="Y23" s="4133"/>
      <x:c r="Z23" s="4134"/>
      <x:c r="AA23" s="3945"/>
      <x:c r="AB23" s="3945"/>
      <x:c r="AC23" s="3945"/>
      <x:c r="AD23" s="3945"/>
    </x:row>
    <x:row r="24">
      <x:c r="A24" s="4123"/>
      <x:c r="B24" s="4124"/>
      <x:c r="C24" s="4124"/>
      <x:c r="D24" s="4125"/>
      <x:c r="E24" s="3945"/>
      <x:c r="F24" s="3945"/>
      <x:c r="G24" s="3945"/>
      <x:c r="H24" s="3945"/>
      <x:c r="I24" s="3945"/>
      <x:c r="J24" s="3945"/>
      <x:c r="K24" s="4126"/>
      <x:c r="L24" s="4127"/>
      <x:c r="M24" s="4127"/>
      <x:c r="N24" s="4128"/>
      <x:c r="O24" s="3945"/>
      <x:c r="P24" s="4123"/>
      <x:c r="Q24" s="4124"/>
      <x:c r="R24" s="4124"/>
      <x:c r="S24" s="4124"/>
      <x:c r="T24" s="4125"/>
      <x:c r="U24" s="3945"/>
      <x:c r="V24" s="4132"/>
      <x:c r="W24" s="4133"/>
      <x:c r="X24" s="4133"/>
      <x:c r="Y24" s="4133"/>
      <x:c r="Z24" s="4134"/>
      <x:c r="AA24" s="3945"/>
      <x:c r="AB24" s="3945"/>
      <x:c r="AC24" s="3945"/>
      <x:c r="AD24" s="3945"/>
    </x:row>
    <x:row r="25">
      <x:c r="A25" s="3945"/>
      <x:c r="B25" s="4138" t="str">
        <x:v>↓</x:v>
      </x:c>
      <x:c r="C25" s="3945"/>
      <x:c r="D25" s="3945"/>
      <x:c r="E25" s="3945"/>
      <x:c r="F25" s="3945"/>
      <x:c r="G25" s="3945"/>
      <x:c r="H25" s="3945"/>
      <x:c r="I25" s="3945"/>
      <x:c r="J25" s="3945"/>
      <x:c r="K25" s="3945"/>
      <x:c r="L25" s="3945"/>
      <x:c r="M25" s="3945"/>
      <x:c r="N25" s="3945"/>
      <x:c r="O25" s="3945"/>
      <x:c r="P25" s="3945"/>
      <x:c r="Q25" s="3945"/>
      <x:c r="R25" s="4138" t="str">
        <x:v>↓</x:v>
      </x:c>
      <x:c r="S25" s="3945"/>
      <x:c r="T25" s="3945"/>
      <x:c r="U25" s="3945"/>
      <x:c r="V25" s="4135"/>
      <x:c r="W25" s="4136"/>
      <x:c r="X25" s="4136"/>
      <x:c r="Y25" s="4136"/>
      <x:c r="Z25" s="4137"/>
      <x:c r="AA25" s="3945"/>
      <x:c r="AB25" s="3945"/>
      <x:c r="AC25" s="3945"/>
      <x:c r="AD25" s="3945"/>
    </x:row>
    <x:row r="26">
      <x:c r="A26" s="4110" t="str">
        <x:v>PLANIFICACIÓN
PK planificacion_id</x:v>
      </x:c>
      <x:c r="B26" s="4111"/>
      <x:c r="C26" s="4111"/>
      <x:c r="D26" s="4112"/>
      <x:c r="E26" s="3945"/>
      <x:c r="F26" s="3945"/>
      <x:c r="G26" s="3945"/>
      <x:c r="H26" s="3945"/>
      <x:c r="I26" s="3945"/>
      <x:c r="J26" s="3945"/>
      <x:c r="K26" s="3945"/>
      <x:c r="L26" s="3945"/>
      <x:c r="M26" s="3945"/>
      <x:c r="N26" s="3945"/>
      <x:c r="O26" s="3945"/>
      <x:c r="P26" s="4110" t="str">
        <x:v>UNIDAD EJECUCIÓN
PK unidad_ejecucion_id
FK parte
1..N</x:v>
      </x:c>
      <x:c r="Q26" s="4111"/>
      <x:c r="R26" s="4111"/>
      <x:c r="S26" s="4111"/>
      <x:c r="T26" s="4112"/>
      <x:c r="U26" s="3945"/>
      <x:c r="V26" s="3945"/>
      <x:c r="W26" s="3945"/>
      <x:c r="X26" s="4138" t="str">
        <x:v>↓</x:v>
      </x:c>
      <x:c r="Y26" s="3945"/>
      <x:c r="Z26" s="3945"/>
      <x:c r="AA26" s="3945"/>
      <x:c r="AB26" s="3945"/>
      <x:c r="AC26" s="3945"/>
      <x:c r="AD26" s="3945"/>
    </x:row>
    <x:row r="27">
      <x:c r="A27" s="4116"/>
      <x:c r="B27" s="4117"/>
      <x:c r="C27" s="4117"/>
      <x:c r="D27" s="4118"/>
      <x:c r="E27" s="3945"/>
      <x:c r="F27" s="3945"/>
      <x:c r="G27" s="3945"/>
      <x:c r="H27" s="3945"/>
      <x:c r="I27" s="3945"/>
      <x:c r="J27" s="3945"/>
      <x:c r="K27" s="3945"/>
      <x:c r="L27" s="3945"/>
      <x:c r="M27" s="3945"/>
      <x:c r="N27" s="3945"/>
      <x:c r="O27" s="3945"/>
      <x:c r="P27" s="4116"/>
      <x:c r="Q27" s="4117"/>
      <x:c r="R27" s="4117"/>
      <x:c r="S27" s="4117"/>
      <x:c r="T27" s="4118"/>
      <x:c r="U27" s="3945"/>
      <x:c r="V27" s="4110" t="str">
        <x:v>UNIDAD
COMERCIAL
PK UC</x:v>
      </x:c>
      <x:c r="W27" s="4111"/>
      <x:c r="X27" s="4111"/>
      <x:c r="Y27" s="4111"/>
      <x:c r="Z27" s="4112"/>
      <x:c r="AA27" s="3945"/>
      <x:c r="AB27" s="4129" t="str">
        <x:v>SUPERSESSION
UC v2 → UC v1</x:v>
      </x:c>
      <x:c r="AC27" s="4130"/>
      <x:c r="AD27" s="4131"/>
    </x:row>
    <x:row r="28">
      <x:c r="A28" s="4116"/>
      <x:c r="B28" s="4117"/>
      <x:c r="C28" s="4117"/>
      <x:c r="D28" s="4118"/>
      <x:c r="E28" s="3945"/>
      <x:c r="F28" s="3945"/>
      <x:c r="G28" s="3945"/>
      <x:c r="H28" s="3945"/>
      <x:c r="I28" s="3945"/>
      <x:c r="J28" s="3945"/>
      <x:c r="K28" s="3945"/>
      <x:c r="L28" s="3945"/>
      <x:c r="M28" s="3945"/>
      <x:c r="N28" s="3945"/>
      <x:c r="O28" s="3945"/>
      <x:c r="P28" s="4116"/>
      <x:c r="Q28" s="4117"/>
      <x:c r="R28" s="4117"/>
      <x:c r="S28" s="4117"/>
      <x:c r="T28" s="4118"/>
      <x:c r="U28" s="3945"/>
      <x:c r="V28" s="4116"/>
      <x:c r="W28" s="4117"/>
      <x:c r="X28" s="4117"/>
      <x:c r="Y28" s="4117"/>
      <x:c r="Z28" s="4118"/>
      <x:c r="AA28" s="3945"/>
      <x:c r="AB28" s="4132"/>
      <x:c r="AC28" s="4133"/>
      <x:c r="AD28" s="4134"/>
    </x:row>
    <x:row r="29">
      <x:c r="A29" s="4116"/>
      <x:c r="B29" s="4117"/>
      <x:c r="C29" s="4117"/>
      <x:c r="D29" s="4118"/>
      <x:c r="E29" s="3945"/>
      <x:c r="F29" s="3945"/>
      <x:c r="G29" s="3945"/>
      <x:c r="H29" s="3945"/>
      <x:c r="I29" s="3945"/>
      <x:c r="J29" s="3945"/>
      <x:c r="K29" s="3945"/>
      <x:c r="L29" s="3945"/>
      <x:c r="M29" s="3945"/>
      <x:c r="N29" s="3945"/>
      <x:c r="O29" s="3945"/>
      <x:c r="P29" s="4116"/>
      <x:c r="Q29" s="4117"/>
      <x:c r="R29" s="4117"/>
      <x:c r="S29" s="4117"/>
      <x:c r="T29" s="4118"/>
      <x:c r="U29" s="3945"/>
      <x:c r="V29" s="4116"/>
      <x:c r="W29" s="4117"/>
      <x:c r="X29" s="4117"/>
      <x:c r="Y29" s="4117"/>
      <x:c r="Z29" s="4118"/>
      <x:c r="AA29" s="3945"/>
      <x:c r="AB29" s="4132"/>
      <x:c r="AC29" s="4133"/>
      <x:c r="AD29" s="4134"/>
    </x:row>
    <x:row r="30">
      <x:c r="A30" s="4123"/>
      <x:c r="B30" s="4124"/>
      <x:c r="C30" s="4124"/>
      <x:c r="D30" s="4125"/>
      <x:c r="E30" s="3945"/>
      <x:c r="F30" s="3945"/>
      <x:c r="G30" s="3945"/>
      <x:c r="H30" s="3945"/>
      <x:c r="I30" s="3945"/>
      <x:c r="J30" s="3945"/>
      <x:c r="K30" s="3945"/>
      <x:c r="L30" s="3945"/>
      <x:c r="M30" s="3945"/>
      <x:c r="N30" s="3945"/>
      <x:c r="O30" s="3945"/>
      <x:c r="P30" s="4116"/>
      <x:c r="Q30" s="4117"/>
      <x:c r="R30" s="4117"/>
      <x:c r="S30" s="4117"/>
      <x:c r="T30" s="4118"/>
      <x:c r="U30" s="3945"/>
      <x:c r="V30" s="4116"/>
      <x:c r="W30" s="4117"/>
      <x:c r="X30" s="4117"/>
      <x:c r="Y30" s="4117"/>
      <x:c r="Z30" s="4118"/>
      <x:c r="AA30" s="3945"/>
      <x:c r="AB30" s="4132"/>
      <x:c r="AC30" s="4133"/>
      <x:c r="AD30" s="4134"/>
    </x:row>
    <x:row r="31">
      <x:c r="A31" s="3945"/>
      <x:c r="B31" s="4138" t="str">
        <x:v>↓</x:v>
      </x:c>
      <x:c r="C31" s="3945"/>
      <x:c r="D31" s="3945"/>
      <x:c r="E31" s="3945"/>
      <x:c r="F31" s="3945"/>
      <x:c r="G31" s="3945"/>
      <x:c r="H31" s="3945"/>
      <x:c r="I31" s="3945"/>
      <x:c r="J31" s="3945"/>
      <x:c r="K31" s="3945"/>
      <x:c r="L31" s="3945"/>
      <x:c r="M31" s="3945"/>
      <x:c r="N31" s="3945"/>
      <x:c r="O31" s="3945"/>
      <x:c r="P31" s="4123"/>
      <x:c r="Q31" s="4124"/>
      <x:c r="R31" s="4124"/>
      <x:c r="S31" s="4124"/>
      <x:c r="T31" s="4125"/>
      <x:c r="U31" s="3945"/>
      <x:c r="V31" s="4123"/>
      <x:c r="W31" s="4124"/>
      <x:c r="X31" s="4124"/>
      <x:c r="Y31" s="4124"/>
      <x:c r="Z31" s="4125"/>
      <x:c r="AA31" s="3945"/>
      <x:c r="AB31" s="4135"/>
      <x:c r="AC31" s="4136"/>
      <x:c r="AD31" s="4137"/>
    </x:row>
    <x:row r="32">
      <x:c r="A32" s="4110" t="str">
        <x:v>PLANIFICACIÓN
VERSIÓN
inmutable</x:v>
      </x:c>
      <x:c r="B32" s="4111"/>
      <x:c r="C32" s="4111"/>
      <x:c r="D32" s="4112"/>
      <x:c r="E32" s="3945"/>
      <x:c r="F32" s="3945"/>
      <x:c r="G32" s="3945"/>
      <x:c r="H32" s="3945"/>
      <x:c r="I32" s="3945"/>
      <x:c r="J32" s="3945"/>
      <x:c r="K32" s="3945"/>
      <x:c r="L32" s="3945"/>
      <x:c r="M32" s="3945"/>
      <x:c r="N32" s="3945"/>
      <x:c r="O32" s="3945"/>
      <x:c r="P32" s="3945"/>
      <x:c r="Q32" s="3945"/>
      <x:c r="R32" s="3945"/>
      <x:c r="S32" s="3945"/>
      <x:c r="T32" s="3945"/>
      <x:c r="U32" s="3945"/>
      <x:c r="V32" s="3945"/>
      <x:c r="W32" s="3945"/>
      <x:c r="X32" s="4138" t="str">
        <x:v>↓</x:v>
      </x:c>
      <x:c r="Y32" s="3945"/>
      <x:c r="Z32" s="3945"/>
      <x:c r="AA32" s="3945"/>
      <x:c r="AB32" s="3945"/>
      <x:c r="AC32" s="3945"/>
      <x:c r="AD32" s="3945"/>
    </x:row>
    <x:row r="33">
      <x:c r="A33" s="4116"/>
      <x:c r="B33" s="4117"/>
      <x:c r="C33" s="4117"/>
      <x:c r="D33" s="4118"/>
      <x:c r="E33" s="3945"/>
      <x:c r="F33" s="3945"/>
      <x:c r="G33" s="3945"/>
      <x:c r="H33" s="3945"/>
      <x:c r="I33" s="3945"/>
      <x:c r="J33" s="3945"/>
      <x:c r="K33" s="4129" t="str">
        <x:v>PERSONA ↔ UE
AsignacionPersona
intervalos</x:v>
      </x:c>
      <x:c r="L33" s="4130"/>
      <x:c r="M33" s="4130"/>
      <x:c r="N33" s="4131"/>
      <x:c r="O33" s="3945"/>
      <x:c r="P33" s="4129" t="str">
        <x:v>RECURSO ↔ UE
AsignacionRecurso
intervalos</x:v>
      </x:c>
      <x:c r="Q33" s="4130"/>
      <x:c r="R33" s="4130"/>
      <x:c r="S33" s="4130"/>
      <x:c r="T33" s="4131"/>
      <x:c r="U33" s="3945"/>
      <x:c r="V33" s="4129" t="str">
        <x:v>PAQUETE ↔ UC
bridge versionado</x:v>
      </x:c>
      <x:c r="W33" s="4130"/>
      <x:c r="X33" s="4130"/>
      <x:c r="Y33" s="4130"/>
      <x:c r="Z33" s="4131"/>
      <x:c r="AA33" s="3945"/>
      <x:c r="AB33" s="4110" t="str">
        <x:v>CONFORMIDAD /
OBSERVACIÓN /
AJUSTE</x:v>
      </x:c>
      <x:c r="AC33" s="4111"/>
      <x:c r="AD33" s="4112"/>
    </x:row>
    <x:row r="34">
      <x:c r="A34" s="4116"/>
      <x:c r="B34" s="4117"/>
      <x:c r="C34" s="4117"/>
      <x:c r="D34" s="4118"/>
      <x:c r="E34" s="3945"/>
      <x:c r="F34" s="3945"/>
      <x:c r="G34" s="3945"/>
      <x:c r="H34" s="3945"/>
      <x:c r="I34" s="3945"/>
      <x:c r="J34" s="3945"/>
      <x:c r="K34" s="4132"/>
      <x:c r="L34" s="4133"/>
      <x:c r="M34" s="4133"/>
      <x:c r="N34" s="4134"/>
      <x:c r="O34" s="3945"/>
      <x:c r="P34" s="4132"/>
      <x:c r="Q34" s="4133"/>
      <x:c r="R34" s="4133"/>
      <x:c r="S34" s="4133"/>
      <x:c r="T34" s="4134"/>
      <x:c r="U34" s="3945"/>
      <x:c r="V34" s="4132"/>
      <x:c r="W34" s="4133"/>
      <x:c r="X34" s="4133"/>
      <x:c r="Y34" s="4133"/>
      <x:c r="Z34" s="4134"/>
      <x:c r="AA34" s="3945"/>
      <x:c r="AB34" s="4116"/>
      <x:c r="AC34" s="4117"/>
      <x:c r="AD34" s="4118"/>
    </x:row>
    <x:row r="35">
      <x:c r="A35" s="4116"/>
      <x:c r="B35" s="4117"/>
      <x:c r="C35" s="4117"/>
      <x:c r="D35" s="4118"/>
      <x:c r="E35" s="3945"/>
      <x:c r="F35" s="3945"/>
      <x:c r="G35" s="3945"/>
      <x:c r="H35" s="3945"/>
      <x:c r="I35" s="3945"/>
      <x:c r="J35" s="3945"/>
      <x:c r="K35" s="4132"/>
      <x:c r="L35" s="4133"/>
      <x:c r="M35" s="4133"/>
      <x:c r="N35" s="4134"/>
      <x:c r="O35" s="4122" t="str">
        <x:v>→</x:v>
      </x:c>
      <x:c r="P35" s="4132"/>
      <x:c r="Q35" s="4133"/>
      <x:c r="R35" s="4133"/>
      <x:c r="S35" s="4133"/>
      <x:c r="T35" s="4134"/>
      <x:c r="U35" s="3945"/>
      <x:c r="V35" s="4132"/>
      <x:c r="W35" s="4133"/>
      <x:c r="X35" s="4133"/>
      <x:c r="Y35" s="4133"/>
      <x:c r="Z35" s="4134"/>
      <x:c r="AA35" s="3945"/>
      <x:c r="AB35" s="4116"/>
      <x:c r="AC35" s="4117"/>
      <x:c r="AD35" s="4118"/>
    </x:row>
    <x:row r="36">
      <x:c r="A36" s="4123"/>
      <x:c r="B36" s="4124"/>
      <x:c r="C36" s="4124"/>
      <x:c r="D36" s="4125"/>
      <x:c r="E36" s="3945"/>
      <x:c r="F36" s="3945"/>
      <x:c r="G36" s="3945"/>
      <x:c r="H36" s="3945"/>
      <x:c r="I36" s="3945"/>
      <x:c r="J36" s="3945"/>
      <x:c r="K36" s="4132"/>
      <x:c r="L36" s="4133"/>
      <x:c r="M36" s="4133"/>
      <x:c r="N36" s="4134"/>
      <x:c r="O36" s="3945"/>
      <x:c r="P36" s="4132"/>
      <x:c r="Q36" s="4133"/>
      <x:c r="R36" s="4133"/>
      <x:c r="S36" s="4133"/>
      <x:c r="T36" s="4134"/>
      <x:c r="U36" s="3945"/>
      <x:c r="V36" s="4132"/>
      <x:c r="W36" s="4133"/>
      <x:c r="X36" s="4133"/>
      <x:c r="Y36" s="4133"/>
      <x:c r="Z36" s="4134"/>
      <x:c r="AA36" s="3945"/>
      <x:c r="AB36" s="4116"/>
      <x:c r="AC36" s="4117"/>
      <x:c r="AD36" s="4118"/>
    </x:row>
    <x:row r="37">
      <x:c r="A37" s="3945"/>
      <x:c r="B37" s="4138" t="str">
        <x:v>↓</x:v>
      </x:c>
      <x:c r="C37" s="3945"/>
      <x:c r="D37" s="3945"/>
      <x:c r="E37" s="3945"/>
      <x:c r="F37" s="3945"/>
      <x:c r="G37" s="3945"/>
      <x:c r="H37" s="3945"/>
      <x:c r="I37" s="3945"/>
      <x:c r="J37" s="3945"/>
      <x:c r="K37" s="4135"/>
      <x:c r="L37" s="4136"/>
      <x:c r="M37" s="4136"/>
      <x:c r="N37" s="4137"/>
      <x:c r="O37" s="3945"/>
      <x:c r="P37" s="4135"/>
      <x:c r="Q37" s="4136"/>
      <x:c r="R37" s="4136"/>
      <x:c r="S37" s="4136"/>
      <x:c r="T37" s="4137"/>
      <x:c r="U37" s="3945"/>
      <x:c r="V37" s="4135"/>
      <x:c r="W37" s="4136"/>
      <x:c r="X37" s="4136"/>
      <x:c r="Y37" s="4136"/>
      <x:c r="Z37" s="4137"/>
      <x:c r="AA37" s="3945"/>
      <x:c r="AB37" s="4123"/>
      <x:c r="AC37" s="4124"/>
      <x:c r="AD37" s="4125"/>
    </x:row>
    <x:row r="38">
      <x:c r="A38" s="4110" t="str">
        <x:v>ASIGNACIÓN
PLANIFICADA</x:v>
      </x:c>
      <x:c r="B38" s="4111"/>
      <x:c r="C38" s="4111"/>
      <x:c r="D38" s="4112"/>
      <x:c r="E38" s="3945"/>
      <x:c r="F38" s="4110" t="str">
        <x:v>UNIDAD
PLANIFICADA
FK demanda</x:v>
      </x:c>
      <x:c r="G38" s="4111"/>
      <x:c r="H38" s="4111"/>
      <x:c r="I38" s="4112"/>
      <x:c r="J38" s="3945"/>
      <x:c r="K38" s="3945"/>
      <x:c r="L38" s="3945"/>
      <x:c r="M38" s="3945"/>
      <x:c r="N38" s="3945"/>
      <x:c r="O38" s="3945"/>
      <x:c r="P38" s="3945"/>
      <x:c r="Q38" s="3945"/>
      <x:c r="R38" s="3945"/>
      <x:c r="S38" s="3945"/>
      <x:c r="T38" s="3945"/>
      <x:c r="U38" s="3945"/>
      <x:c r="V38" s="3945"/>
      <x:c r="W38" s="3945"/>
      <x:c r="X38" s="4138" t="str">
        <x:v>↓</x:v>
      </x:c>
      <x:c r="Y38" s="3945"/>
      <x:c r="Z38" s="3945"/>
      <x:c r="AA38" s="3945"/>
      <x:c r="AB38" s="3945"/>
      <x:c r="AC38" s="3945"/>
      <x:c r="AD38" s="3945"/>
    </x:row>
    <x:row r="39">
      <x:c r="A39" s="4116"/>
      <x:c r="B39" s="4117"/>
      <x:c r="C39" s="4117"/>
      <x:c r="D39" s="4118"/>
      <x:c r="E39" s="3945"/>
      <x:c r="F39" s="4116"/>
      <x:c r="G39" s="4117"/>
      <x:c r="H39" s="4117"/>
      <x:c r="I39" s="4118"/>
      <x:c r="J39" s="3945"/>
      <x:c r="K39" s="4129" t="str">
        <x:v>UE ↔ UBICACIÓN
roles</x:v>
      </x:c>
      <x:c r="L39" s="4130"/>
      <x:c r="M39" s="4130"/>
      <x:c r="N39" s="4131"/>
      <x:c r="O39" s="3945"/>
      <x:c r="P39" s="4110" t="str">
        <x:v>MEDICIÓN
OPERATIVA</x:v>
      </x:c>
      <x:c r="Q39" s="4111"/>
      <x:c r="R39" s="4111"/>
      <x:c r="S39" s="4111"/>
      <x:c r="T39" s="4112"/>
      <x:c r="U39" s="3945"/>
      <x:c r="V39" s="4110" t="str">
        <x:v>PAQUETE
CERTIFICACIÓN</x:v>
      </x:c>
      <x:c r="W39" s="4111"/>
      <x:c r="X39" s="4111"/>
      <x:c r="Y39" s="4111"/>
      <x:c r="Z39" s="4112"/>
      <x:c r="AA39" s="3945"/>
      <x:c r="AB39" s="3945"/>
      <x:c r="AC39" s="3945"/>
      <x:c r="AD39" s="3945"/>
    </x:row>
    <x:row r="40">
      <x:c r="A40" s="4116"/>
      <x:c r="B40" s="4117"/>
      <x:c r="C40" s="4117"/>
      <x:c r="D40" s="4118"/>
      <x:c r="E40" s="4122" t="str">
        <x:v>→</x:v>
      </x:c>
      <x:c r="F40" s="4116"/>
      <x:c r="G40" s="4117"/>
      <x:c r="H40" s="4117"/>
      <x:c r="I40" s="4118"/>
      <x:c r="J40" s="3945"/>
      <x:c r="K40" s="4132"/>
      <x:c r="L40" s="4133"/>
      <x:c r="M40" s="4133"/>
      <x:c r="N40" s="4134"/>
      <x:c r="O40" s="3945"/>
      <x:c r="P40" s="4116"/>
      <x:c r="Q40" s="4117"/>
      <x:c r="R40" s="4117"/>
      <x:c r="S40" s="4117"/>
      <x:c r="T40" s="4118"/>
      <x:c r="U40" s="3945"/>
      <x:c r="V40" s="4116"/>
      <x:c r="W40" s="4117"/>
      <x:c r="X40" s="4117"/>
      <x:c r="Y40" s="4117"/>
      <x:c r="Z40" s="4118"/>
      <x:c r="AA40" s="3945"/>
      <x:c r="AB40" s="3945"/>
      <x:c r="AC40" s="3945"/>
      <x:c r="AD40" s="3945"/>
    </x:row>
    <x:row r="41">
      <x:c r="A41" s="4116"/>
      <x:c r="B41" s="4117"/>
      <x:c r="C41" s="4117"/>
      <x:c r="D41" s="4118"/>
      <x:c r="E41" s="3945"/>
      <x:c r="F41" s="4116"/>
      <x:c r="G41" s="4117"/>
      <x:c r="H41" s="4117"/>
      <x:c r="I41" s="4118"/>
      <x:c r="J41" s="3945"/>
      <x:c r="K41" s="4132"/>
      <x:c r="L41" s="4133"/>
      <x:c r="M41" s="4133"/>
      <x:c r="N41" s="4134"/>
      <x:c r="O41" s="4122" t="str">
        <x:v>→</x:v>
      </x:c>
      <x:c r="P41" s="4116"/>
      <x:c r="Q41" s="4117"/>
      <x:c r="R41" s="4117"/>
      <x:c r="S41" s="4117"/>
      <x:c r="T41" s="4118"/>
      <x:c r="U41" s="3945"/>
      <x:c r="V41" s="4116"/>
      <x:c r="W41" s="4117"/>
      <x:c r="X41" s="4117"/>
      <x:c r="Y41" s="4117"/>
      <x:c r="Z41" s="4118"/>
      <x:c r="AA41" s="3945"/>
      <x:c r="AB41" s="3945"/>
      <x:c r="AC41" s="3945"/>
      <x:c r="AD41" s="3945"/>
    </x:row>
    <x:row r="42">
      <x:c r="A42" s="4123"/>
      <x:c r="B42" s="4124"/>
      <x:c r="C42" s="4124"/>
      <x:c r="D42" s="4125"/>
      <x:c r="E42" s="3945"/>
      <x:c r="F42" s="4123"/>
      <x:c r="G42" s="4124"/>
      <x:c r="H42" s="4124"/>
      <x:c r="I42" s="4125"/>
      <x:c r="J42" s="3945"/>
      <x:c r="K42" s="4132"/>
      <x:c r="L42" s="4133"/>
      <x:c r="M42" s="4133"/>
      <x:c r="N42" s="4134"/>
      <x:c r="O42" s="3945"/>
      <x:c r="P42" s="4116"/>
      <x:c r="Q42" s="4117"/>
      <x:c r="R42" s="4117"/>
      <x:c r="S42" s="4117"/>
      <x:c r="T42" s="4118"/>
      <x:c r="U42" s="3945"/>
      <x:c r="V42" s="4116"/>
      <x:c r="W42" s="4117"/>
      <x:c r="X42" s="4117"/>
      <x:c r="Y42" s="4117"/>
      <x:c r="Z42" s="4118"/>
      <x:c r="AA42" s="3945"/>
      <x:c r="AB42" s="3945"/>
      <x:c r="AC42" s="3945"/>
      <x:c r="AD42" s="3945"/>
    </x:row>
    <x:row r="43">
      <x:c r="A43" s="3945"/>
      <x:c r="B43" s="3945"/>
      <x:c r="C43" s="3945"/>
      <x:c r="D43" s="3945"/>
      <x:c r="E43" s="3945"/>
      <x:c r="F43" s="3945"/>
      <x:c r="G43" s="3945"/>
      <x:c r="H43" s="3945"/>
      <x:c r="I43" s="3945"/>
      <x:c r="J43" s="3945"/>
      <x:c r="K43" s="4135"/>
      <x:c r="L43" s="4136"/>
      <x:c r="M43" s="4136"/>
      <x:c r="N43" s="4137"/>
      <x:c r="O43" s="3945"/>
      <x:c r="P43" s="4123"/>
      <x:c r="Q43" s="4124"/>
      <x:c r="R43" s="4124"/>
      <x:c r="S43" s="4124"/>
      <x:c r="T43" s="4125"/>
      <x:c r="U43" s="3945"/>
      <x:c r="V43" s="4123"/>
      <x:c r="W43" s="4124"/>
      <x:c r="X43" s="4124"/>
      <x:c r="Y43" s="4124"/>
      <x:c r="Z43" s="4125"/>
      <x:c r="AA43" s="3945"/>
      <x:c r="AB43" s="3945"/>
      <x:c r="AC43" s="3945"/>
      <x:c r="AD43" s="3945"/>
    </x:row>
    <x:row r="44">
      <x:c r="A44" s="4113" t="str">
        <x:v>REQUERIMIENTOS
recurso + competencia</x:v>
      </x:c>
      <x:c r="B44" s="4114"/>
      <x:c r="C44" s="4114"/>
      <x:c r="D44" s="4115"/>
      <x:c r="E44" s="3945"/>
      <x:c r="F44" s="4129" t="str">
        <x:v>NOMINACIÓN
Persona/Recurso
PLANIFICADO</x:v>
      </x:c>
      <x:c r="G44" s="4130"/>
      <x:c r="H44" s="4130"/>
      <x:c r="I44" s="4131"/>
      <x:c r="J44" s="3945"/>
      <x:c r="K44" s="3945"/>
      <x:c r="L44" s="3945"/>
      <x:c r="M44" s="3945"/>
      <x:c r="N44" s="3945"/>
      <x:c r="O44" s="3945"/>
      <x:c r="P44" s="3945"/>
      <x:c r="Q44" s="3945"/>
      <x:c r="R44" s="3945"/>
      <x:c r="S44" s="3945"/>
      <x:c r="T44" s="3945"/>
      <x:c r="U44" s="3945"/>
      <x:c r="V44" s="3945"/>
      <x:c r="W44" s="3945"/>
      <x:c r="X44" s="4138" t="str">
        <x:v>↓</x:v>
      </x:c>
      <x:c r="Y44" s="3945"/>
      <x:c r="Z44" s="3945"/>
      <x:c r="AA44" s="3945"/>
      <x:c r="AB44" s="3945"/>
      <x:c r="AC44" s="3945"/>
      <x:c r="AD44" s="3945"/>
    </x:row>
    <x:row r="45">
      <x:c r="A45" s="4119"/>
      <x:c r="B45" s="4120"/>
      <x:c r="C45" s="4120"/>
      <x:c r="D45" s="4121"/>
      <x:c r="E45" s="3945"/>
      <x:c r="F45" s="4132"/>
      <x:c r="G45" s="4133"/>
      <x:c r="H45" s="4133"/>
      <x:c r="I45" s="4134"/>
      <x:c r="J45" s="3945"/>
      <x:c r="K45" s="4110" t="str">
        <x:v>EVENTOS
TIEMPO / OPERATIVOS</x:v>
      </x:c>
      <x:c r="L45" s="4111"/>
      <x:c r="M45" s="4111"/>
      <x:c r="N45" s="4112"/>
      <x:c r="O45" s="3945"/>
      <x:c r="P45" s="4110" t="str">
        <x:v>IMPUTACIÓN
EJECUCIÓN
CS / CC / Item?</x:v>
      </x:c>
      <x:c r="Q45" s="4111"/>
      <x:c r="R45" s="4111"/>
      <x:c r="S45" s="4111"/>
      <x:c r="T45" s="4112"/>
      <x:c r="U45" s="3945"/>
      <x:c r="V45" s="4110" t="str">
        <x:v>LÍNEA
FACTURABLE</x:v>
      </x:c>
      <x:c r="W45" s="4111"/>
      <x:c r="X45" s="4111"/>
      <x:c r="Y45" s="4111"/>
      <x:c r="Z45" s="4112"/>
      <x:c r="AA45" s="3945"/>
      <x:c r="AB45" s="4110" t="str">
        <x:v>LOTE
FACTURACIÓN</x:v>
      </x:c>
      <x:c r="AC45" s="4111"/>
      <x:c r="AD45" s="4112"/>
    </x:row>
    <x:row r="46">
      <x:c r="A46" s="4119"/>
      <x:c r="B46" s="4120"/>
      <x:c r="C46" s="4120"/>
      <x:c r="D46" s="4121"/>
      <x:c r="E46" s="3945"/>
      <x:c r="F46" s="4132"/>
      <x:c r="G46" s="4133"/>
      <x:c r="H46" s="4133"/>
      <x:c r="I46" s="4134"/>
      <x:c r="J46" s="3945"/>
      <x:c r="K46" s="4116"/>
      <x:c r="L46" s="4117"/>
      <x:c r="M46" s="4117"/>
      <x:c r="N46" s="4118"/>
      <x:c r="O46" s="3945"/>
      <x:c r="P46" s="4116"/>
      <x:c r="Q46" s="4117"/>
      <x:c r="R46" s="4117"/>
      <x:c r="S46" s="4117"/>
      <x:c r="T46" s="4118"/>
      <x:c r="U46" s="3945"/>
      <x:c r="V46" s="4116"/>
      <x:c r="W46" s="4117"/>
      <x:c r="X46" s="4117"/>
      <x:c r="Y46" s="4117"/>
      <x:c r="Z46" s="4118"/>
      <x:c r="AA46" s="3945"/>
      <x:c r="AB46" s="4116"/>
      <x:c r="AC46" s="4117"/>
      <x:c r="AD46" s="4118"/>
    </x:row>
    <x:row r="47">
      <x:c r="A47" s="4119"/>
      <x:c r="B47" s="4120"/>
      <x:c r="C47" s="4120"/>
      <x:c r="D47" s="4121"/>
      <x:c r="E47" s="3945"/>
      <x:c r="F47" s="4132"/>
      <x:c r="G47" s="4133"/>
      <x:c r="H47" s="4133"/>
      <x:c r="I47" s="4134"/>
      <x:c r="J47" s="3945"/>
      <x:c r="K47" s="4116"/>
      <x:c r="L47" s="4117"/>
      <x:c r="M47" s="4117"/>
      <x:c r="N47" s="4118"/>
      <x:c r="O47" s="4122" t="str">
        <x:v>→</x:v>
      </x:c>
      <x:c r="P47" s="4116"/>
      <x:c r="Q47" s="4117"/>
      <x:c r="R47" s="4117"/>
      <x:c r="S47" s="4117"/>
      <x:c r="T47" s="4118"/>
      <x:c r="U47" s="3945"/>
      <x:c r="V47" s="4116"/>
      <x:c r="W47" s="4117"/>
      <x:c r="X47" s="4117"/>
      <x:c r="Y47" s="4117"/>
      <x:c r="Z47" s="4118"/>
      <x:c r="AA47" s="4122" t="str">
        <x:v>→</x:v>
      </x:c>
      <x:c r="AB47" s="4116"/>
      <x:c r="AC47" s="4117"/>
      <x:c r="AD47" s="4118"/>
    </x:row>
    <x:row r="48">
      <x:c r="A48" s="4126"/>
      <x:c r="B48" s="4127"/>
      <x:c r="C48" s="4127"/>
      <x:c r="D48" s="4128"/>
      <x:c r="E48" s="3945"/>
      <x:c r="F48" s="4135"/>
      <x:c r="G48" s="4136"/>
      <x:c r="H48" s="4136"/>
      <x:c r="I48" s="4137"/>
      <x:c r="J48" s="3945"/>
      <x:c r="K48" s="4116"/>
      <x:c r="L48" s="4117"/>
      <x:c r="M48" s="4117"/>
      <x:c r="N48" s="4118"/>
      <x:c r="O48" s="3945"/>
      <x:c r="P48" s="4116"/>
      <x:c r="Q48" s="4117"/>
      <x:c r="R48" s="4117"/>
      <x:c r="S48" s="4117"/>
      <x:c r="T48" s="4118"/>
      <x:c r="U48" s="3945"/>
      <x:c r="V48" s="4116"/>
      <x:c r="W48" s="4117"/>
      <x:c r="X48" s="4117"/>
      <x:c r="Y48" s="4117"/>
      <x:c r="Z48" s="4118"/>
      <x:c r="AA48" s="3945"/>
      <x:c r="AB48" s="4116"/>
      <x:c r="AC48" s="4117"/>
      <x:c r="AD48" s="4118"/>
    </x:row>
    <x:row r="49">
      <x:c r="A49" s="3945"/>
      <x:c r="B49" s="3945"/>
      <x:c r="C49" s="3945"/>
      <x:c r="D49" s="3945"/>
      <x:c r="E49" s="3945"/>
      <x:c r="F49" s="3945"/>
      <x:c r="G49" s="3945"/>
      <x:c r="H49" s="3945"/>
      <x:c r="I49" s="3945"/>
      <x:c r="J49" s="3945"/>
      <x:c r="K49" s="4123"/>
      <x:c r="L49" s="4124"/>
      <x:c r="M49" s="4124"/>
      <x:c r="N49" s="4125"/>
      <x:c r="O49" s="3945"/>
      <x:c r="P49" s="4123"/>
      <x:c r="Q49" s="4124"/>
      <x:c r="R49" s="4124"/>
      <x:c r="S49" s="4124"/>
      <x:c r="T49" s="4125"/>
      <x:c r="U49" s="3945"/>
      <x:c r="V49" s="4123"/>
      <x:c r="W49" s="4124"/>
      <x:c r="X49" s="4124"/>
      <x:c r="Y49" s="4124"/>
      <x:c r="Z49" s="4125"/>
      <x:c r="AA49" s="3945"/>
      <x:c r="AB49" s="4123"/>
      <x:c r="AC49" s="4124"/>
      <x:c r="AD49" s="4125"/>
    </x:row>
    <x:row r="50">
      <x:c r="A50" s="4110" t="str">
        <x:v>EVALUACIÓN READINESS
snapshot + invalidez
READY no es eterno</x:v>
      </x:c>
      <x:c r="B50" s="4111"/>
      <x:c r="C50" s="4111"/>
      <x:c r="D50" s="4111"/>
      <x:c r="E50" s="4111"/>
      <x:c r="F50" s="4111"/>
      <x:c r="G50" s="4111"/>
      <x:c r="H50" s="4111"/>
      <x:c r="I50" s="4112"/>
      <x:c r="J50" s="3945"/>
      <x:c r="K50" s="3945"/>
      <x:c r="L50" s="3945"/>
      <x:c r="M50" s="3945"/>
      <x:c r="N50" s="3945"/>
      <x:c r="O50" s="3945"/>
      <x:c r="P50" s="3945"/>
      <x:c r="Q50" s="3945"/>
      <x:c r="R50" s="3945"/>
      <x:c r="S50" s="3945"/>
      <x:c r="T50" s="3945"/>
      <x:c r="U50" s="3945"/>
      <x:c r="V50" s="3945"/>
      <x:c r="W50" s="3945"/>
      <x:c r="X50" s="3945"/>
      <x:c r="Y50" s="3945"/>
      <x:c r="Z50" s="3945"/>
      <x:c r="AA50" s="3945"/>
      <x:c r="AB50" s="3945"/>
      <x:c r="AC50" s="3945"/>
      <x:c r="AD50" s="3945"/>
    </x:row>
    <x:row r="51">
      <x:c r="A51" s="4116"/>
      <x:c r="B51" s="4117"/>
      <x:c r="C51" s="4117"/>
      <x:c r="D51" s="4117"/>
      <x:c r="E51" s="4117"/>
      <x:c r="F51" s="4117"/>
      <x:c r="G51" s="4117"/>
      <x:c r="H51" s="4117"/>
      <x:c r="I51" s="4118"/>
      <x:c r="J51" s="3945"/>
      <x:c r="K51" s="4110" t="str">
        <x:v>TRANSICIÓN
OPERATIVA
UE origen↔destino</x:v>
      </x:c>
      <x:c r="L51" s="4111"/>
      <x:c r="M51" s="4111"/>
      <x:c r="N51" s="4112"/>
      <x:c r="O51" s="3945"/>
      <x:c r="P51" s="4129" t="str">
        <x:v>EVIDENCIA
+ EvidenciaVinculo</x:v>
      </x:c>
      <x:c r="Q51" s="4130"/>
      <x:c r="R51" s="4130"/>
      <x:c r="S51" s="4130"/>
      <x:c r="T51" s="4131"/>
      <x:c r="U51" s="3945"/>
      <x:c r="V51" s="4139" t="str">
        <x:v>ERP / FACTURA
BOUNDARY EXTERNO
(no se modela fiscalidad sin fuente)</x:v>
      </x:c>
      <x:c r="W51" s="4140"/>
      <x:c r="X51" s="4140"/>
      <x:c r="Y51" s="4140"/>
      <x:c r="Z51" s="4140"/>
      <x:c r="AA51" s="4140"/>
      <x:c r="AB51" s="4140"/>
      <x:c r="AC51" s="4140"/>
      <x:c r="AD51" s="4141"/>
    </x:row>
    <x:row r="52">
      <x:c r="A52" s="4116"/>
      <x:c r="B52" s="4117"/>
      <x:c r="C52" s="4117"/>
      <x:c r="D52" s="4117"/>
      <x:c r="E52" s="4117"/>
      <x:c r="F52" s="4117"/>
      <x:c r="G52" s="4117"/>
      <x:c r="H52" s="4117"/>
      <x:c r="I52" s="4118"/>
      <x:c r="J52" s="3945"/>
      <x:c r="K52" s="4116"/>
      <x:c r="L52" s="4117"/>
      <x:c r="M52" s="4117"/>
      <x:c r="N52" s="4118"/>
      <x:c r="O52" s="3945"/>
      <x:c r="P52" s="4132"/>
      <x:c r="Q52" s="4133"/>
      <x:c r="R52" s="4133"/>
      <x:c r="S52" s="4133"/>
      <x:c r="T52" s="4134"/>
      <x:c r="U52" s="3945"/>
      <x:c r="V52" s="4142"/>
      <x:c r="W52" s="4143"/>
      <x:c r="X52" s="4143"/>
      <x:c r="Y52" s="4143"/>
      <x:c r="Z52" s="4143"/>
      <x:c r="AA52" s="4143"/>
      <x:c r="AB52" s="4143"/>
      <x:c r="AC52" s="4143"/>
      <x:c r="AD52" s="4144"/>
    </x:row>
    <x:row r="53">
      <x:c r="A53" s="4116"/>
      <x:c r="B53" s="4117"/>
      <x:c r="C53" s="4117"/>
      <x:c r="D53" s="4117"/>
      <x:c r="E53" s="4117"/>
      <x:c r="F53" s="4117"/>
      <x:c r="G53" s="4117"/>
      <x:c r="H53" s="4117"/>
      <x:c r="I53" s="4118"/>
      <x:c r="J53" s="3945"/>
      <x:c r="K53" s="4116"/>
      <x:c r="L53" s="4117"/>
      <x:c r="M53" s="4117"/>
      <x:c r="N53" s="4118"/>
      <x:c r="O53" s="4122" t="str">
        <x:v>→</x:v>
      </x:c>
      <x:c r="P53" s="4132"/>
      <x:c r="Q53" s="4133"/>
      <x:c r="R53" s="4133"/>
      <x:c r="S53" s="4133"/>
      <x:c r="T53" s="4134"/>
      <x:c r="U53" s="3945"/>
      <x:c r="V53" s="4142"/>
      <x:c r="W53" s="4143"/>
      <x:c r="X53" s="4143"/>
      <x:c r="Y53" s="4143"/>
      <x:c r="Z53" s="4143"/>
      <x:c r="AA53" s="4143"/>
      <x:c r="AB53" s="4143"/>
      <x:c r="AC53" s="4143"/>
      <x:c r="AD53" s="4144"/>
    </x:row>
    <x:row r="54">
      <x:c r="A54" s="4123"/>
      <x:c r="B54" s="4124"/>
      <x:c r="C54" s="4124"/>
      <x:c r="D54" s="4124"/>
      <x:c r="E54" s="4124"/>
      <x:c r="F54" s="4124"/>
      <x:c r="G54" s="4124"/>
      <x:c r="H54" s="4124"/>
      <x:c r="I54" s="4125"/>
      <x:c r="J54" s="3945"/>
      <x:c r="K54" s="4116"/>
      <x:c r="L54" s="4117"/>
      <x:c r="M54" s="4117"/>
      <x:c r="N54" s="4118"/>
      <x:c r="O54" s="3945"/>
      <x:c r="P54" s="4132"/>
      <x:c r="Q54" s="4133"/>
      <x:c r="R54" s="4133"/>
      <x:c r="S54" s="4133"/>
      <x:c r="T54" s="4134"/>
      <x:c r="U54" s="3945"/>
      <x:c r="V54" s="4142"/>
      <x:c r="W54" s="4143"/>
      <x:c r="X54" s="4143"/>
      <x:c r="Y54" s="4143"/>
      <x:c r="Z54" s="4143"/>
      <x:c r="AA54" s="4143"/>
      <x:c r="AB54" s="4143"/>
      <x:c r="AC54" s="4143"/>
      <x:c r="AD54" s="4144"/>
    </x:row>
    <x:row r="55">
      <x:c r="A55" s="3945"/>
      <x:c r="B55" s="3945"/>
      <x:c r="C55" s="3945"/>
      <x:c r="D55" s="3945"/>
      <x:c r="E55" s="3945"/>
      <x:c r="F55" s="3945"/>
      <x:c r="G55" s="3945"/>
      <x:c r="H55" s="3945"/>
      <x:c r="I55" s="3945"/>
      <x:c r="J55" s="3945"/>
      <x:c r="K55" s="4123"/>
      <x:c r="L55" s="4124"/>
      <x:c r="M55" s="4124"/>
      <x:c r="N55" s="4125"/>
      <x:c r="O55" s="3945"/>
      <x:c r="P55" s="4135"/>
      <x:c r="Q55" s="4136"/>
      <x:c r="R55" s="4136"/>
      <x:c r="S55" s="4136"/>
      <x:c r="T55" s="4137"/>
      <x:c r="U55" s="3945"/>
      <x:c r="V55" s="4145"/>
      <x:c r="W55" s="4146"/>
      <x:c r="X55" s="4146"/>
      <x:c r="Y55" s="4146"/>
      <x:c r="Z55" s="4146"/>
      <x:c r="AA55" s="4146"/>
      <x:c r="AB55" s="4146"/>
      <x:c r="AC55" s="4146"/>
      <x:c r="AD55" s="4147"/>
    </x:row>
    <x:row r="56">
      <x:c r="A56" s="4129" t="str">
        <x:v>VÍNCULO PLAN ↔ REAL
0..N ↔ 0..N
VinculoPlanEjecucion</x:v>
      </x:c>
      <x:c r="B56" s="4130"/>
      <x:c r="C56" s="4130"/>
      <x:c r="D56" s="4130"/>
      <x:c r="E56" s="4130"/>
      <x:c r="F56" s="4130"/>
      <x:c r="G56" s="4130"/>
      <x:c r="H56" s="4130"/>
      <x:c r="I56" s="4131"/>
      <x:c r="J56" s="3945"/>
      <x:c r="K56" s="3945"/>
      <x:c r="L56" s="3945"/>
      <x:c r="M56" s="3945"/>
      <x:c r="N56" s="3945"/>
      <x:c r="O56" s="3945"/>
      <x:c r="P56" s="3945"/>
      <x:c r="Q56" s="3945"/>
      <x:c r="R56" s="3945"/>
      <x:c r="S56" s="3945"/>
      <x:c r="T56" s="3945"/>
      <x:c r="U56" s="3945"/>
      <x:c r="V56" s="3945"/>
      <x:c r="W56" s="3945"/>
      <x:c r="X56" s="3945"/>
      <x:c r="Y56" s="3945"/>
      <x:c r="Z56" s="3945"/>
      <x:c r="AA56" s="3945"/>
      <x:c r="AB56" s="3945"/>
      <x:c r="AC56" s="3945"/>
      <x:c r="AD56" s="3945"/>
    </x:row>
    <x:row r="57">
      <x:c r="A57" s="4132"/>
      <x:c r="B57" s="4133"/>
      <x:c r="C57" s="4133"/>
      <x:c r="D57" s="4133"/>
      <x:c r="E57" s="4133"/>
      <x:c r="F57" s="4133"/>
      <x:c r="G57" s="4133"/>
      <x:c r="H57" s="4133"/>
      <x:c r="I57" s="4134"/>
      <x:c r="J57" s="3945"/>
      <x:c r="K57" s="4129" t="str">
        <x:v>PTW ↔ UE
N:M</x:v>
      </x:c>
      <x:c r="L57" s="4130"/>
      <x:c r="M57" s="4130"/>
      <x:c r="N57" s="4131"/>
      <x:c r="O57" s="3945"/>
      <x:c r="P57" s="4110" t="str">
        <x:v>ENMIENDA
OPERATIVA
append-only</x:v>
      </x:c>
      <x:c r="Q57" s="4111"/>
      <x:c r="R57" s="4111"/>
      <x:c r="S57" s="4111"/>
      <x:c r="T57" s="4112"/>
      <x:c r="U57" s="3945"/>
      <x:c r="V57" s="3945"/>
      <x:c r="W57" s="3945"/>
      <x:c r="X57" s="3945"/>
      <x:c r="Y57" s="3945"/>
      <x:c r="Z57" s="3945"/>
      <x:c r="AA57" s="3945"/>
      <x:c r="AB57" s="3945"/>
      <x:c r="AC57" s="3945"/>
      <x:c r="AD57" s="3945"/>
    </x:row>
    <x:row r="58">
      <x:c r="A58" s="4132"/>
      <x:c r="B58" s="4133"/>
      <x:c r="C58" s="4133"/>
      <x:c r="D58" s="4133"/>
      <x:c r="E58" s="4133"/>
      <x:c r="F58" s="4133"/>
      <x:c r="G58" s="4133"/>
      <x:c r="H58" s="4133"/>
      <x:c r="I58" s="4134"/>
      <x:c r="J58" s="3945"/>
      <x:c r="K58" s="4132"/>
      <x:c r="L58" s="4133"/>
      <x:c r="M58" s="4133"/>
      <x:c r="N58" s="4134"/>
      <x:c r="O58" s="3945"/>
      <x:c r="P58" s="4116"/>
      <x:c r="Q58" s="4117"/>
      <x:c r="R58" s="4117"/>
      <x:c r="S58" s="4117"/>
      <x:c r="T58" s="4118"/>
      <x:c r="U58" s="3945"/>
      <x:c r="V58" s="3945"/>
      <x:c r="W58" s="3945"/>
      <x:c r="X58" s="3945"/>
      <x:c r="Y58" s="3945"/>
      <x:c r="Z58" s="3945"/>
      <x:c r="AA58" s="3945"/>
      <x:c r="AB58" s="3945"/>
      <x:c r="AC58" s="3945"/>
      <x:c r="AD58" s="3945"/>
    </x:row>
    <x:row r="59">
      <x:c r="A59" s="4132"/>
      <x:c r="B59" s="4133"/>
      <x:c r="C59" s="4133"/>
      <x:c r="D59" s="4133"/>
      <x:c r="E59" s="4133"/>
      <x:c r="F59" s="4133"/>
      <x:c r="G59" s="4133"/>
      <x:c r="H59" s="4133"/>
      <x:c r="I59" s="4134"/>
      <x:c r="J59" s="3945"/>
      <x:c r="K59" s="4132"/>
      <x:c r="L59" s="4133"/>
      <x:c r="M59" s="4133"/>
      <x:c r="N59" s="4134"/>
      <x:c r="O59" s="4122" t="str">
        <x:v>→</x:v>
      </x:c>
      <x:c r="P59" s="4116"/>
      <x:c r="Q59" s="4117"/>
      <x:c r="R59" s="4117"/>
      <x:c r="S59" s="4117"/>
      <x:c r="T59" s="4118"/>
      <x:c r="U59" s="3945"/>
      <x:c r="V59" s="3945"/>
      <x:c r="W59" s="3945"/>
      <x:c r="X59" s="3945"/>
      <x:c r="Y59" s="3945"/>
      <x:c r="Z59" s="3945"/>
      <x:c r="AA59" s="3945"/>
      <x:c r="AB59" s="3945"/>
      <x:c r="AC59" s="3945"/>
      <x:c r="AD59" s="3945"/>
    </x:row>
    <x:row r="60">
      <x:c r="A60" s="4135"/>
      <x:c r="B60" s="4136"/>
      <x:c r="C60" s="4136"/>
      <x:c r="D60" s="4136"/>
      <x:c r="E60" s="4136"/>
      <x:c r="F60" s="4136"/>
      <x:c r="G60" s="4136"/>
      <x:c r="H60" s="4136"/>
      <x:c r="I60" s="4137"/>
      <x:c r="J60" s="3945"/>
      <x:c r="K60" s="4132"/>
      <x:c r="L60" s="4133"/>
      <x:c r="M60" s="4133"/>
      <x:c r="N60" s="4134"/>
      <x:c r="O60" s="3945"/>
      <x:c r="P60" s="4116"/>
      <x:c r="Q60" s="4117"/>
      <x:c r="R60" s="4117"/>
      <x:c r="S60" s="4117"/>
      <x:c r="T60" s="4118"/>
      <x:c r="U60" s="3945"/>
      <x:c r="V60" s="3945"/>
      <x:c r="W60" s="3945"/>
      <x:c r="X60" s="3945"/>
      <x:c r="Y60" s="3945"/>
      <x:c r="Z60" s="3945"/>
      <x:c r="AA60" s="3945"/>
      <x:c r="AB60" s="3945"/>
      <x:c r="AC60" s="3945"/>
      <x:c r="AD60" s="3945"/>
    </x:row>
    <x:row r="61">
      <x:c r="A61" s="3945"/>
      <x:c r="B61" s="3945"/>
      <x:c r="C61" s="3945"/>
      <x:c r="D61" s="3945"/>
      <x:c r="E61" s="3945"/>
      <x:c r="F61" s="3945"/>
      <x:c r="G61" s="3945"/>
      <x:c r="H61" s="3945"/>
      <x:c r="I61" s="3945"/>
      <x:c r="J61" s="3945"/>
      <x:c r="K61" s="4135"/>
      <x:c r="L61" s="4136"/>
      <x:c r="M61" s="4136"/>
      <x:c r="N61" s="4137"/>
      <x:c r="O61" s="3945"/>
      <x:c r="P61" s="4123"/>
      <x:c r="Q61" s="4124"/>
      <x:c r="R61" s="4124"/>
      <x:c r="S61" s="4124"/>
      <x:c r="T61" s="4125"/>
      <x:c r="U61" s="3945"/>
      <x:c r="V61" s="3945"/>
      <x:c r="W61" s="3945"/>
      <x:c r="X61" s="3945"/>
      <x:c r="Y61" s="3945"/>
      <x:c r="Z61" s="3945"/>
      <x:c r="AA61" s="3945"/>
      <x:c r="AB61" s="3945"/>
      <x:c r="AC61" s="3945"/>
      <x:c r="AD61" s="3945"/>
    </x:row>
    <x:row r="62">
      <x:c r="A62" s="3945"/>
      <x:c r="B62" s="3945"/>
      <x:c r="C62" s="3945"/>
      <x:c r="D62" s="3945"/>
      <x:c r="E62" s="3945"/>
      <x:c r="F62" s="3945"/>
      <x:c r="G62" s="3945"/>
      <x:c r="H62" s="3945"/>
      <x:c r="I62" s="3945"/>
      <x:c r="J62" s="3945"/>
      <x:c r="K62" s="3945"/>
      <x:c r="L62" s="3945"/>
      <x:c r="M62" s="3945"/>
      <x:c r="N62" s="3945"/>
      <x:c r="O62" s="3945"/>
      <x:c r="P62" s="3945"/>
      <x:c r="Q62" s="3945"/>
      <x:c r="R62" s="3945"/>
      <x:c r="S62" s="3945"/>
      <x:c r="T62" s="3945"/>
      <x:c r="U62" s="3945"/>
      <x:c r="V62" s="3945"/>
      <x:c r="W62" s="3945"/>
      <x:c r="X62" s="3945"/>
      <x:c r="Y62" s="3945"/>
      <x:c r="Z62" s="3945"/>
      <x:c r="AA62" s="3945"/>
      <x:c r="AB62" s="3945"/>
      <x:c r="AC62" s="3945"/>
      <x:c r="AD62" s="3945"/>
    </x:row>
    <x:row r="63">
      <x:c r="A63" s="3945"/>
      <x:c r="B63" s="3945"/>
      <x:c r="C63" s="3945"/>
      <x:c r="D63" s="3945"/>
      <x:c r="E63" s="3945"/>
      <x:c r="F63" s="3945"/>
      <x:c r="G63" s="3945"/>
      <x:c r="H63" s="3945"/>
      <x:c r="I63" s="3945"/>
      <x:c r="J63" s="3945"/>
      <x:c r="K63" s="3945"/>
      <x:c r="L63" s="3945"/>
      <x:c r="M63" s="3945"/>
      <x:c r="N63" s="3945"/>
      <x:c r="O63" s="3945"/>
      <x:c r="P63" s="3945"/>
      <x:c r="Q63" s="3945"/>
      <x:c r="R63" s="3945"/>
      <x:c r="S63" s="3945"/>
      <x:c r="T63" s="3945"/>
      <x:c r="U63" s="3945"/>
      <x:c r="V63" s="3945"/>
      <x:c r="W63" s="3945"/>
      <x:c r="X63" s="3945"/>
      <x:c r="Y63" s="3945"/>
      <x:c r="Z63" s="3945"/>
      <x:c r="AA63" s="3945"/>
      <x:c r="AB63" s="3945"/>
      <x:c r="AC63" s="3945"/>
      <x:c r="AD63" s="3945"/>
    </x:row>
    <x:row r="64">
      <x:c r="A64" s="3945"/>
      <x:c r="B64" s="3945"/>
      <x:c r="C64" s="3945"/>
      <x:c r="D64" s="3945"/>
      <x:c r="E64" s="3945"/>
      <x:c r="F64" s="3945"/>
      <x:c r="G64" s="3945"/>
      <x:c r="H64" s="3945"/>
      <x:c r="I64" s="3945"/>
      <x:c r="J64" s="3945"/>
      <x:c r="K64" s="3945"/>
      <x:c r="L64" s="3945"/>
      <x:c r="M64" s="3945"/>
      <x:c r="N64" s="3945"/>
      <x:c r="O64" s="3945"/>
      <x:c r="P64" s="3945"/>
      <x:c r="Q64" s="3945"/>
      <x:c r="R64" s="3945"/>
      <x:c r="S64" s="3945"/>
      <x:c r="T64" s="3945"/>
      <x:c r="U64" s="3945"/>
      <x:c r="V64" s="3945"/>
      <x:c r="W64" s="3945"/>
      <x:c r="X64" s="3945"/>
      <x:c r="Y64" s="3945"/>
      <x:c r="Z64" s="3945"/>
      <x:c r="AA64" s="3945"/>
      <x:c r="AB64" s="3945"/>
      <x:c r="AC64" s="3945"/>
      <x:c r="AD64" s="3945"/>
    </x:row>
    <x:row r="65">
      <x:c r="A65" s="4149" t="str">
        <x:v>HABILITA PLANE · TRANSVERSAL</x:v>
      </x:c>
      <x:c r="B65" s="4149"/>
      <x:c r="C65" s="4149"/>
      <x:c r="D65" s="4149"/>
      <x:c r="E65" s="4149"/>
      <x:c r="F65" s="4149"/>
      <x:c r="G65" s="4149"/>
      <x:c r="H65" s="4149"/>
      <x:c r="I65" s="4149"/>
      <x:c r="J65" s="4149"/>
      <x:c r="K65" s="4149"/>
      <x:c r="L65" s="4149"/>
      <x:c r="M65" s="4149"/>
      <x:c r="N65" s="4149"/>
      <x:c r="O65" s="4149"/>
      <x:c r="P65" s="4149"/>
      <x:c r="Q65" s="4149"/>
      <x:c r="R65" s="4149"/>
      <x:c r="S65" s="4149"/>
      <x:c r="T65" s="4149"/>
      <x:c r="U65" s="4149"/>
      <x:c r="V65" s="4149"/>
      <x:c r="W65" s="4149"/>
      <x:c r="X65" s="4149"/>
      <x:c r="Y65" s="4149"/>
      <x:c r="Z65" s="4149"/>
      <x:c r="AA65" s="4149"/>
      <x:c r="AB65" s="4149"/>
      <x:c r="AC65" s="4149"/>
      <x:c r="AD65" s="4149"/>
    </x:row>
    <x:row r="66">
      <x:c r="A66" s="3945"/>
      <x:c r="B66" s="3945"/>
      <x:c r="C66" s="3945"/>
      <x:c r="D66" s="3945"/>
      <x:c r="E66" s="3945"/>
      <x:c r="F66" s="3945"/>
      <x:c r="G66" s="3945"/>
      <x:c r="H66" s="3945"/>
      <x:c r="I66" s="3945"/>
      <x:c r="J66" s="3945"/>
      <x:c r="K66" s="3945"/>
      <x:c r="L66" s="3945"/>
      <x:c r="M66" s="3945"/>
      <x:c r="N66" s="3945"/>
      <x:c r="O66" s="3945"/>
      <x:c r="P66" s="3945"/>
      <x:c r="Q66" s="3945"/>
      <x:c r="R66" s="3945"/>
      <x:c r="S66" s="3945"/>
      <x:c r="T66" s="3945"/>
      <x:c r="U66" s="3945"/>
      <x:c r="V66" s="3945"/>
      <x:c r="W66" s="3945"/>
      <x:c r="X66" s="3945"/>
      <x:c r="Y66" s="3945"/>
      <x:c r="Z66" s="3945"/>
      <x:c r="AA66" s="3945"/>
      <x:c r="AB66" s="3945"/>
      <x:c r="AC66" s="3945"/>
      <x:c r="AD66" s="3945"/>
    </x:row>
    <x:row r="67">
      <x:c r="A67" s="4110" t="str">
        <x:v>CONTROL
DOCUMENTAL
Requisito + Cumplimiento</x:v>
      </x:c>
      <x:c r="B67" s="4111"/>
      <x:c r="C67" s="4111"/>
      <x:c r="D67" s="4111"/>
      <x:c r="E67" s="4112"/>
      <x:c r="F67" s="3945"/>
      <x:c r="G67" s="4110" t="str">
        <x:v>EVALUACIÓN
HABILITACIÓN
+ OverrideGate</x:v>
      </x:c>
      <x:c r="H67" s="4111"/>
      <x:c r="I67" s="4111"/>
      <x:c r="J67" s="4111"/>
      <x:c r="K67" s="4112"/>
      <x:c r="L67" s="3945"/>
      <x:c r="M67" s="4110" t="str">
        <x:v>PERMISO
TRABAJO
N:M con UE</x:v>
      </x:c>
      <x:c r="N67" s="4111"/>
      <x:c r="O67" s="4111"/>
      <x:c r="P67" s="4111"/>
      <x:c r="Q67" s="4112"/>
      <x:c r="R67" s="3945"/>
      <x:c r="S67" s="4110" t="str">
        <x:v>EVENTO HABILITA
standalone o N:M
con UE/persona/recurso/PTW</x:v>
      </x:c>
      <x:c r="T67" s="4111"/>
      <x:c r="U67" s="4111"/>
      <x:c r="V67" s="4111"/>
      <x:c r="W67" s="4112"/>
      <x:c r="X67" s="3945"/>
      <x:c r="Y67" s="4110" t="str">
        <x:v>EVALUACIÓN
ESCALAMIENTO
snapshot de regla</x:v>
      </x:c>
      <x:c r="Z67" s="4111"/>
      <x:c r="AA67" s="4111"/>
      <x:c r="AB67" s="4111"/>
      <x:c r="AC67" s="4111"/>
      <x:c r="AD67" s="4112"/>
    </x:row>
    <x:row r="68">
      <x:c r="A68" s="4116"/>
      <x:c r="B68" s="4117"/>
      <x:c r="C68" s="4117"/>
      <x:c r="D68" s="4117"/>
      <x:c r="E68" s="4118"/>
      <x:c r="F68" s="3945"/>
      <x:c r="G68" s="4116"/>
      <x:c r="H68" s="4117"/>
      <x:c r="I68" s="4117"/>
      <x:c r="J68" s="4117"/>
      <x:c r="K68" s="4118"/>
      <x:c r="L68" s="3945"/>
      <x:c r="M68" s="4116"/>
      <x:c r="N68" s="4117"/>
      <x:c r="O68" s="4117"/>
      <x:c r="P68" s="4117"/>
      <x:c r="Q68" s="4118"/>
      <x:c r="R68" s="3945"/>
      <x:c r="S68" s="4116"/>
      <x:c r="T68" s="4117"/>
      <x:c r="U68" s="4117"/>
      <x:c r="V68" s="4117"/>
      <x:c r="W68" s="4118"/>
      <x:c r="X68" s="3945"/>
      <x:c r="Y68" s="4116"/>
      <x:c r="Z68" s="4117"/>
      <x:c r="AA68" s="4117"/>
      <x:c r="AB68" s="4117"/>
      <x:c r="AC68" s="4117"/>
      <x:c r="AD68" s="4118"/>
    </x:row>
    <x:row r="69">
      <x:c r="A69" s="4116"/>
      <x:c r="B69" s="4117"/>
      <x:c r="C69" s="4117"/>
      <x:c r="D69" s="4117"/>
      <x:c r="E69" s="4118"/>
      <x:c r="F69" s="4122" t="str">
        <x:v>→</x:v>
      </x:c>
      <x:c r="G69" s="4116"/>
      <x:c r="H69" s="4117"/>
      <x:c r="I69" s="4117"/>
      <x:c r="J69" s="4117"/>
      <x:c r="K69" s="4118"/>
      <x:c r="L69" s="4122" t="str">
        <x:v>→</x:v>
      </x:c>
      <x:c r="M69" s="4116"/>
      <x:c r="N69" s="4117"/>
      <x:c r="O69" s="4117"/>
      <x:c r="P69" s="4117"/>
      <x:c r="Q69" s="4118"/>
      <x:c r="R69" s="3945"/>
      <x:c r="S69" s="4116"/>
      <x:c r="T69" s="4117"/>
      <x:c r="U69" s="4117"/>
      <x:c r="V69" s="4117"/>
      <x:c r="W69" s="4118"/>
      <x:c r="X69" s="4122" t="str">
        <x:v>→</x:v>
      </x:c>
      <x:c r="Y69" s="4116"/>
      <x:c r="Z69" s="4117"/>
      <x:c r="AA69" s="4117"/>
      <x:c r="AB69" s="4117"/>
      <x:c r="AC69" s="4117"/>
      <x:c r="AD69" s="4118"/>
    </x:row>
    <x:row r="70">
      <x:c r="A70" s="4116"/>
      <x:c r="B70" s="4117"/>
      <x:c r="C70" s="4117"/>
      <x:c r="D70" s="4117"/>
      <x:c r="E70" s="4118"/>
      <x:c r="F70" s="3945"/>
      <x:c r="G70" s="4116"/>
      <x:c r="H70" s="4117"/>
      <x:c r="I70" s="4117"/>
      <x:c r="J70" s="4117"/>
      <x:c r="K70" s="4118"/>
      <x:c r="L70" s="3945"/>
      <x:c r="M70" s="4116"/>
      <x:c r="N70" s="4117"/>
      <x:c r="O70" s="4117"/>
      <x:c r="P70" s="4117"/>
      <x:c r="Q70" s="4118"/>
      <x:c r="R70" s="3945"/>
      <x:c r="S70" s="4116"/>
      <x:c r="T70" s="4117"/>
      <x:c r="U70" s="4117"/>
      <x:c r="V70" s="4117"/>
      <x:c r="W70" s="4118"/>
      <x:c r="X70" s="3945"/>
      <x:c r="Y70" s="4116"/>
      <x:c r="Z70" s="4117"/>
      <x:c r="AA70" s="4117"/>
      <x:c r="AB70" s="4117"/>
      <x:c r="AC70" s="4117"/>
      <x:c r="AD70" s="4118"/>
    </x:row>
    <x:row r="71">
      <x:c r="A71" s="4116"/>
      <x:c r="B71" s="4117"/>
      <x:c r="C71" s="4117"/>
      <x:c r="D71" s="4117"/>
      <x:c r="E71" s="4118"/>
      <x:c r="F71" s="3945"/>
      <x:c r="G71" s="4116"/>
      <x:c r="H71" s="4117"/>
      <x:c r="I71" s="4117"/>
      <x:c r="J71" s="4117"/>
      <x:c r="K71" s="4118"/>
      <x:c r="L71" s="3945"/>
      <x:c r="M71" s="4116"/>
      <x:c r="N71" s="4117"/>
      <x:c r="O71" s="4117"/>
      <x:c r="P71" s="4117"/>
      <x:c r="Q71" s="4118"/>
      <x:c r="R71" s="3945"/>
      <x:c r="S71" s="4116"/>
      <x:c r="T71" s="4117"/>
      <x:c r="U71" s="4117"/>
      <x:c r="V71" s="4117"/>
      <x:c r="W71" s="4118"/>
      <x:c r="X71" s="3945"/>
      <x:c r="Y71" s="4116"/>
      <x:c r="Z71" s="4117"/>
      <x:c r="AA71" s="4117"/>
      <x:c r="AB71" s="4117"/>
      <x:c r="AC71" s="4117"/>
      <x:c r="AD71" s="4118"/>
    </x:row>
    <x:row r="72">
      <x:c r="A72" s="4123"/>
      <x:c r="B72" s="4124"/>
      <x:c r="C72" s="4124"/>
      <x:c r="D72" s="4124"/>
      <x:c r="E72" s="4125"/>
      <x:c r="F72" s="3945"/>
      <x:c r="G72" s="4123"/>
      <x:c r="H72" s="4124"/>
      <x:c r="I72" s="4124"/>
      <x:c r="J72" s="4124"/>
      <x:c r="K72" s="4125"/>
      <x:c r="L72" s="3945"/>
      <x:c r="M72" s="4123"/>
      <x:c r="N72" s="4124"/>
      <x:c r="O72" s="4124"/>
      <x:c r="P72" s="4124"/>
      <x:c r="Q72" s="4125"/>
      <x:c r="R72" s="3945"/>
      <x:c r="S72" s="4123"/>
      <x:c r="T72" s="4124"/>
      <x:c r="U72" s="4124"/>
      <x:c r="V72" s="4124"/>
      <x:c r="W72" s="4125"/>
      <x:c r="X72" s="3945"/>
      <x:c r="Y72" s="4123"/>
      <x:c r="Z72" s="4124"/>
      <x:c r="AA72" s="4124"/>
      <x:c r="AB72" s="4124"/>
      <x:c r="AC72" s="4124"/>
      <x:c r="AD72" s="4125"/>
    </x:row>
    <x:row r="73">
      <x:c r="A73" s="3945"/>
      <x:c r="B73" s="3945"/>
      <x:c r="C73" s="3945"/>
      <x:c r="D73" s="3945"/>
      <x:c r="E73" s="3945"/>
      <x:c r="F73" s="3945"/>
      <x:c r="G73" s="3945"/>
      <x:c r="H73" s="3945"/>
      <x:c r="I73" s="3945"/>
      <x:c r="J73" s="3945"/>
      <x:c r="K73" s="3945"/>
      <x:c r="L73" s="3945"/>
      <x:c r="M73" s="3945"/>
      <x:c r="N73" s="3945"/>
      <x:c r="O73" s="3945"/>
      <x:c r="P73" s="3945"/>
      <x:c r="Q73" s="3945"/>
      <x:c r="R73" s="3945"/>
      <x:c r="S73" s="3945"/>
      <x:c r="T73" s="3945"/>
      <x:c r="U73" s="3945"/>
      <x:c r="V73" s="3945"/>
      <x:c r="W73" s="3945"/>
      <x:c r="X73" s="3945"/>
      <x:c r="Y73" s="3945"/>
      <x:c r="Z73" s="3945"/>
      <x:c r="AA73" s="3945"/>
      <x:c r="AB73" s="3945"/>
      <x:c r="AC73" s="3945"/>
      <x:c r="AD73" s="3945"/>
    </x:row>
    <x:row r="74">
      <x:c r="A74" s="3945"/>
      <x:c r="B74" s="3945"/>
      <x:c r="C74" s="3945"/>
      <x:c r="D74" s="3945"/>
      <x:c r="E74" s="3945"/>
      <x:c r="F74" s="3945"/>
      <x:c r="G74" s="3945"/>
      <x:c r="H74" s="3945"/>
      <x:c r="I74" s="3945"/>
      <x:c r="J74" s="3945"/>
      <x:c r="K74" s="3945"/>
      <x:c r="L74" s="3945"/>
      <x:c r="M74" s="3945"/>
      <x:c r="N74" s="3945"/>
      <x:c r="O74" s="3945"/>
      <x:c r="P74" s="3945"/>
      <x:c r="Q74" s="3945"/>
      <x:c r="R74" s="3945"/>
      <x:c r="S74" s="3945"/>
      <x:c r="T74" s="3945"/>
      <x:c r="U74" s="3945"/>
      <x:c r="V74" s="4138" t="str">
        <x:v>↓</x:v>
      </x:c>
      <x:c r="W74" s="3945"/>
      <x:c r="X74" s="3945"/>
      <x:c r="Y74" s="3945"/>
      <x:c r="Z74" s="3945"/>
      <x:c r="AA74" s="3945"/>
      <x:c r="AB74" s="3945"/>
      <x:c r="AC74" s="3945"/>
      <x:c r="AD74" s="3945"/>
    </x:row>
    <x:row r="75">
      <x:c r="A75" s="3945"/>
      <x:c r="B75" s="3945"/>
      <x:c r="C75" s="3945"/>
      <x:c r="D75" s="3945"/>
      <x:c r="E75" s="3945"/>
      <x:c r="F75" s="3945"/>
      <x:c r="G75" s="3945"/>
      <x:c r="H75" s="3945"/>
      <x:c r="I75" s="3945"/>
      <x:c r="J75" s="3945"/>
      <x:c r="K75" s="3945"/>
      <x:c r="L75" s="3945"/>
      <x:c r="M75" s="3945"/>
      <x:c r="N75" s="3945"/>
      <x:c r="O75" s="3945"/>
      <x:c r="P75" s="3945"/>
      <x:c r="Q75" s="3945"/>
      <x:c r="R75" s="3945"/>
      <x:c r="S75" s="4110" t="str">
        <x:v>CASO HABILITA
0..1 por Evento
baseline</x:v>
      </x:c>
      <x:c r="T75" s="4111"/>
      <x:c r="U75" s="4111"/>
      <x:c r="V75" s="4111"/>
      <x:c r="W75" s="4112"/>
      <x:c r="X75" s="3945"/>
      <x:c r="Y75" s="4110" t="str">
        <x:v>NOTIFICACIONES
+ ACCIONES
lifecycle independiente</x:v>
      </x:c>
      <x:c r="Z75" s="4111"/>
      <x:c r="AA75" s="4111"/>
      <x:c r="AB75" s="4111"/>
      <x:c r="AC75" s="4111"/>
      <x:c r="AD75" s="4112"/>
    </x:row>
    <x:row r="76">
      <x:c r="A76" s="3945"/>
      <x:c r="B76" s="3945"/>
      <x:c r="C76" s="3945"/>
      <x:c r="D76" s="3945"/>
      <x:c r="E76" s="3945"/>
      <x:c r="F76" s="3945"/>
      <x:c r="G76" s="3945"/>
      <x:c r="H76" s="3945"/>
      <x:c r="I76" s="3945"/>
      <x:c r="J76" s="3945"/>
      <x:c r="K76" s="3945"/>
      <x:c r="L76" s="3945"/>
      <x:c r="M76" s="3945"/>
      <x:c r="N76" s="3945"/>
      <x:c r="O76" s="3945"/>
      <x:c r="P76" s="3945"/>
      <x:c r="Q76" s="3945"/>
      <x:c r="R76" s="3945"/>
      <x:c r="S76" s="4116"/>
      <x:c r="T76" s="4117"/>
      <x:c r="U76" s="4117"/>
      <x:c r="V76" s="4117"/>
      <x:c r="W76" s="4118"/>
      <x:c r="X76" s="3945"/>
      <x:c r="Y76" s="4116"/>
      <x:c r="Z76" s="4117"/>
      <x:c r="AA76" s="4117"/>
      <x:c r="AB76" s="4117"/>
      <x:c r="AC76" s="4117"/>
      <x:c r="AD76" s="4118"/>
    </x:row>
    <x:row r="77">
      <x:c r="A77" s="3945"/>
      <x:c r="B77" s="3945"/>
      <x:c r="C77" s="3945"/>
      <x:c r="D77" s="3945"/>
      <x:c r="E77" s="3945"/>
      <x:c r="F77" s="3945"/>
      <x:c r="G77" s="3945"/>
      <x:c r="H77" s="3945"/>
      <x:c r="I77" s="3945"/>
      <x:c r="J77" s="3945"/>
      <x:c r="K77" s="3945"/>
      <x:c r="L77" s="3945"/>
      <x:c r="M77" s="3945"/>
      <x:c r="N77" s="3945"/>
      <x:c r="O77" s="3945"/>
      <x:c r="P77" s="3945"/>
      <x:c r="Q77" s="3945"/>
      <x:c r="R77" s="3945"/>
      <x:c r="S77" s="4116"/>
      <x:c r="T77" s="4117"/>
      <x:c r="U77" s="4117"/>
      <x:c r="V77" s="4117"/>
      <x:c r="W77" s="4118"/>
      <x:c r="X77" s="3945"/>
      <x:c r="Y77" s="4116"/>
      <x:c r="Z77" s="4117"/>
      <x:c r="AA77" s="4117"/>
      <x:c r="AB77" s="4117"/>
      <x:c r="AC77" s="4117"/>
      <x:c r="AD77" s="4118"/>
    </x:row>
    <x:row r="78">
      <x:c r="A78" s="3945"/>
      <x:c r="B78" s="3945"/>
      <x:c r="C78" s="3945"/>
      <x:c r="D78" s="3945"/>
      <x:c r="E78" s="3945"/>
      <x:c r="F78" s="3945"/>
      <x:c r="G78" s="3945"/>
      <x:c r="H78" s="3945"/>
      <x:c r="I78" s="3945"/>
      <x:c r="J78" s="3945"/>
      <x:c r="K78" s="3945"/>
      <x:c r="L78" s="3945"/>
      <x:c r="M78" s="3945"/>
      <x:c r="N78" s="3945"/>
      <x:c r="O78" s="3945"/>
      <x:c r="P78" s="3945"/>
      <x:c r="Q78" s="3945"/>
      <x:c r="R78" s="3945"/>
      <x:c r="S78" s="4116"/>
      <x:c r="T78" s="4117"/>
      <x:c r="U78" s="4117"/>
      <x:c r="V78" s="4117"/>
      <x:c r="W78" s="4118"/>
      <x:c r="X78" s="3945"/>
      <x:c r="Y78" s="4116"/>
      <x:c r="Z78" s="4117"/>
      <x:c r="AA78" s="4117"/>
      <x:c r="AB78" s="4117"/>
      <x:c r="AC78" s="4117"/>
      <x:c r="AD78" s="4118"/>
    </x:row>
    <x:row r="79">
      <x:c r="A79" s="3945"/>
      <x:c r="B79" s="3945"/>
      <x:c r="C79" s="3945"/>
      <x:c r="D79" s="3945"/>
      <x:c r="E79" s="3945"/>
      <x:c r="F79" s="3945"/>
      <x:c r="G79" s="3945"/>
      <x:c r="H79" s="3945"/>
      <x:c r="I79" s="3945"/>
      <x:c r="J79" s="3945"/>
      <x:c r="K79" s="3945"/>
      <x:c r="L79" s="3945"/>
      <x:c r="M79" s="3945"/>
      <x:c r="N79" s="3945"/>
      <x:c r="O79" s="3945"/>
      <x:c r="P79" s="3945"/>
      <x:c r="Q79" s="3945"/>
      <x:c r="R79" s="3945"/>
      <x:c r="S79" s="4116"/>
      <x:c r="T79" s="4117"/>
      <x:c r="U79" s="4117"/>
      <x:c r="V79" s="4117"/>
      <x:c r="W79" s="4118"/>
      <x:c r="X79" s="3945"/>
      <x:c r="Y79" s="4116"/>
      <x:c r="Z79" s="4117"/>
      <x:c r="AA79" s="4117"/>
      <x:c r="AB79" s="4117"/>
      <x:c r="AC79" s="4117"/>
      <x:c r="AD79" s="4118"/>
    </x:row>
    <x:row r="80">
      <x:c r="A80" s="3945"/>
      <x:c r="B80" s="3945"/>
      <x:c r="C80" s="3945"/>
      <x:c r="D80" s="3945"/>
      <x:c r="E80" s="3945"/>
      <x:c r="F80" s="3945"/>
      <x:c r="G80" s="3945"/>
      <x:c r="H80" s="3945"/>
      <x:c r="I80" s="3945"/>
      <x:c r="J80" s="3945"/>
      <x:c r="K80" s="3945"/>
      <x:c r="L80" s="3945"/>
      <x:c r="M80" s="3945"/>
      <x:c r="N80" s="3945"/>
      <x:c r="O80" s="3945"/>
      <x:c r="P80" s="3945"/>
      <x:c r="Q80" s="3945"/>
      <x:c r="R80" s="3945"/>
      <x:c r="S80" s="4123"/>
      <x:c r="T80" s="4124"/>
      <x:c r="U80" s="4124"/>
      <x:c r="V80" s="4124"/>
      <x:c r="W80" s="4125"/>
      <x:c r="X80" s="3945"/>
      <x:c r="Y80" s="4123"/>
      <x:c r="Z80" s="4124"/>
      <x:c r="AA80" s="4124"/>
      <x:c r="AB80" s="4124"/>
      <x:c r="AC80" s="4124"/>
      <x:c r="AD80" s="4125"/>
    </x:row>
    <x:row r="81">
      <x:c r="A81" s="3945"/>
      <x:c r="B81" s="3945"/>
      <x:c r="C81" s="3945"/>
      <x:c r="D81" s="3945"/>
      <x:c r="E81" s="3945"/>
      <x:c r="F81" s="3945"/>
      <x:c r="G81" s="3945"/>
      <x:c r="H81" s="3945"/>
      <x:c r="I81" s="3945"/>
      <x:c r="J81" s="3945"/>
      <x:c r="K81" s="3945"/>
      <x:c r="L81" s="3945"/>
      <x:c r="M81" s="3945"/>
      <x:c r="N81" s="3945"/>
      <x:c r="O81" s="3945"/>
      <x:c r="P81" s="3945"/>
      <x:c r="Q81" s="3945"/>
      <x:c r="R81" s="3945"/>
      <x:c r="S81" s="3945"/>
      <x:c r="T81" s="3945"/>
      <x:c r="U81" s="3945"/>
      <x:c r="V81" s="3945"/>
      <x:c r="W81" s="3945"/>
      <x:c r="X81" s="3945"/>
      <x:c r="Y81" s="3945"/>
      <x:c r="Z81" s="3945"/>
      <x:c r="AA81" s="3945"/>
      <x:c r="AB81" s="3945"/>
      <x:c r="AC81" s="3945"/>
      <x:c r="AD81" s="3945"/>
    </x:row>
    <x:row r="82">
      <x:c r="A82" s="3945"/>
      <x:c r="B82" s="3945"/>
      <x:c r="C82" s="3945"/>
      <x:c r="D82" s="3945"/>
      <x:c r="E82" s="3945"/>
      <x:c r="F82" s="3945"/>
      <x:c r="G82" s="3945"/>
      <x:c r="H82" s="3945"/>
      <x:c r="I82" s="3945"/>
      <x:c r="J82" s="3945"/>
      <x:c r="K82" s="3945"/>
      <x:c r="L82" s="3945"/>
      <x:c r="M82" s="3945"/>
      <x:c r="N82" s="3945"/>
      <x:c r="O82" s="3945"/>
      <x:c r="P82" s="3945"/>
      <x:c r="Q82" s="3945"/>
      <x:c r="R82" s="3945"/>
      <x:c r="S82" s="3945"/>
      <x:c r="T82" s="3945"/>
      <x:c r="U82" s="3945"/>
      <x:c r="V82" s="3945"/>
      <x:c r="W82" s="3945"/>
      <x:c r="X82" s="3945"/>
      <x:c r="Y82" s="3945"/>
      <x:c r="Z82" s="3945"/>
      <x:c r="AA82" s="3945"/>
      <x:c r="AB82" s="3945"/>
      <x:c r="AC82" s="3945"/>
      <x:c r="AD82" s="3945"/>
    </x:row>
    <x:row r="83">
      <x:c r="A83" s="3945"/>
      <x:c r="B83" s="3945"/>
      <x:c r="C83" s="3945"/>
      <x:c r="D83" s="3945"/>
      <x:c r="E83" s="3945"/>
      <x:c r="F83" s="3945"/>
      <x:c r="G83" s="3945"/>
      <x:c r="H83" s="3945"/>
      <x:c r="I83" s="3945"/>
      <x:c r="J83" s="3945"/>
      <x:c r="K83" s="3945"/>
      <x:c r="L83" s="3945"/>
      <x:c r="M83" s="3945"/>
      <x:c r="N83" s="3945"/>
      <x:c r="O83" s="3945"/>
      <x:c r="P83" s="3945"/>
      <x:c r="Q83" s="3945"/>
      <x:c r="R83" s="3945"/>
      <x:c r="S83" s="3945"/>
      <x:c r="T83" s="3945"/>
      <x:c r="U83" s="3945"/>
      <x:c r="V83" s="3945"/>
      <x:c r="W83" s="3945"/>
      <x:c r="X83" s="3945"/>
      <x:c r="Y83" s="3945"/>
      <x:c r="Z83" s="3945"/>
      <x:c r="AA83" s="3945"/>
      <x:c r="AB83" s="3945"/>
      <x:c r="AC83" s="3945"/>
      <x:c r="AD83" s="3945"/>
    </x:row>
    <x:row r="84">
      <x:c r="A84" s="4149" t="str">
        <x:v>CONTROL / TRACE PLANE</x:v>
      </x:c>
      <x:c r="B84" s="4149"/>
      <x:c r="C84" s="4149"/>
      <x:c r="D84" s="4149"/>
      <x:c r="E84" s="4149"/>
      <x:c r="F84" s="4149"/>
      <x:c r="G84" s="4149"/>
      <x:c r="H84" s="4149"/>
      <x:c r="I84" s="4149"/>
      <x:c r="J84" s="4149"/>
      <x:c r="K84" s="4149"/>
      <x:c r="L84" s="4149"/>
      <x:c r="M84" s="4149"/>
      <x:c r="N84" s="4149"/>
      <x:c r="O84" s="4149"/>
      <x:c r="P84" s="4149"/>
      <x:c r="Q84" s="4149"/>
      <x:c r="R84" s="4149"/>
      <x:c r="S84" s="4149"/>
      <x:c r="T84" s="4149"/>
      <x:c r="U84" s="4149"/>
      <x:c r="V84" s="4149"/>
      <x:c r="W84" s="4149"/>
      <x:c r="X84" s="4149"/>
      <x:c r="Y84" s="4149"/>
      <x:c r="Z84" s="4149"/>
      <x:c r="AA84" s="4149"/>
      <x:c r="AB84" s="4149"/>
      <x:c r="AC84" s="4149"/>
      <x:c r="AD84" s="4149"/>
    </x:row>
    <x:row r="85">
      <x:c r="A85" s="3945"/>
      <x:c r="B85" s="3945"/>
      <x:c r="C85" s="3945"/>
      <x:c r="D85" s="3945"/>
      <x:c r="E85" s="3945"/>
      <x:c r="F85" s="3945"/>
      <x:c r="G85" s="3945"/>
      <x:c r="H85" s="3945"/>
      <x:c r="I85" s="3945"/>
      <x:c r="J85" s="3945"/>
      <x:c r="K85" s="3945"/>
      <x:c r="L85" s="3945"/>
      <x:c r="M85" s="3945"/>
      <x:c r="N85" s="3945"/>
      <x:c r="O85" s="3945"/>
      <x:c r="P85" s="3945"/>
      <x:c r="Q85" s="3945"/>
      <x:c r="R85" s="3945"/>
      <x:c r="S85" s="3945"/>
      <x:c r="T85" s="3945"/>
      <x:c r="U85" s="3945"/>
      <x:c r="V85" s="3945"/>
      <x:c r="W85" s="3945"/>
      <x:c r="X85" s="3945"/>
      <x:c r="Y85" s="3945"/>
      <x:c r="Z85" s="3945"/>
      <x:c r="AA85" s="3945"/>
      <x:c r="AB85" s="3945"/>
      <x:c r="AC85" s="3945"/>
      <x:c r="AD85" s="3945"/>
    </x:row>
    <x:row r="86">
      <x:c r="A86" s="4110" t="str">
        <x:v>DIRECTIVA OPERATIVA
+ Objetivos
emitida → recibida → ACK → aplicada</x:v>
      </x:c>
      <x:c r="B86" s="4111"/>
      <x:c r="C86" s="4111"/>
      <x:c r="D86" s="4111"/>
      <x:c r="E86" s="4111"/>
      <x:c r="F86" s="4111"/>
      <x:c r="G86" s="4111"/>
      <x:c r="H86" s="4112"/>
      <x:c r="I86" s="3945"/>
      <x:c r="J86" s="4139" t="str">
        <x:v>EXECUTION CONTEXT BUNDLE
PROJECTION offline
NO source of truth</x:v>
      </x:c>
      <x:c r="K86" s="4140"/>
      <x:c r="L86" s="4140"/>
      <x:c r="M86" s="4140"/>
      <x:c r="N86" s="4140"/>
      <x:c r="O86" s="4140"/>
      <x:c r="P86" s="4140"/>
      <x:c r="Q86" s="4141"/>
      <x:c r="R86" s="3945"/>
      <x:c r="S86" s="4110" t="str">
        <x:v>TRACE / LINEAGE
PlanVersion · VínculoPlanEjecución · Enmiendas · Habilita
UC sources · supersession · ajustes</x:v>
      </x:c>
      <x:c r="T86" s="4111"/>
      <x:c r="U86" s="4111"/>
      <x:c r="V86" s="4111"/>
      <x:c r="W86" s="4111"/>
      <x:c r="X86" s="4111"/>
      <x:c r="Y86" s="4111"/>
      <x:c r="Z86" s="4111"/>
      <x:c r="AA86" s="4111"/>
      <x:c r="AB86" s="4111"/>
      <x:c r="AC86" s="4111"/>
      <x:c r="AD86" s="4112"/>
    </x:row>
    <x:row r="87">
      <x:c r="A87" s="4116"/>
      <x:c r="B87" s="4117"/>
      <x:c r="C87" s="4117"/>
      <x:c r="D87" s="4117"/>
      <x:c r="E87" s="4117"/>
      <x:c r="F87" s="4117"/>
      <x:c r="G87" s="4117"/>
      <x:c r="H87" s="4118"/>
      <x:c r="I87" s="3945"/>
      <x:c r="J87" s="4142"/>
      <x:c r="K87" s="4143"/>
      <x:c r="L87" s="4143"/>
      <x:c r="M87" s="4143"/>
      <x:c r="N87" s="4143"/>
      <x:c r="O87" s="4143"/>
      <x:c r="P87" s="4143"/>
      <x:c r="Q87" s="4144"/>
      <x:c r="R87" s="3945"/>
      <x:c r="S87" s="4116"/>
      <x:c r="T87" s="4117"/>
      <x:c r="U87" s="4117"/>
      <x:c r="V87" s="4117"/>
      <x:c r="W87" s="4117"/>
      <x:c r="X87" s="4117"/>
      <x:c r="Y87" s="4117"/>
      <x:c r="Z87" s="4117"/>
      <x:c r="AA87" s="4117"/>
      <x:c r="AB87" s="4117"/>
      <x:c r="AC87" s="4117"/>
      <x:c r="AD87" s="4118"/>
    </x:row>
    <x:row r="88">
      <x:c r="A88" s="4116"/>
      <x:c r="B88" s="4117"/>
      <x:c r="C88" s="4117"/>
      <x:c r="D88" s="4117"/>
      <x:c r="E88" s="4117"/>
      <x:c r="F88" s="4117"/>
      <x:c r="G88" s="4117"/>
      <x:c r="H88" s="4118"/>
      <x:c r="I88" s="3945"/>
      <x:c r="J88" s="4142"/>
      <x:c r="K88" s="4143"/>
      <x:c r="L88" s="4143"/>
      <x:c r="M88" s="4143"/>
      <x:c r="N88" s="4143"/>
      <x:c r="O88" s="4143"/>
      <x:c r="P88" s="4143"/>
      <x:c r="Q88" s="4144"/>
      <x:c r="R88" s="3945"/>
      <x:c r="S88" s="4116"/>
      <x:c r="T88" s="4117"/>
      <x:c r="U88" s="4117"/>
      <x:c r="V88" s="4117"/>
      <x:c r="W88" s="4117"/>
      <x:c r="X88" s="4117"/>
      <x:c r="Y88" s="4117"/>
      <x:c r="Z88" s="4117"/>
      <x:c r="AA88" s="4117"/>
      <x:c r="AB88" s="4117"/>
      <x:c r="AC88" s="4117"/>
      <x:c r="AD88" s="4118"/>
    </x:row>
    <x:row r="89">
      <x:c r="A89" s="4116"/>
      <x:c r="B89" s="4117"/>
      <x:c r="C89" s="4117"/>
      <x:c r="D89" s="4117"/>
      <x:c r="E89" s="4117"/>
      <x:c r="F89" s="4117"/>
      <x:c r="G89" s="4117"/>
      <x:c r="H89" s="4118"/>
      <x:c r="I89" s="3945"/>
      <x:c r="J89" s="4142"/>
      <x:c r="K89" s="4143"/>
      <x:c r="L89" s="4143"/>
      <x:c r="M89" s="4143"/>
      <x:c r="N89" s="4143"/>
      <x:c r="O89" s="4143"/>
      <x:c r="P89" s="4143"/>
      <x:c r="Q89" s="4144"/>
      <x:c r="R89" s="3945"/>
      <x:c r="S89" s="4116"/>
      <x:c r="T89" s="4117"/>
      <x:c r="U89" s="4117"/>
      <x:c r="V89" s="4117"/>
      <x:c r="W89" s="4117"/>
      <x:c r="X89" s="4117"/>
      <x:c r="Y89" s="4117"/>
      <x:c r="Z89" s="4117"/>
      <x:c r="AA89" s="4117"/>
      <x:c r="AB89" s="4117"/>
      <x:c r="AC89" s="4117"/>
      <x:c r="AD89" s="4118"/>
    </x:row>
    <x:row r="90">
      <x:c r="A90" s="4116"/>
      <x:c r="B90" s="4117"/>
      <x:c r="C90" s="4117"/>
      <x:c r="D90" s="4117"/>
      <x:c r="E90" s="4117"/>
      <x:c r="F90" s="4117"/>
      <x:c r="G90" s="4117"/>
      <x:c r="H90" s="4118"/>
      <x:c r="I90" s="3945"/>
      <x:c r="J90" s="4142"/>
      <x:c r="K90" s="4143"/>
      <x:c r="L90" s="4143"/>
      <x:c r="M90" s="4143"/>
      <x:c r="N90" s="4143"/>
      <x:c r="O90" s="4143"/>
      <x:c r="P90" s="4143"/>
      <x:c r="Q90" s="4144"/>
      <x:c r="R90" s="3945"/>
      <x:c r="S90" s="4116"/>
      <x:c r="T90" s="4117"/>
      <x:c r="U90" s="4117"/>
      <x:c r="V90" s="4117"/>
      <x:c r="W90" s="4117"/>
      <x:c r="X90" s="4117"/>
      <x:c r="Y90" s="4117"/>
      <x:c r="Z90" s="4117"/>
      <x:c r="AA90" s="4117"/>
      <x:c r="AB90" s="4117"/>
      <x:c r="AC90" s="4117"/>
      <x:c r="AD90" s="4118"/>
    </x:row>
    <x:row r="91">
      <x:c r="A91" s="4123"/>
      <x:c r="B91" s="4124"/>
      <x:c r="C91" s="4124"/>
      <x:c r="D91" s="4124"/>
      <x:c r="E91" s="4124"/>
      <x:c r="F91" s="4124"/>
      <x:c r="G91" s="4124"/>
      <x:c r="H91" s="4125"/>
      <x:c r="I91" s="3945"/>
      <x:c r="J91" s="4145"/>
      <x:c r="K91" s="4146"/>
      <x:c r="L91" s="4146"/>
      <x:c r="M91" s="4146"/>
      <x:c r="N91" s="4146"/>
      <x:c r="O91" s="4146"/>
      <x:c r="P91" s="4146"/>
      <x:c r="Q91" s="4147"/>
      <x:c r="R91" s="3945"/>
      <x:c r="S91" s="4123"/>
      <x:c r="T91" s="4124"/>
      <x:c r="U91" s="4124"/>
      <x:c r="V91" s="4124"/>
      <x:c r="W91" s="4124"/>
      <x:c r="X91" s="4124"/>
      <x:c r="Y91" s="4124"/>
      <x:c r="Z91" s="4124"/>
      <x:c r="AA91" s="4124"/>
      <x:c r="AB91" s="4124"/>
      <x:c r="AC91" s="4124"/>
      <x:c r="AD91" s="4125"/>
    </x:row>
    <x:row r="92">
      <x:c r="A92" s="3945"/>
      <x:c r="B92" s="3945"/>
      <x:c r="C92" s="3945"/>
      <x:c r="D92" s="3945"/>
      <x:c r="E92" s="3945"/>
      <x:c r="F92" s="3945"/>
      <x:c r="G92" s="3945"/>
      <x:c r="H92" s="3945"/>
      <x:c r="I92" s="3945"/>
      <x:c r="J92" s="3945"/>
      <x:c r="K92" s="3945"/>
      <x:c r="L92" s="3945"/>
      <x:c r="M92" s="3945"/>
      <x:c r="N92" s="3945"/>
      <x:c r="O92" s="3945"/>
      <x:c r="P92" s="3945"/>
      <x:c r="Q92" s="3945"/>
      <x:c r="R92" s="3945"/>
      <x:c r="S92" s="3945"/>
      <x:c r="T92" s="3945"/>
      <x:c r="U92" s="3945"/>
      <x:c r="V92" s="3945"/>
      <x:c r="W92" s="3945"/>
      <x:c r="X92" s="3945"/>
      <x:c r="Y92" s="3945"/>
      <x:c r="Z92" s="3945"/>
      <x:c r="AA92" s="3945"/>
      <x:c r="AB92" s="3945"/>
      <x:c r="AC92" s="3945"/>
      <x:c r="AD92" s="3945"/>
    </x:row>
    <x:row r="93">
      <x:c r="A93" s="3945"/>
      <x:c r="B93" s="3945"/>
      <x:c r="C93" s="3945"/>
      <x:c r="D93" s="3945"/>
      <x:c r="E93" s="3945"/>
      <x:c r="F93" s="3945"/>
      <x:c r="G93" s="3945"/>
      <x:c r="H93" s="3945"/>
      <x:c r="I93" s="3945"/>
      <x:c r="J93" s="3945"/>
      <x:c r="K93" s="3945"/>
      <x:c r="L93" s="3945"/>
      <x:c r="M93" s="3945"/>
      <x:c r="N93" s="3945"/>
      <x:c r="O93" s="3945"/>
      <x:c r="P93" s="3945"/>
      <x:c r="Q93" s="3945"/>
      <x:c r="R93" s="3945"/>
      <x:c r="S93" s="3945"/>
      <x:c r="T93" s="3945"/>
      <x:c r="U93" s="3945"/>
      <x:c r="V93" s="3945"/>
      <x:c r="W93" s="3945"/>
      <x:c r="X93" s="3945"/>
      <x:c r="Y93" s="3945"/>
      <x:c r="Z93" s="3945"/>
      <x:c r="AA93" s="3945"/>
      <x:c r="AB93" s="3945"/>
      <x:c r="AC93" s="3945"/>
      <x:c r="AD93" s="3945"/>
    </x:row>
    <x:row r="94">
      <x:c r="A94" s="3945"/>
      <x:c r="B94" s="3945"/>
      <x:c r="C94" s="3945"/>
      <x:c r="D94" s="3945"/>
      <x:c r="E94" s="3945"/>
      <x:c r="F94" s="3945"/>
      <x:c r="G94" s="3945"/>
      <x:c r="H94" s="3945"/>
      <x:c r="I94" s="3945"/>
      <x:c r="J94" s="3945"/>
      <x:c r="K94" s="3945"/>
      <x:c r="L94" s="3945"/>
      <x:c r="M94" s="3945"/>
      <x:c r="N94" s="3945"/>
      <x:c r="O94" s="3945"/>
      <x:c r="P94" s="3945"/>
      <x:c r="Q94" s="3945"/>
      <x:c r="R94" s="3945"/>
      <x:c r="S94" s="3945"/>
      <x:c r="T94" s="3945"/>
      <x:c r="U94" s="3945"/>
      <x:c r="V94" s="3945"/>
      <x:c r="W94" s="3945"/>
      <x:c r="X94" s="3945"/>
      <x:c r="Y94" s="3945"/>
      <x:c r="Z94" s="3945"/>
      <x:c r="AA94" s="3945"/>
      <x:c r="AB94" s="3945"/>
      <x:c r="AC94" s="3945"/>
      <x:c r="AD94" s="3945"/>
    </x:row>
    <x:row r="95">
      <x:c r="A95" s="4149" t="str">
        <x:v>HALLAZGOS RELACIONALES QUE QUEDAN CONGELADOS</x:v>
      </x:c>
      <x:c r="B95" s="4149"/>
      <x:c r="C95" s="4149"/>
      <x:c r="D95" s="4149"/>
      <x:c r="E95" s="4149"/>
      <x:c r="F95" s="4149"/>
      <x:c r="G95" s="4149"/>
      <x:c r="H95" s="4149"/>
      <x:c r="I95" s="4149"/>
      <x:c r="J95" s="4149"/>
      <x:c r="K95" s="4149"/>
      <x:c r="L95" s="4149"/>
      <x:c r="M95" s="4149"/>
      <x:c r="N95" s="4149"/>
      <x:c r="O95" s="4149"/>
      <x:c r="P95" s="4149"/>
      <x:c r="Q95" s="4149"/>
      <x:c r="R95" s="4149"/>
      <x:c r="S95" s="4149"/>
      <x:c r="T95" s="4149"/>
      <x:c r="U95" s="4149"/>
      <x:c r="V95" s="4149"/>
      <x:c r="W95" s="4149"/>
      <x:c r="X95" s="4149"/>
      <x:c r="Y95" s="4149"/>
      <x:c r="Z95" s="4149"/>
      <x:c r="AA95" s="4149"/>
      <x:c r="AB95" s="4149"/>
      <x:c r="AC95" s="4149"/>
      <x:c r="AD95" s="4149"/>
    </x:row>
    <x:row r="96">
      <x:c r="A96" s="3945"/>
      <x:c r="B96" s="3945"/>
      <x:c r="C96" s="3945"/>
      <x:c r="D96" s="3945"/>
      <x:c r="E96" s="3945"/>
      <x:c r="F96" s="3945"/>
      <x:c r="G96" s="3945"/>
      <x:c r="H96" s="3945"/>
      <x:c r="I96" s="3945"/>
      <x:c r="J96" s="3945"/>
      <x:c r="K96" s="3945"/>
      <x:c r="L96" s="3945"/>
      <x:c r="M96" s="3945"/>
      <x:c r="N96" s="3945"/>
      <x:c r="O96" s="3945"/>
      <x:c r="P96" s="3945"/>
      <x:c r="Q96" s="3945"/>
      <x:c r="R96" s="3945"/>
      <x:c r="S96" s="3945"/>
      <x:c r="T96" s="3945"/>
      <x:c r="U96" s="3945"/>
      <x:c r="V96" s="3945"/>
      <x:c r="W96" s="3945"/>
      <x:c r="X96" s="3945"/>
      <x:c r="Y96" s="3945"/>
      <x:c r="Z96" s="3945"/>
      <x:c r="AA96" s="3945"/>
      <x:c r="AB96" s="3945"/>
      <x:c r="AC96" s="3945"/>
      <x:c r="AD96" s="3945"/>
    </x:row>
    <x:row r="97">
      <x:c r="A97" s="4129" t="str">
        <x:v>PLAN ↔ REAL
0..N ↔ 0..N</x:v>
      </x:c>
      <x:c r="B97" s="4130"/>
      <x:c r="C97" s="4130"/>
      <x:c r="D97" s="4130"/>
      <x:c r="E97" s="4130"/>
      <x:c r="F97" s="4130"/>
      <x:c r="G97" s="4131"/>
      <x:c r="H97" s="3945"/>
      <x:c r="I97" s="4129" t="str">
        <x:v>PTW ↔ UE
N:M</x:v>
      </x:c>
      <x:c r="J97" s="4130"/>
      <x:c r="K97" s="4130"/>
      <x:c r="L97" s="4130"/>
      <x:c r="M97" s="4130"/>
      <x:c r="N97" s="4130"/>
      <x:c r="O97" s="4131"/>
      <x:c r="P97" s="3945"/>
      <x:c r="Q97" s="4129" t="str">
        <x:v>UC ↔ UE
N:M + LINEAGE</x:v>
      </x:c>
      <x:c r="R97" s="4130"/>
      <x:c r="S97" s="4130"/>
      <x:c r="T97" s="4130"/>
      <x:c r="U97" s="4130"/>
      <x:c r="V97" s="4130"/>
      <x:c r="W97" s="4131"/>
      <x:c r="X97" s="3945"/>
      <x:c r="Y97" s="4129" t="str">
        <x:v>PAQUETE ↔ UC
N:M VERSIONADO</x:v>
      </x:c>
      <x:c r="Z97" s="4130"/>
      <x:c r="AA97" s="4130"/>
      <x:c r="AB97" s="4130"/>
      <x:c r="AC97" s="4130"/>
      <x:c r="AD97" s="4131"/>
    </x:row>
    <x:row r="98">
      <x:c r="A98" s="4132"/>
      <x:c r="B98" s="4133"/>
      <x:c r="C98" s="4133"/>
      <x:c r="D98" s="4133"/>
      <x:c r="E98" s="4133"/>
      <x:c r="F98" s="4133"/>
      <x:c r="G98" s="4134"/>
      <x:c r="H98" s="3945"/>
      <x:c r="I98" s="4132"/>
      <x:c r="J98" s="4133"/>
      <x:c r="K98" s="4133"/>
      <x:c r="L98" s="4133"/>
      <x:c r="M98" s="4133"/>
      <x:c r="N98" s="4133"/>
      <x:c r="O98" s="4134"/>
      <x:c r="P98" s="3945"/>
      <x:c r="Q98" s="4132"/>
      <x:c r="R98" s="4133"/>
      <x:c r="S98" s="4133"/>
      <x:c r="T98" s="4133"/>
      <x:c r="U98" s="4133"/>
      <x:c r="V98" s="4133"/>
      <x:c r="W98" s="4134"/>
      <x:c r="X98" s="3945"/>
      <x:c r="Y98" s="4132"/>
      <x:c r="Z98" s="4133"/>
      <x:c r="AA98" s="4133"/>
      <x:c r="AB98" s="4133"/>
      <x:c r="AC98" s="4133"/>
      <x:c r="AD98" s="4134"/>
    </x:row>
    <x:row r="99">
      <x:c r="A99" s="4132"/>
      <x:c r="B99" s="4133"/>
      <x:c r="C99" s="4133"/>
      <x:c r="D99" s="4133"/>
      <x:c r="E99" s="4133"/>
      <x:c r="F99" s="4133"/>
      <x:c r="G99" s="4134"/>
      <x:c r="H99" s="3945"/>
      <x:c r="I99" s="4132"/>
      <x:c r="J99" s="4133"/>
      <x:c r="K99" s="4133"/>
      <x:c r="L99" s="4133"/>
      <x:c r="M99" s="4133"/>
      <x:c r="N99" s="4133"/>
      <x:c r="O99" s="4134"/>
      <x:c r="P99" s="3945"/>
      <x:c r="Q99" s="4132"/>
      <x:c r="R99" s="4133"/>
      <x:c r="S99" s="4133"/>
      <x:c r="T99" s="4133"/>
      <x:c r="U99" s="4133"/>
      <x:c r="V99" s="4133"/>
      <x:c r="W99" s="4134"/>
      <x:c r="X99" s="3945"/>
      <x:c r="Y99" s="4132"/>
      <x:c r="Z99" s="4133"/>
      <x:c r="AA99" s="4133"/>
      <x:c r="AB99" s="4133"/>
      <x:c r="AC99" s="4133"/>
      <x:c r="AD99" s="4134"/>
    </x:row>
    <x:row r="100">
      <x:c r="A100" s="4132"/>
      <x:c r="B100" s="4133"/>
      <x:c r="C100" s="4133"/>
      <x:c r="D100" s="4133"/>
      <x:c r="E100" s="4133"/>
      <x:c r="F100" s="4133"/>
      <x:c r="G100" s="4134"/>
      <x:c r="H100" s="3945"/>
      <x:c r="I100" s="4132"/>
      <x:c r="J100" s="4133"/>
      <x:c r="K100" s="4133"/>
      <x:c r="L100" s="4133"/>
      <x:c r="M100" s="4133"/>
      <x:c r="N100" s="4133"/>
      <x:c r="O100" s="4134"/>
      <x:c r="P100" s="3945"/>
      <x:c r="Q100" s="4132"/>
      <x:c r="R100" s="4133"/>
      <x:c r="S100" s="4133"/>
      <x:c r="T100" s="4133"/>
      <x:c r="U100" s="4133"/>
      <x:c r="V100" s="4133"/>
      <x:c r="W100" s="4134"/>
      <x:c r="X100" s="3945"/>
      <x:c r="Y100" s="4132"/>
      <x:c r="Z100" s="4133"/>
      <x:c r="AA100" s="4133"/>
      <x:c r="AB100" s="4133"/>
      <x:c r="AC100" s="4133"/>
      <x:c r="AD100" s="4134"/>
    </x:row>
    <x:row r="101">
      <x:c r="A101" s="4132"/>
      <x:c r="B101" s="4133"/>
      <x:c r="C101" s="4133"/>
      <x:c r="D101" s="4133"/>
      <x:c r="E101" s="4133"/>
      <x:c r="F101" s="4133"/>
      <x:c r="G101" s="4134"/>
      <x:c r="H101" s="3945"/>
      <x:c r="I101" s="4132"/>
      <x:c r="J101" s="4133"/>
      <x:c r="K101" s="4133"/>
      <x:c r="L101" s="4133"/>
      <x:c r="M101" s="4133"/>
      <x:c r="N101" s="4133"/>
      <x:c r="O101" s="4134"/>
      <x:c r="P101" s="3945"/>
      <x:c r="Q101" s="4132"/>
      <x:c r="R101" s="4133"/>
      <x:c r="S101" s="4133"/>
      <x:c r="T101" s="4133"/>
      <x:c r="U101" s="4133"/>
      <x:c r="V101" s="4133"/>
      <x:c r="W101" s="4134"/>
      <x:c r="X101" s="3945"/>
      <x:c r="Y101" s="4132"/>
      <x:c r="Z101" s="4133"/>
      <x:c r="AA101" s="4133"/>
      <x:c r="AB101" s="4133"/>
      <x:c r="AC101" s="4133"/>
      <x:c r="AD101" s="4134"/>
    </x:row>
    <x:row r="102">
      <x:c r="A102" s="4135"/>
      <x:c r="B102" s="4136"/>
      <x:c r="C102" s="4136"/>
      <x:c r="D102" s="4136"/>
      <x:c r="E102" s="4136"/>
      <x:c r="F102" s="4136"/>
      <x:c r="G102" s="4137"/>
      <x:c r="H102" s="3945"/>
      <x:c r="I102" s="4135"/>
      <x:c r="J102" s="4136"/>
      <x:c r="K102" s="4136"/>
      <x:c r="L102" s="4136"/>
      <x:c r="M102" s="4136"/>
      <x:c r="N102" s="4136"/>
      <x:c r="O102" s="4137"/>
      <x:c r="P102" s="3945"/>
      <x:c r="Q102" s="4135"/>
      <x:c r="R102" s="4136"/>
      <x:c r="S102" s="4136"/>
      <x:c r="T102" s="4136"/>
      <x:c r="U102" s="4136"/>
      <x:c r="V102" s="4136"/>
      <x:c r="W102" s="4137"/>
      <x:c r="X102" s="3945"/>
      <x:c r="Y102" s="4135"/>
      <x:c r="Z102" s="4136"/>
      <x:c r="AA102" s="4136"/>
      <x:c r="AB102" s="4136"/>
      <x:c r="AC102" s="4136"/>
      <x:c r="AD102" s="4137"/>
    </x:row>
    <x:row r="103">
      <x:c r="A103" s="3945"/>
      <x:c r="B103" s="3945"/>
      <x:c r="C103" s="3945"/>
      <x:c r="D103" s="3945"/>
      <x:c r="E103" s="3945"/>
      <x:c r="F103" s="3945"/>
      <x:c r="G103" s="3945"/>
      <x:c r="H103" s="3945"/>
      <x:c r="I103" s="3945"/>
      <x:c r="J103" s="3945"/>
      <x:c r="K103" s="3945"/>
      <x:c r="L103" s="3945"/>
      <x:c r="M103" s="3945"/>
      <x:c r="N103" s="3945"/>
      <x:c r="O103" s="3945"/>
      <x:c r="P103" s="3945"/>
      <x:c r="Q103" s="3945"/>
      <x:c r="R103" s="3945"/>
      <x:c r="S103" s="3945"/>
      <x:c r="T103" s="3945"/>
      <x:c r="U103" s="3945"/>
      <x:c r="V103" s="3945"/>
      <x:c r="W103" s="3945"/>
      <x:c r="X103" s="3945"/>
      <x:c r="Y103" s="3945"/>
      <x:c r="Z103" s="3945"/>
      <x:c r="AA103" s="3945"/>
      <x:c r="AB103" s="3945"/>
      <x:c r="AC103" s="3945"/>
      <x:c r="AD103" s="3945"/>
    </x:row>
    <x:row r="104">
      <x:c r="A104" s="3945"/>
      <x:c r="B104" s="3945"/>
      <x:c r="C104" s="3945"/>
      <x:c r="D104" s="3945"/>
      <x:c r="E104" s="3945"/>
      <x:c r="F104" s="3945"/>
      <x:c r="G104" s="3945"/>
      <x:c r="H104" s="3945"/>
      <x:c r="I104" s="3945"/>
      <x:c r="J104" s="3945"/>
      <x:c r="K104" s="3945"/>
      <x:c r="L104" s="3945"/>
      <x:c r="M104" s="3945"/>
      <x:c r="N104" s="3945"/>
      <x:c r="O104" s="3945"/>
      <x:c r="P104" s="3945"/>
      <x:c r="Q104" s="3945"/>
      <x:c r="R104" s="3945"/>
      <x:c r="S104" s="3945"/>
      <x:c r="T104" s="3945"/>
      <x:c r="U104" s="3945"/>
      <x:c r="V104" s="3945"/>
      <x:c r="W104" s="3945"/>
      <x:c r="X104" s="3945"/>
      <x:c r="Y104" s="3945"/>
      <x:c r="Z104" s="3945"/>
      <x:c r="AA104" s="3945"/>
      <x:c r="AB104" s="3945"/>
      <x:c r="AC104" s="3945"/>
      <x:c r="AD104" s="3945"/>
    </x:row>
    <x:row r="105">
      <x:c r="A105" s="4148" t="str">
        <x:v>REGLA MADRE DEL ERD: ninguna relación se simplifica a 1:1 solo porque el formulario histórico parezca tener una sola línea. La cardinalidad se define por la realidad operacional y por la necesidad de preservar historia. Los contratos futuros completan reglas/configuración; no deberían exigir rediseñar Parte, UnidadEjecución, Interface A/B ni Habilita.</x:v>
      </x:c>
      <x:c r="B105" s="4148"/>
      <x:c r="C105" s="4148"/>
      <x:c r="D105" s="4148"/>
      <x:c r="E105" s="4148"/>
      <x:c r="F105" s="4148"/>
      <x:c r="G105" s="4148"/>
      <x:c r="H105" s="4148"/>
      <x:c r="I105" s="4148"/>
      <x:c r="J105" s="4148"/>
      <x:c r="K105" s="4148"/>
      <x:c r="L105" s="4148"/>
      <x:c r="M105" s="4148"/>
      <x:c r="N105" s="4148"/>
      <x:c r="O105" s="4148"/>
      <x:c r="P105" s="4148"/>
      <x:c r="Q105" s="4148"/>
      <x:c r="R105" s="4148"/>
      <x:c r="S105" s="4148"/>
      <x:c r="T105" s="4148"/>
      <x:c r="U105" s="4148"/>
      <x:c r="V105" s="4148"/>
      <x:c r="W105" s="4148"/>
      <x:c r="X105" s="4148"/>
      <x:c r="Y105" s="4148"/>
      <x:c r="Z105" s="4148"/>
      <x:c r="AA105" s="4148"/>
      <x:c r="AB105" s="4148"/>
      <x:c r="AC105" s="4148"/>
      <x:c r="AD105" s="4148"/>
    </x:row>
    <x:row r="106">
      <x:c r="A106" s="4148"/>
      <x:c r="B106" s="4148"/>
      <x:c r="C106" s="4148"/>
      <x:c r="D106" s="4148"/>
      <x:c r="E106" s="4148"/>
      <x:c r="F106" s="4148"/>
      <x:c r="G106" s="4148"/>
      <x:c r="H106" s="4148"/>
      <x:c r="I106" s="4148"/>
      <x:c r="J106" s="4148"/>
      <x:c r="K106" s="4148"/>
      <x:c r="L106" s="4148"/>
      <x:c r="M106" s="4148"/>
      <x:c r="N106" s="4148"/>
      <x:c r="O106" s="4148"/>
      <x:c r="P106" s="4148"/>
      <x:c r="Q106" s="4148"/>
      <x:c r="R106" s="4148"/>
      <x:c r="S106" s="4148"/>
      <x:c r="T106" s="4148"/>
      <x:c r="U106" s="4148"/>
      <x:c r="V106" s="4148"/>
      <x:c r="W106" s="4148"/>
      <x:c r="X106" s="4148"/>
      <x:c r="Y106" s="4148"/>
      <x:c r="Z106" s="4148"/>
      <x:c r="AA106" s="4148"/>
      <x:c r="AB106" s="4148"/>
      <x:c r="AC106" s="4148"/>
      <x:c r="AD106" s="4148"/>
    </x:row>
    <x:row r="107">
      <x:c r="A107" s="4148"/>
      <x:c r="B107" s="4148"/>
      <x:c r="C107" s="4148"/>
      <x:c r="D107" s="4148"/>
      <x:c r="E107" s="4148"/>
      <x:c r="F107" s="4148"/>
      <x:c r="G107" s="4148"/>
      <x:c r="H107" s="4148"/>
      <x:c r="I107" s="4148"/>
      <x:c r="J107" s="4148"/>
      <x:c r="K107" s="4148"/>
      <x:c r="L107" s="4148"/>
      <x:c r="M107" s="4148"/>
      <x:c r="N107" s="4148"/>
      <x:c r="O107" s="4148"/>
      <x:c r="P107" s="4148"/>
      <x:c r="Q107" s="4148"/>
      <x:c r="R107" s="4148"/>
      <x:c r="S107" s="4148"/>
      <x:c r="T107" s="4148"/>
      <x:c r="U107" s="4148"/>
      <x:c r="V107" s="4148"/>
      <x:c r="W107" s="4148"/>
      <x:c r="X107" s="4148"/>
      <x:c r="Y107" s="4148"/>
      <x:c r="Z107" s="4148"/>
      <x:c r="AA107" s="4148"/>
      <x:c r="AB107" s="4148"/>
      <x:c r="AC107" s="4148"/>
      <x:c r="AD107" s="4148"/>
    </x:row>
    <x:row r="108">
      <x:c r="A108" s="4148"/>
      <x:c r="B108" s="4148"/>
      <x:c r="C108" s="4148"/>
      <x:c r="D108" s="4148"/>
      <x:c r="E108" s="4148"/>
      <x:c r="F108" s="4148"/>
      <x:c r="G108" s="4148"/>
      <x:c r="H108" s="4148"/>
      <x:c r="I108" s="4148"/>
      <x:c r="J108" s="4148"/>
      <x:c r="K108" s="4148"/>
      <x:c r="L108" s="4148"/>
      <x:c r="M108" s="4148"/>
      <x:c r="N108" s="4148"/>
      <x:c r="O108" s="4148"/>
      <x:c r="P108" s="4148"/>
      <x:c r="Q108" s="4148"/>
      <x:c r="R108" s="4148"/>
      <x:c r="S108" s="4148"/>
      <x:c r="T108" s="4148"/>
      <x:c r="U108" s="4148"/>
      <x:c r="V108" s="4148"/>
      <x:c r="W108" s="4148"/>
      <x:c r="X108" s="4148"/>
      <x:c r="Y108" s="4148"/>
      <x:c r="Z108" s="4148"/>
      <x:c r="AA108" s="4148"/>
      <x:c r="AB108" s="4148"/>
      <x:c r="AC108" s="4148"/>
      <x:c r="AD108" s="4148"/>
    </x:row>
    <x:row r="109">
      <x:c r="A109" s="4148"/>
      <x:c r="B109" s="4148"/>
      <x:c r="C109" s="4148"/>
      <x:c r="D109" s="4148"/>
      <x:c r="E109" s="4148"/>
      <x:c r="F109" s="4148"/>
      <x:c r="G109" s="4148"/>
      <x:c r="H109" s="4148"/>
      <x:c r="I109" s="4148"/>
      <x:c r="J109" s="4148"/>
      <x:c r="K109" s="4148"/>
      <x:c r="L109" s="4148"/>
      <x:c r="M109" s="4148"/>
      <x:c r="N109" s="4148"/>
      <x:c r="O109" s="4148"/>
      <x:c r="P109" s="4148"/>
      <x:c r="Q109" s="4148"/>
      <x:c r="R109" s="4148"/>
      <x:c r="S109" s="4148"/>
      <x:c r="T109" s="4148"/>
      <x:c r="U109" s="4148"/>
      <x:c r="V109" s="4148"/>
      <x:c r="W109" s="4148"/>
      <x:c r="X109" s="4148"/>
      <x:c r="Y109" s="4148"/>
      <x:c r="Z109" s="4148"/>
      <x:c r="AA109" s="4148"/>
      <x:c r="AB109" s="4148"/>
      <x:c r="AC109" s="4148"/>
      <x:c r="AD109" s="4148"/>
    </x:row>
    <x:row r="110">
      <x:c r="A110" s="4148"/>
      <x:c r="B110" s="4148"/>
      <x:c r="C110" s="4148"/>
      <x:c r="D110" s="4148"/>
      <x:c r="E110" s="4148"/>
      <x:c r="F110" s="4148"/>
      <x:c r="G110" s="4148"/>
      <x:c r="H110" s="4148"/>
      <x:c r="I110" s="4148"/>
      <x:c r="J110" s="4148"/>
      <x:c r="K110" s="4148"/>
      <x:c r="L110" s="4148"/>
      <x:c r="M110" s="4148"/>
      <x:c r="N110" s="4148"/>
      <x:c r="O110" s="4148"/>
      <x:c r="P110" s="4148"/>
      <x:c r="Q110" s="4148"/>
      <x:c r="R110" s="4148"/>
      <x:c r="S110" s="4148"/>
      <x:c r="T110" s="4148"/>
      <x:c r="U110" s="4148"/>
      <x:c r="V110" s="4148"/>
      <x:c r="W110" s="4148"/>
      <x:c r="X110" s="4148"/>
      <x:c r="Y110" s="4148"/>
      <x:c r="Z110" s="4148"/>
      <x:c r="AA110" s="4148"/>
      <x:c r="AB110" s="4148"/>
      <x:c r="AC110" s="4148"/>
      <x:c r="AD110" s="4148"/>
    </x:row>
    <x:row r="111">
      <x:c r="A111" s="4148"/>
      <x:c r="B111" s="4148"/>
      <x:c r="C111" s="4148"/>
      <x:c r="D111" s="4148"/>
      <x:c r="E111" s="4148"/>
      <x:c r="F111" s="4148"/>
      <x:c r="G111" s="4148"/>
      <x:c r="H111" s="4148"/>
      <x:c r="I111" s="4148"/>
      <x:c r="J111" s="4148"/>
      <x:c r="K111" s="4148"/>
      <x:c r="L111" s="4148"/>
      <x:c r="M111" s="4148"/>
      <x:c r="N111" s="4148"/>
      <x:c r="O111" s="4148"/>
      <x:c r="P111" s="4148"/>
      <x:c r="Q111" s="4148"/>
      <x:c r="R111" s="4148"/>
      <x:c r="S111" s="4148"/>
      <x:c r="T111" s="4148"/>
      <x:c r="U111" s="4148"/>
      <x:c r="V111" s="4148"/>
      <x:c r="W111" s="4148"/>
      <x:c r="X111" s="4148"/>
      <x:c r="Y111" s="4148"/>
      <x:c r="Z111" s="4148"/>
      <x:c r="AA111" s="4148"/>
      <x:c r="AB111" s="4148"/>
      <x:c r="AC111" s="4148"/>
      <x:c r="AD111" s="4148"/>
    </x:row>
  </x:sheetData>
  <x:mergeCells>
    <x:mergeCell ref="A1:AD1"/>
    <x:mergeCell ref="A2:AD2"/>
    <x:mergeCell ref="A4:AD4"/>
    <x:mergeCell ref="A6:D10"/>
    <x:mergeCell ref="F6:I10"/>
    <x:mergeCell ref="K6:N10"/>
    <x:mergeCell ref="P6:T10"/>
    <x:mergeCell ref="V6:Z10"/>
    <x:mergeCell ref="AB6:AD10"/>
    <x:mergeCell ref="P12:T15"/>
    <x:mergeCell ref="V12:Z15"/>
    <x:mergeCell ref="A18:I18"/>
    <x:mergeCell ref="K18:T18"/>
    <x:mergeCell ref="V18:AD18"/>
    <x:mergeCell ref="A20:D24"/>
    <x:mergeCell ref="A26:D30"/>
    <x:mergeCell ref="A32:D36"/>
    <x:mergeCell ref="A38:D42"/>
    <x:mergeCell ref="F38:I42"/>
    <x:mergeCell ref="A44:D48"/>
    <x:mergeCell ref="F44:I48"/>
    <x:mergeCell ref="A50:I54"/>
    <x:mergeCell ref="A56:I60"/>
    <x:mergeCell ref="K20:N24"/>
    <x:mergeCell ref="P20:T24"/>
    <x:mergeCell ref="P26:T31"/>
    <x:mergeCell ref="K33:N37"/>
    <x:mergeCell ref="P33:T37"/>
    <x:mergeCell ref="K39:N43"/>
    <x:mergeCell ref="P39:T43"/>
    <x:mergeCell ref="K45:N49"/>
    <x:mergeCell ref="P45:T49"/>
    <x:mergeCell ref="K51:N55"/>
    <x:mergeCell ref="P51:T55"/>
    <x:mergeCell ref="K57:N61"/>
    <x:mergeCell ref="P57:T61"/>
    <x:mergeCell ref="V20:Z25"/>
    <x:mergeCell ref="V27:Z31"/>
    <x:mergeCell ref="AB27:AD31"/>
    <x:mergeCell ref="V33:Z37"/>
    <x:mergeCell ref="AB33:AD37"/>
    <x:mergeCell ref="V39:Z43"/>
    <x:mergeCell ref="V45:Z49"/>
    <x:mergeCell ref="AB45:AD49"/>
    <x:mergeCell ref="V51:AD55"/>
    <x:mergeCell ref="A65:AD65"/>
    <x:mergeCell ref="A67:E72"/>
    <x:mergeCell ref="G67:K72"/>
    <x:mergeCell ref="M67:Q72"/>
    <x:mergeCell ref="S67:W72"/>
    <x:mergeCell ref="Y67:AD72"/>
    <x:mergeCell ref="S75:W80"/>
    <x:mergeCell ref="Y75:AD80"/>
    <x:mergeCell ref="A84:AD84"/>
    <x:mergeCell ref="A86:H91"/>
    <x:mergeCell ref="J86:Q91"/>
    <x:mergeCell ref="S86:AD91"/>
    <x:mergeCell ref="A95:AD95"/>
    <x:mergeCell ref="A97:G102"/>
    <x:mergeCell ref="I97:O102"/>
    <x:mergeCell ref="Q97:W102"/>
    <x:mergeCell ref="Y97:AD102"/>
    <x:mergeCell ref="A105:AD111"/>
  </x:mergeCells>
  <x:pageMargins left="0.7" right="0.7" top="0.75" bottom="0.75" header="0.3" footer="0.3"/>
</x:worksheet>
</file>

<file path=xl/worksheets/sheet49.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46" hidden="0" customWidth="1"/>
    <x:col min="5" max="5" width="22" hidden="0" customWidth="1"/>
  </x:cols>
  <x:sheetData>
    <x:row r="1">
      <x:c r="A1" s="4169" t="str">
        <x:v>CORRECCIÓN DE NOMENCLATURA · HABILITA</x:v>
      </x:c>
      <x:c r="B1" s="4169"/>
      <x:c r="C1" s="4169"/>
      <x:c r="D1" s="4169"/>
      <x:c r="E1" s="4169"/>
    </x:row>
    <x:row r="2">
      <x:c r="A2" s="4172" t="str">
        <x:v>Desde v2.1, HABILITA es el nombre oficial del dominio completo que en iteraciones previas se denominó HSE/Safety. La lógica no cambia: cambia la nomenclatura.</x:v>
      </x:c>
      <x:c r="B2" s="4172"/>
      <x:c r="C2" s="4172"/>
      <x:c r="D2" s="4172"/>
      <x:c r="E2" s="4172"/>
    </x:row>
    <x:row r="4">
      <x:c r="A4" s="4175" t="str">
        <x:v>ID</x:v>
      </x:c>
      <x:c r="B4" s="4175" t="str">
        <x:v>Término legacy</x:v>
      </x:c>
      <x:c r="C4" s="4175" t="str">
        <x:v>Término oficial</x:v>
      </x:c>
      <x:c r="D4" s="4175" t="str">
        <x:v>Alcance</x:v>
      </x:c>
      <x:c r="E4" s="4175" t="str">
        <x:v>Estado</x:v>
      </x:c>
    </x:row>
    <x:row r="5" ht="56" customHeight="1">
      <x:c r="A5" s="20" t="str">
        <x:v>N-01</x:v>
      </x:c>
      <x:c r="B5" s="20" t="str">
        <x:v>HSE / Safety Plane</x:v>
      </x:c>
      <x:c r="C5" s="20" t="str">
        <x:v>HABILITA</x:v>
      </x:c>
      <x:c r="D5" s="20" t="str">
        <x:v>Dominio transversal completo: prevención, habilitación, PTW, eventos, investigación, acciones y notificaciones.</x:v>
      </x:c>
      <x:c r="E5" s="4176" t="str">
        <x:v>OFICIAL</x:v>
      </x:c>
    </x:row>
    <x:row r="6" ht="56" customHeight="1">
      <x:c r="A6" s="20" t="str">
        <x:v>N-02</x:v>
      </x:c>
      <x:c r="B6" s="20" t="str">
        <x:v>EventoHSE</x:v>
      </x:c>
      <x:c r="C6" s="20" t="str">
        <x:v>EventoHabilita</x:v>
      </x:c>
      <x:c r="D6" s="20" t="str">
        <x:v>Ocurrencia/condición reportable dentro del dominio Habilita.</x:v>
      </x:c>
      <x:c r="E6" s="4176" t="str">
        <x:v>OFICIAL</x:v>
      </x:c>
    </x:row>
    <x:row r="7" ht="56" customHeight="1">
      <x:c r="A7" s="20" t="str">
        <x:v>N-03</x:v>
      </x:c>
      <x:c r="B7" s="20" t="str">
        <x:v>CasoHSE</x:v>
      </x:c>
      <x:c r="C7" s="20" t="str">
        <x:v>CasoHabilita</x:v>
      </x:c>
      <x:c r="D7" s="20" t="str">
        <x:v>Workflow de triage, investigación, seguimiento y cierre.</x:v>
      </x:c>
      <x:c r="E7" s="4176" t="str">
        <x:v>OFICIAL</x:v>
      </x:c>
    </x:row>
    <x:row r="8" ht="56" customHeight="1">
      <x:c r="A8" s="20" t="str">
        <x:v>N-04</x:v>
      </x:c>
      <x:c r="B8" s="20" t="str">
        <x:v>ReglaEscalamientoHSE</x:v>
      </x:c>
      <x:c r="C8" s="20" t="str">
        <x:v>ReglaEscalamientoHabilita</x:v>
      </x:c>
      <x:c r="D8" s="20" t="str">
        <x:v>Regla que decide respuestas del dominio Habilita.</x:v>
      </x:c>
      <x:c r="E8" s="4176" t="str">
        <x:v>OFICIAL</x:v>
      </x:c>
    </x:row>
    <x:row r="9" ht="56" customHeight="1">
      <x:c r="A9" s="20" t="str">
        <x:v>N-05</x:v>
      </x:c>
      <x:c r="B9" s="20" t="str">
        <x:v>EvaluacionEscalamientoHSE</x:v>
      </x:c>
      <x:c r="C9" s="20" t="str">
        <x:v>EvaluacionEscalamientoHabilita</x:v>
      </x:c>
      <x:c r="D9" s="20" t="str">
        <x:v>Snapshot auditable de la regla aplicada.</x:v>
      </x:c>
      <x:c r="E9" s="4176" t="str">
        <x:v>OFICIAL</x:v>
      </x:c>
    </x:row>
    <x:row r="10" ht="56" customHeight="1">
      <x:c r="A10" s="20" t="str">
        <x:v>N-06</x:v>
      </x:c>
      <x:c r="B10" s="20" t="str">
        <x:v>NotificacionHSE</x:v>
      </x:c>
      <x:c r="C10" s="20" t="str">
        <x:v>NotificacionHabilita</x:v>
      </x:c>
      <x:c r="D10" s="20" t="str">
        <x:v>Registro de obligación/comunicación del dominio.</x:v>
      </x:c>
      <x:c r="E10" s="4176" t="str">
        <x:v>OFICIAL</x:v>
      </x:c>
    </x:row>
    <x:row r="11" ht="56" customHeight="1">
      <x:c r="A11" s="20" t="str">
        <x:v>N-07</x:v>
      </x:c>
      <x:c r="B11" s="20" t="str">
        <x:v>AccionCorrectivaHSE</x:v>
      </x:c>
      <x:c r="C11" s="20" t="str">
        <x:v>AccionCorrectivaHabilita</x:v>
      </x:c>
      <x:c r="D11" s="20" t="str">
        <x:v>Acciones correctivas/preventivas posteriores.</x:v>
      </x:c>
      <x:c r="E11" s="4176" t="str">
        <x:v>OFICIAL</x:v>
      </x:c>
    </x:row>
    <x:row r="12" ht="56" customHeight="1">
      <x:c r="A12" s="20" t="str">
        <x:v>N-08</x:v>
      </x:c>
      <x:c r="B12" s="20" t="str">
        <x:v>MedicionEventoHSE</x:v>
      </x:c>
      <x:c r="C12" s="20" t="str">
        <x:v>MedicionEventoHabilita</x:v>
      </x:c>
      <x:c r="D12" s="20" t="str">
        <x:v>Mediciones refinables asociadas al evento.</x:v>
      </x:c>
      <x:c r="E12" s="4176" t="str">
        <x:v>OFICIAL</x:v>
      </x:c>
    </x:row>
    <x:row r="13" ht="56" customHeight="1">
      <x:c r="A13" s="20" t="str">
        <x:v>N-09</x:v>
      </x:c>
      <x:c r="B13" s="20" t="str">
        <x:v>HSE-01</x:v>
      </x:c>
      <x:c r="C13" s="20" t="str">
        <x:v>HABILITA-01</x:v>
      </x:c>
      <x:c r="D13" s="20" t="str">
        <x:v>Identificador histórico del módulo transversal de eventos.</x:v>
      </x:c>
      <x:c r="E13" s="4176" t="str">
        <x:v>OFICIAL</x:v>
      </x:c>
    </x:row>
    <x:row r="14" ht="56" customHeight="1">
      <x:c r="A14" s="20" t="str">
        <x:v>N-10</x:v>
      </x:c>
      <x:c r="B14" s="20" t="str">
        <x:v>Safety PREVENT</x:v>
      </x:c>
      <x:c r="C14" s="20" t="str">
        <x:v>Habilita PREVENT</x:v>
      </x:c>
      <x:c r="D14" s="20" t="str">
        <x:v>Subcapa preventiva: readiness, documental, PTW y Start Work.</x:v>
      </x:c>
      <x:c r="E14" s="4176" t="str">
        <x:v>OFICIAL</x:v>
      </x:c>
    </x:row>
    <x:row r="15" ht="56" customHeight="1">
      <x:c r="A15" s="20" t="str">
        <x:v>N-11</x:v>
      </x:c>
      <x:c r="B15" s="20" t="str">
        <x:v>Safety/Control Plane</x:v>
      </x:c>
      <x:c r="C15" s="20" t="str">
        <x:v>Habilita/Control Plane</x:v>
      </x:c>
      <x:c r="D15" s="20" t="str">
        <x:v>Interacción entre Habilita y DirectivaOperativa.</x:v>
      </x:c>
      <x:c r="E15" s="4176" t="str">
        <x:v>OFICIAL</x:v>
      </x:c>
    </x:row>
    <x:row r="18">
      <x:c r="A18" s="4177" t="str">
        <x:v>NOTA SOBRE FUENTES EXTERNAS</x:v>
      </x:c>
      <x:c r="B18" s="4177"/>
      <x:c r="C18" s="4177"/>
      <x:c r="D18" s="4177"/>
      <x:c r="E18" s="4177"/>
    </x:row>
    <x:row r="19">
      <x:c r="A19" s="4181" t="str">
        <x:v>Las referencias externas cuyo nombre propio contiene HSE/Safety se conservan tal cual. Ejemplos: UK HSE, HSG250, IOGP Health &amp; Safety y URLs de hse.gov.uk. Esas expresiones son nombres de fuentes/estándares externos, no nomenclatura interna de VDS.
Algunas pestañas históricas pueden conservar 'HSE' en el nombre de la hoja para trazabilidad de versiones anteriores; su contenido y toda la baseline vigente usan Habilita.</x:v>
      </x:c>
      <x:c r="B19" s="4181"/>
      <x:c r="C19" s="4181"/>
      <x:c r="D19" s="4181"/>
      <x:c r="E19" s="4181"/>
    </x:row>
    <x:row r="20">
      <x:c r="A20" s="4181"/>
      <x:c r="B20" s="4181"/>
      <x:c r="C20" s="4181"/>
      <x:c r="D20" s="4181"/>
      <x:c r="E20" s="4181"/>
    </x:row>
    <x:row r="21">
      <x:c r="A21" s="4181"/>
      <x:c r="B21" s="4181"/>
      <x:c r="C21" s="4181"/>
      <x:c r="D21" s="4181"/>
      <x:c r="E21" s="4181"/>
    </x:row>
    <x:row r="22">
      <x:c r="A22" s="4181"/>
      <x:c r="B22" s="4181"/>
      <x:c r="C22" s="4181"/>
      <x:c r="D22" s="4181"/>
      <x:c r="E22" s="4181"/>
    </x:row>
    <x:row r="23">
      <x:c r="A23" s="4181"/>
      <x:c r="B23" s="4181"/>
      <x:c r="C23" s="4181"/>
      <x:c r="D23" s="4181"/>
      <x:c r="E23" s="4181"/>
    </x:row>
  </x:sheetData>
  <x:mergeCells>
    <x:mergeCell ref="A1:E1"/>
    <x:mergeCell ref="A2:E2"/>
    <x:mergeCell ref="A18:E18"/>
    <x:mergeCell ref="A19:E23"/>
  </x:mergeCells>
  <x:pageMargins left="0.7" right="0.7" top="0.75" bottom="0.75" header="0.3" footer="0.3"/>
</x:worksheet>
</file>

<file path=xl/worksheets/sheet50.xml><?xml version="1.0" encoding="utf-8"?>
<x:worksheet xmlns:x="http://schemas.openxmlformats.org/spreadsheetml/2006/main">
  <x:sheetFormatPr defaultRowHeight="15"/>
  <x:cols>
    <x:col min="1" max="1" width="9" hidden="0" customWidth="1"/>
    <x:col min="2" max="2" width="24" hidden="0" customWidth="1"/>
    <x:col min="3" max="3" width="24" hidden="0" customWidth="1"/>
    <x:col min="4" max="4" width="36" hidden="0" customWidth="1"/>
    <x:col min="5" max="5" width="16" hidden="0" customWidth="1"/>
    <x:col min="6" max="6" width="18" hidden="0" customWidth="1"/>
    <x:col min="7" max="7" width="48" hidden="0" customWidth="1"/>
    <x:col min="8" max="8" width="30" hidden="0" customWidth="1"/>
  </x:cols>
  <x:sheetData>
    <x:row r="1">
      <x:c r="A1" s="4189" t="str">
        <x:v>MÁQUINAS DE ESTADO v0.1 · REV E FINAL</x:v>
      </x:c>
      <x:c r="B1" s="4189"/>
      <x:c r="C1" s="4189"/>
      <x:c r="D1" s="4189"/>
      <x:c r="E1" s="4189"/>
      <x:c r="F1" s="4189"/>
      <x:c r="G1" s="4189"/>
      <x:c r="H1" s="4189"/>
    </x:row>
    <x:row r="2">
      <x:c r="A2" s="4191" t="str">
        <x:v>Principio: cada dominio mantiene su propio lifecycle. Estado planificado, estado real, estado Habilita y estado comercial nunca se sustituyen entre sí.</x:v>
      </x:c>
      <x:c r="B2" s="4191"/>
      <x:c r="C2" s="4191"/>
      <x:c r="D2" s="4191"/>
      <x:c r="E2" s="4191"/>
      <x:c r="F2" s="4191"/>
      <x:c r="G2" s="4191"/>
      <x:c r="H2" s="4191"/>
    </x:row>
    <x:row r="4">
      <x:c r="A4" s="4194" t="str">
        <x:v>#</x:v>
      </x:c>
      <x:c r="B4" s="4194" t="str">
        <x:v>Dominio</x:v>
      </x:c>
      <x:c r="C4" s="4194" t="str">
        <x:v>Máquina</x:v>
      </x:c>
      <x:c r="D4" s="4194" t="str">
        <x:v>Principio</x:v>
      </x:c>
      <x:c r="E4" s="4194" t="str">
        <x:v>Estados</x:v>
      </x:c>
      <x:c r="F4" s="4194" t="str">
        <x:v>Terminales</x:v>
      </x:c>
      <x:c r="G4" s="4194" t="str">
        <x:v>Regla clave</x:v>
      </x:c>
      <x:c r="H4" s="4194" t="str">
        <x:v>Submáquina paralela</x:v>
      </x:c>
    </x:row>
    <x:row r="5" ht="62" customHeight="1">
      <x:c r="A5" s="20" t="str">
        <x:v>SM-01</x:v>
      </x:c>
      <x:c r="B5" s="4195" t="str">
        <x:v>PLANIFICACIÓN</x:v>
      </x:c>
      <x:c r="C5" s="4195" t="str">
        <x:v>Planificacion</x:v>
      </x:c>
      <x:c r="D5" s="20" t="str">
        <x:v>Contenedor de intención. Las versiones se congelan por PlanificacionVersion; el estado del Plan no prueba ejecución.</x:v>
      </x:c>
      <x:c r="E5" s="4196" t="n">
        <x:v>4</x:v>
      </x:c>
      <x:c r="F5" s="4196" t="str">
        <x:v>CERRADA, CANCELADA</x:v>
      </x:c>
      <x:c r="G5" s="20" t="str">
        <x:v>Versión aprobada activa el Plan; ejecutar trabajo no cambia directamente Planificacion.</x:v>
      </x:c>
      <x:c r="H5" s="20" t="str">
        <x:v>PlanificacionVersion</x:v>
      </x:c>
    </x:row>
    <x:row r="6" ht="62" customHeight="1">
      <x:c r="A6" s="20" t="str">
        <x:v>SM-02</x:v>
      </x:c>
      <x:c r="B6" s="4195" t="str">
        <x:v>PLANIFICACIÓN</x:v>
      </x:c>
      <x:c r="C6" s="4195" t="str">
        <x:v>AsignacionPlanificada</x:v>
      </x:c>
      <x:c r="D6" s="20" t="str">
        <x:v>Representa trabajo despachable previsto. Su estado nunca debe confundirse con el estado de Parte/UE real.</x:v>
      </x:c>
      <x:c r="E6" s="4196" t="n">
        <x:v>7</x:v>
      </x:c>
      <x:c r="F6" s="4196" t="str">
        <x:v>CUMPLIDA, NO_REALIZADA, CANCELADA, SUPERSEDIDA</x:v>
      </x:c>
      <x:c r="G6" s="20" t="str">
        <x:v>DESPACHADA no significa EN_EJECUCIÓN: el real vive en Parte/UE.</x:v>
      </x:c>
      <x:c r="H6" s="20" t="str">
        <x:v>—</x:v>
      </x:c>
    </x:row>
    <x:row r="7" ht="62" customHeight="1">
      <x:c r="A7" s="20" t="str">
        <x:v>SM-03</x:v>
      </x:c>
      <x:c r="B7" s="4195" t="str">
        <x:v>EJECUCIÓN</x:v>
      </x:c>
      <x:c r="C7" s="4195" t="str">
        <x:v>Parte</x:v>
      </x:c>
      <x:c r="D7" s="20" t="str">
        <x:v>Contenedor operativo resuelto por TipoParte. Cierre operativo ≠ completitud documental ≠ certificación.</x:v>
      </x:c>
      <x:c r="E7" s="4196" t="n">
        <x:v>5</x:v>
      </x:c>
      <x:c r="F7" s="4196" t="str">
        <x:v>CERRADO_OPERATIVAMENTE, ANULADO</x:v>
      </x:c>
      <x:c r="G7" s="20" t="str">
        <x:v>CERRADO_OPERATIVAMENTE no significa documentalmente completo/certificado.</x:v>
      </x:c>
      <x:c r="H7" s="20" t="str">
        <x:v>—</x:v>
      </x:c>
    </x:row>
    <x:row r="8" ht="62" customHeight="1">
      <x:c r="A8" s="20" t="str">
        <x:v>SM-04</x:v>
      </x:c>
      <x:c r="B8" s="4195" t="str">
        <x:v>EJECUCIÓN</x:v>
      </x:c>
      <x:c r="C8" s="4195" t="str">
        <x:v>UnidadEjecucion</x:v>
      </x:c>
      <x:c r="D8" s="20" t="str">
        <x:v>Grano operativo distinguible. Personas, recursos, ubicación, medición y tiempos se relacionan con la UE sin redefinir el Parte automáticamente.</x:v>
      </x:c>
      <x:c r="E8" s="4196" t="n">
        <x:v>6</x:v>
      </x:c>
      <x:c r="F8" s="4196" t="str">
        <x:v>CERRADA, NO_REALIZADA, ANULADA</x:v>
      </x:c>
      <x:c r="G8" s="20" t="str">
        <x:v>UE cerrada no se reabre; errores se corrigen con EnmiendaOperativa.</x:v>
      </x:c>
      <x:c r="H8" s="20" t="str">
        <x:v>—</x:v>
      </x:c>
    </x:row>
    <x:row r="9" ht="62" customHeight="1">
      <x:c r="A9" s="20" t="str">
        <x:v>SM-05</x:v>
      </x:c>
      <x:c r="B9" s="4195" t="str">
        <x:v>HABILITA</x:v>
      </x:c>
      <x:c r="C9" s="4195" t="str">
        <x:v>PermisoTrabajo</x:v>
      </x:c>
      <x:c r="D9" s="20" t="str">
        <x:v>Autorización formal independiente del Parte. Timeout nunca equivale a cierre; handover puede exigir suspensión/revalidación.</x:v>
      </x:c>
      <x:c r="E9" s="4196" t="n">
        <x:v>9</x:v>
      </x:c>
      <x:c r="F9" s="4196" t="str">
        <x:v>CERRADO, RECHAZADO, VENCIDO, ANULADO</x:v>
      </x:c>
      <x:c r="G9" s="20" t="str">
        <x:v>VENCIDO ≠ CERRADO; timeout bloquea/alerta, nunca autocierra.</x:v>
      </x:c>
      <x:c r="H9" s="20" t="str">
        <x:v>—</x:v>
      </x:c>
    </x:row>
    <x:row r="10" ht="62" customHeight="1">
      <x:c r="A10" s="20" t="str">
        <x:v>SM-06</x:v>
      </x:c>
      <x:c r="B10" s="4195" t="str">
        <x:v>CONTROL PLANE</x:v>
      </x:c>
      <x:c r="C10" s="4195" t="str">
        <x:v>DirectivaOperativa</x:v>
      </x:c>
      <x:c r="D10" s="20" t="str">
        <x:v>Instrucción post-despacho append-only. Emitida ≠ recibida ≠ reconocida ≠ aplicada.</x:v>
      </x:c>
      <x:c r="E10" s="4196" t="n">
        <x:v>7</x:v>
      </x:c>
      <x:c r="F10" s="4196" t="str">
        <x:v>APLICADA, RECHAZADA, CANCELADA, EXPIRADA</x:v>
      </x:c>
      <x:c r="G10" s="20" t="str">
        <x:v>EMITIDA ≠ RECIBIDA ≠ ACK ≠ APLICADA.</x:v>
      </x:c>
      <x:c r="H10" s="20" t="str">
        <x:v>—</x:v>
      </x:c>
    </x:row>
    <x:row r="11" ht="62" customHeight="1">
      <x:c r="A11" s="20" t="str">
        <x:v>SM-07</x:v>
      </x:c>
      <x:c r="B11" s="4195" t="str">
        <x:v>HABILITA</x:v>
      </x:c>
      <x:c r="C11" s="4195" t="str">
        <x:v>EventoHabilita</x:v>
      </x:c>
      <x:c r="D11" s="20" t="str">
        <x:v>El evento es el hecho reportado. El triage puede reclasificarlo sin borrar el reporte inicial; CasoHabilita es lifecycle separado.</x:v>
      </x:c>
      <x:c r="E11" s="4196" t="n">
        <x:v>6</x:v>
      </x:c>
      <x:c r="F11" s="4196" t="str">
        <x:v>ESCALADO_A_CASO, CERRADO_SIN_CASO, DESCARTADO</x:v>
      </x:c>
      <x:c r="G11" s="20" t="str">
        <x:v>Reporte inicial se preserva; clasificación puede evolucionar.</x:v>
      </x:c>
      <x:c r="H11" s="20" t="str">
        <x:v>—</x:v>
      </x:c>
    </x:row>
    <x:row r="12" ht="62" customHeight="1">
      <x:c r="A12" s="20" t="str">
        <x:v>SM-08</x:v>
      </x:c>
      <x:c r="B12" s="4195" t="str">
        <x:v>HABILITA</x:v>
      </x:c>
      <x:c r="C12" s="4195" t="str">
        <x:v>CasoHabilita</x:v>
      </x:c>
      <x:c r="D12" s="20" t="str">
        <x:v>Separa investigación, seguimiento de acciones y cierre global. Puede permanecer abierto después de normalizada la operación.</x:v>
      </x:c>
      <x:c r="E12" s="4196" t="n">
        <x:v>5</x:v>
      </x:c>
      <x:c r="F12" s="4196" t="str">
        <x:v>CERRADO</x:v>
      </x:c>
      <x:c r="G12" s="20" t="str">
        <x:v>Investigación, caso y acciones tienen lifecycles separados.</x:v>
      </x:c>
      <x:c r="H12" s="20" t="str">
        <x:v>AccionCorrectivaHabilita</x:v>
      </x:c>
    </x:row>
    <x:row r="13" ht="62" customHeight="1">
      <x:c r="A13" s="20" t="str">
        <x:v>SM-09</x:v>
      </x:c>
      <x:c r="B13" s="4195" t="str">
        <x:v>CERTIFICACIÓN</x:v>
      </x:c>
      <x:c r="C13" s="4195" t="str">
        <x:v>UnidadComercial</x:v>
      </x:c>
      <x:c r="D13" s="20" t="str">
        <x:v>Estado de certificación separado de la vigencia del lineage. Fuente operacional nunca se edita desde Certificación.</x:v>
      </x:c>
      <x:c r="E13" s="4196" t="n">
        <x:v>6</x:v>
      </x:c>
      <x:c r="F13" s="4196" t="str">
        <x:v>ACEPTADA, RECHAZADA</x:v>
      </x:c>
      <x:c r="G13" s="20" t="str">
        <x:v>Certificación y supersession son dimensiones paralelas.</x:v>
      </x:c>
      <x:c r="H13" s="20" t="str">
        <x:v>estado_supersession_comercial</x:v>
      </x:c>
    </x:row>
    <x:row r="14" ht="62" customHeight="1">
      <x:c r="A14" s="20" t="str">
        <x:v>SM-10</x:v>
      </x:c>
      <x:c r="B14" s="4195" t="str">
        <x:v>CERTIFICACIÓN</x:v>
      </x:c>
      <x:c r="C14" s="4195" t="str">
        <x:v>PaqueteCertificacion</x:v>
      </x:c>
      <x:c r="D14" s="20" t="str">
        <x:v>Agrupa UC por regla. La composición se versiona; observaciones no borran inclusiones históricas.</x:v>
      </x:c>
      <x:c r="E14" s="4196" t="n">
        <x:v>9</x:v>
      </x:c>
      <x:c r="F14" s="4196" t="str">
        <x:v>ACEPTADO_PARCIAL, ACEPTADO, RECHAZADO, SUSTITUIDO</x:v>
      </x:c>
      <x:c r="G14" s="20" t="str">
        <x:v>Aceptación parcial solo por regla configurada.</x:v>
      </x:c>
      <x:c r="H14" s="20" t="str">
        <x:v>—</x:v>
      </x:c>
    </x:row>
    <x:row r="15" ht="62" customHeight="1">
      <x:c r="A15" s="20" t="str">
        <x:v>SM-11</x:v>
      </x:c>
      <x:c r="B15" s="4195" t="str">
        <x:v>FACTURACIÓN</x:v>
      </x:c>
      <x:c r="C15" s="4195" t="str">
        <x:v>LoteFacturacion</x:v>
      </x:c>
      <x:c r="D15" s="20" t="str">
        <x:v>Agrupación administrativa interna. El modelo funcional termina en el boundary ERP; no inventa estados fiscales específicos.</x:v>
      </x:c>
      <x:c r="E15" s="4196" t="n">
        <x:v>6</x:v>
      </x:c>
      <x:c r="F15" s="4196" t="str">
        <x:v>ACEPTADO_ERP, CANCELADO</x:v>
      </x:c>
      <x:c r="G15" s="20" t="str">
        <x:v>Termina en boundary ERP; no modela fiscalidad inventada.</x:v>
      </x:c>
      <x:c r="H15" s="20" t="str">
        <x:v>—</x:v>
      </x:c>
    </x:row>
    <x:row r="19">
      <x:c r="A19" s="4197" t="str">
        <x:v>PRINCIPIOS TRANSVERSALES DE ESTADO</x:v>
      </x:c>
      <x:c r="B19" s="4197"/>
      <x:c r="C19" s="4197"/>
      <x:c r="D19" s="4197"/>
      <x:c r="E19" s="4197"/>
      <x:c r="F19" s="4197"/>
      <x:c r="G19" s="4197"/>
      <x:c r="H19" s="4197"/>
    </x:row>
    <x:row r="20" ht="48" customHeight="1">
      <x:c r="A20" s="4196" t="str">
        <x:v>P-01</x:v>
      </x:c>
      <x:c r="B20" s="4196" t="str">
        <x:v>No mezclar estados</x:v>
      </x:c>
      <x:c r="C20" s="20" t="str">
        <x:v>READY (plan) ≠ EN_EJECUCIÓN (real) ≠ VIGENTE (PTW) ≠ ACEPTADA (UC).</x:v>
      </x:c>
      <x:c r="D20" s="20"/>
      <x:c r="E20" s="20"/>
      <x:c r="F20" s="20"/>
      <x:c r="G20" s="20"/>
      <x:c r="H20" s="20"/>
    </x:row>
    <x:row r="21" ht="48" customHeight="1">
      <x:c r="A21" s="4196" t="str">
        <x:v>P-02</x:v>
      </x:c>
      <x:c r="B21" s="4196" t="str">
        <x:v>Eventos, no reversas mágicas</x:v>
      </x:c>
      <x:c r="C21" s="20" t="str">
        <x:v>Una transición posterior no borra que el estado anterior existió; guardar actor, timestamp, causa y versión.</x:v>
      </x:c>
      <x:c r="D21" s="20"/>
      <x:c r="E21" s="20"/>
      <x:c r="F21" s="20"/>
      <x:c r="G21" s="20"/>
      <x:c r="H21" s="20"/>
    </x:row>
    <x:row r="22" ht="48" customHeight="1">
      <x:c r="A22" s="4196" t="str">
        <x:v>P-03</x:v>
      </x:c>
      <x:c r="B22" s="4196" t="str">
        <x:v>Terminal no significa borrable</x:v>
      </x:c>
      <x:c r="C22" s="20" t="str">
        <x:v>Los estados terminales preservan el objeto y su historia; correcciones crean enmienda/versión/supersession.</x:v>
      </x:c>
      <x:c r="D22" s="20"/>
      <x:c r="E22" s="20"/>
      <x:c r="F22" s="20"/>
      <x:c r="G22" s="20"/>
      <x:c r="H22" s="20"/>
    </x:row>
    <x:row r="23" ht="48" customHeight="1">
      <x:c r="A23" s="4196" t="str">
        <x:v>P-04</x:v>
      </x:c>
      <x:c r="B23" s="4196" t="str">
        <x:v>Derivados no mandan al origen</x:v>
      </x:c>
      <x:c r="C23" s="20" t="str">
        <x:v>Certificación, Facturación o Habilita no editan silenciosamente la verdad operacional.</x:v>
      </x:c>
      <x:c r="D23" s="20"/>
      <x:c r="E23" s="20"/>
      <x:c r="F23" s="20"/>
      <x:c r="G23" s="20"/>
      <x:c r="H23" s="20"/>
    </x:row>
    <x:row r="24" ht="48" customHeight="1">
      <x:c r="A24" s="4196" t="str">
        <x:v>P-05</x:v>
      </x:c>
      <x:c r="B24" s="4196" t="str">
        <x:v>Timeout no es decisión</x:v>
      </x:c>
      <x:c r="C24" s="20" t="str">
        <x:v>Vencimientos disparan bloqueo/alerta; no convierten automáticamente un objeto a CERRADO/APLICADO/ACEPTADO.</x:v>
      </x:c>
      <x:c r="D24" s="20"/>
      <x:c r="E24" s="20"/>
      <x:c r="F24" s="20"/>
      <x:c r="G24" s="20"/>
      <x:c r="H24" s="20"/>
    </x:row>
    <x:row r="25" ht="48" customHeight="1">
      <x:c r="A25" s="4196" t="str">
        <x:v>P-06</x:v>
      </x:c>
      <x:c r="B25" s="4196" t="str">
        <x:v>Gates explícitos</x:v>
      </x:c>
      <x:c r="C25" s="20" t="str">
        <x:v>Toda transición crítica debe saber qué regla/gate la habilitó y con qué versión.</x:v>
      </x:c>
      <x:c r="D25" s="20"/>
      <x:c r="E25" s="20"/>
      <x:c r="F25" s="20"/>
      <x:c r="G25" s="20"/>
      <x:c r="H25" s="20"/>
    </x:row>
  </x:sheetData>
  <x:mergeCells>
    <x:mergeCell ref="A1:H1"/>
    <x:mergeCell ref="A2:H2"/>
    <x:mergeCell ref="A19:H19"/>
  </x:mergeCells>
  <x:pageMargins left="0.7" right="0.7" top="0.75" bottom="0.75" header="0.3" footer="0.3"/>
</x:worksheet>
</file>

<file path=xl/worksheets/sheet51.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27" hidden="0" customWidth="1"/>
    <x:col min="5" max="5" width="42" hidden="0" customWidth="1"/>
    <x:col min="6" max="6" width="30" hidden="0" customWidth="1"/>
    <x:col min="7" max="7" width="30" hidden="0" customWidth="1"/>
    <x:col min="8" max="8" width="16" hidden="0" customWidth="1"/>
    <x:col min="9" max="9" width="36" hidden="0" customWidth="1"/>
  </x:cols>
  <x:sheetData>
    <x:row r="1">
      <x:c r="A1" s="4213" t="str">
        <x:v>STATE MACHINES · PLANIFICACIÓN</x:v>
      </x:c>
      <x:c r="B1" s="4213"/>
      <x:c r="C1" s="4213"/>
      <x:c r="D1" s="4213"/>
      <x:c r="E1" s="4213"/>
      <x:c r="F1" s="4213"/>
      <x:c r="G1" s="4213"/>
      <x:c r="H1" s="4213"/>
      <x:c r="I1" s="4213"/>
    </x:row>
    <x:row r="2">
      <x:c r="A2" s="4214" t="str">
        <x:v>Las transiciones describen comportamiento funcional. El modelo físico podrá implementar constraints, eventos o workflows, pero no cambiar su semántica sin reabrir la baseline.</x:v>
      </x:c>
      <x:c r="B2" s="4214"/>
      <x:c r="C2" s="4214"/>
      <x:c r="D2" s="4214"/>
      <x:c r="E2" s="4214"/>
      <x:c r="F2" s="4214"/>
      <x:c r="G2" s="4214"/>
      <x:c r="H2" s="4214"/>
      <x:c r="I2" s="4214"/>
    </x:row>
    <x:row r="3">
      <x:c r="A3" s="3945"/>
      <x:c r="B3" s="3945"/>
      <x:c r="C3" s="3945"/>
      <x:c r="D3" s="3945"/>
      <x:c r="E3" s="3945"/>
      <x:c r="F3" s="3945"/>
      <x:c r="G3" s="3945"/>
      <x:c r="H3" s="3945"/>
      <x:c r="I3" s="3945"/>
    </x:row>
    <x:row r="4">
      <x:c r="A4" s="4215" t="str">
        <x:v>PLANIFICACIÓN · Planificacion</x:v>
      </x:c>
      <x:c r="B4" s="4215"/>
      <x:c r="C4" s="4215"/>
      <x:c r="D4" s="4215"/>
      <x:c r="E4" s="4215"/>
      <x:c r="F4" s="4215"/>
      <x:c r="G4" s="4215"/>
      <x:c r="H4" s="4215"/>
      <x:c r="I4" s="4215"/>
    </x:row>
    <x:row r="5">
      <x:c r="A5" s="4216" t="str">
        <x:v>Contenedor de intención. Las versiones se congelan por PlanificacionVersion; el estado del Plan no prueba ejecución.</x:v>
      </x:c>
      <x:c r="B5" s="4216"/>
      <x:c r="C5" s="4216"/>
      <x:c r="D5" s="4216"/>
      <x:c r="E5" s="4216"/>
      <x:c r="F5" s="4216"/>
      <x:c r="G5" s="4216"/>
      <x:c r="H5" s="4216"/>
      <x:c r="I5" s="4216"/>
    </x:row>
    <x:row r="6">
      <x:c r="A6" s="4216"/>
      <x:c r="B6" s="4216"/>
      <x:c r="C6" s="4216"/>
      <x:c r="D6" s="4216"/>
      <x:c r="E6" s="4216"/>
      <x:c r="F6" s="4216"/>
      <x:c r="G6" s="4216"/>
      <x:c r="H6" s="4216"/>
      <x:c r="I6" s="4216"/>
    </x:row>
    <x:row r="7">
      <x:c r="A7" s="3945"/>
      <x:c r="B7" s="3945"/>
      <x:c r="C7" s="3945"/>
      <x:c r="D7" s="3945"/>
      <x:c r="E7" s="3945"/>
      <x:c r="F7" s="3945"/>
      <x:c r="G7" s="3945"/>
      <x:c r="H7" s="3945"/>
      <x:c r="I7" s="3945"/>
    </x:row>
    <x:row r="8">
      <x:c r="A8" s="4217" t="str">
        <x:v>Estado</x:v>
      </x:c>
      <x:c r="B8" s="4217" t="str">
        <x:v>Tipo</x:v>
      </x:c>
      <x:c r="C8" s="4217" t="str">
        <x:v>Semántica</x:v>
      </x:c>
      <x:c r="D8" s="4217" t="str">
        <x:v>Terminal</x:v>
      </x:c>
      <x:c r="E8" s="3945"/>
      <x:c r="F8" s="3945"/>
      <x:c r="G8" s="3945"/>
      <x:c r="H8" s="3945"/>
      <x:c r="I8" s="3945"/>
    </x:row>
    <x:row r="9" ht="44" customHeight="1">
      <x:c r="A9" s="4218" t="str">
        <x:v>ABIERTA</x:v>
      </x:c>
      <x:c r="B9" s="3947" t="str">
        <x:v>Inicial</x:v>
      </x:c>
      <x:c r="C9" s="3947" t="str">
        <x:v>Existe y admite nuevas versiones/borradores.</x:v>
      </x:c>
      <x:c r="D9" s="3947" t="str">
        <x:v>No</x:v>
      </x:c>
      <x:c r="E9" s="3945"/>
      <x:c r="F9" s="3945"/>
      <x:c r="G9" s="3945"/>
      <x:c r="H9" s="3945"/>
      <x:c r="I9" s="3945"/>
    </x:row>
    <x:row r="10" ht="44" customHeight="1">
      <x:c r="A10" s="4218" t="str">
        <x:v>ACTIVA</x:v>
      </x:c>
      <x:c r="B10" s="3947" t="str">
        <x:v>Operativa</x:v>
      </x:c>
      <x:c r="C10" s="3947" t="str">
        <x:v>Existe una PlanificacionVersion aprobada con asignaciones vigentes.</x:v>
      </x:c>
      <x:c r="D10" s="3947" t="str">
        <x:v>No</x:v>
      </x:c>
      <x:c r="E10" s="3945"/>
      <x:c r="F10" s="3945"/>
      <x:c r="G10" s="3945"/>
      <x:c r="H10" s="3945"/>
      <x:c r="I10" s="3945"/>
    </x:row>
    <x:row r="11" ht="44" customHeight="1">
      <x:c r="A11" s="4214" t="str">
        <x:v>CERRADA</x:v>
      </x:c>
      <x:c r="B11" s="3947" t="str">
        <x:v>Terminal</x:v>
      </x:c>
      <x:c r="C11" s="3947" t="str">
        <x:v>No quedan asignaciones abiertas ni trabajo pendiente bajo este plan.</x:v>
      </x:c>
      <x:c r="D11" s="4219" t="str">
        <x:v>Sí</x:v>
      </x:c>
      <x:c r="E11" s="3945"/>
      <x:c r="F11" s="3945"/>
      <x:c r="G11" s="3945"/>
      <x:c r="H11" s="3945"/>
      <x:c r="I11" s="3945"/>
    </x:row>
    <x:row r="12" ht="44" customHeight="1">
      <x:c r="A12" s="4214" t="str">
        <x:v>CANCELADA</x:v>
      </x:c>
      <x:c r="B12" s="3947" t="str">
        <x:v>Terminal</x:v>
      </x:c>
      <x:c r="C12" s="3947" t="str">
        <x:v>Plan abandonado antes de materializar ejecución relevante.</x:v>
      </x:c>
      <x:c r="D12" s="4219" t="str">
        <x:v>Sí</x:v>
      </x:c>
      <x:c r="E12" s="3945"/>
      <x:c r="F12" s="3945"/>
      <x:c r="G12" s="3945"/>
      <x:c r="H12" s="3945"/>
      <x:c r="I12" s="3945"/>
    </x:row>
    <x:row r="13">
      <x:c r="A13" s="3945"/>
      <x:c r="B13" s="3945"/>
      <x:c r="C13" s="3945"/>
      <x:c r="D13" s="3945"/>
      <x:c r="E13" s="3945"/>
      <x:c r="F13" s="3945"/>
      <x:c r="G13" s="3945"/>
      <x:c r="H13" s="3945"/>
      <x:c r="I13" s="3945"/>
    </x:row>
    <x:row r="14">
      <x:c r="A14" s="3945"/>
      <x:c r="B14" s="3945"/>
      <x:c r="C14" s="3945"/>
      <x:c r="D14" s="3945"/>
      <x:c r="E14" s="3945"/>
      <x:c r="F14" s="3945"/>
      <x:c r="G14" s="3945"/>
      <x:c r="H14" s="3945"/>
      <x:c r="I14" s="3945"/>
    </x:row>
    <x:row r="15">
      <x:c r="A15" s="4220" t="str">
        <x:v>ID</x:v>
      </x:c>
      <x:c r="B15" s="4220" t="str">
        <x:v>Desde</x:v>
      </x:c>
      <x:c r="C15" s="4220" t="str">
        <x:v>Evento</x:v>
      </x:c>
      <x:c r="D15" s="4220" t="str">
        <x:v>Hacia</x:v>
      </x:c>
      <x:c r="E15" s="4220" t="str">
        <x:v>Gate / condición</x:v>
      </x:c>
      <x:c r="F15" s="4220" t="str">
        <x:v>Actor</x:v>
      </x:c>
      <x:c r="G15" s="4220" t="str">
        <x:v>Efecto</x:v>
      </x:c>
      <x:c r="H15" s="4220" t="str">
        <x:v>Tipo</x:v>
      </x:c>
      <x:c r="I15" s="4220" t="str">
        <x:v>Nota</x:v>
      </x:c>
    </x:row>
    <x:row r="16" ht="58" customHeight="1">
      <x:c r="A16" s="3947" t="str">
        <x:v>T-P01</x:v>
      </x:c>
      <x:c r="B16" s="3947" t="str">
        <x:v>—</x:v>
      </x:c>
      <x:c r="C16" s="3947" t="str">
        <x:v>CREAR_PLAN</x:v>
      </x:c>
      <x:c r="D16" s="3947" t="str">
        <x:v>ABIERTA</x:v>
      </x:c>
      <x:c r="E16" s="3947" t="str">
        <x:v>Datos mínimos de contexto</x:v>
      </x:c>
      <x:c r="F16" s="3947" t="str">
        <x:v>Sistema/Planificación</x:v>
      </x:c>
      <x:c r="G16" s="3947" t="str">
        <x:v>Crear identidad del plan.</x:v>
      </x:c>
      <x:c r="H16" s="4218" t="str">
        <x:v>PERMITIDA</x:v>
      </x:c>
      <x:c r="I16" s="3947" t="str"/>
    </x:row>
    <x:row r="17" ht="58" customHeight="1">
      <x:c r="A17" s="3947" t="str">
        <x:v>T-P02</x:v>
      </x:c>
      <x:c r="B17" s="3947" t="str">
        <x:v>ABIERTA</x:v>
      </x:c>
      <x:c r="C17" s="3947" t="str">
        <x:v>APROBAR_VERSION</x:v>
      </x:c>
      <x:c r="D17" s="3947" t="str">
        <x:v>ACTIVA</x:v>
      </x:c>
      <x:c r="E17" s="3947" t="str">
        <x:v>PlanificacionVersion APROBADA + ≥1 AsignacionPlanificada</x:v>
      </x:c>
      <x:c r="F17" s="3947" t="str">
        <x:v>Planificación</x:v>
      </x:c>
      <x:c r="G17" s="3947" t="str">
        <x:v>Activar versión como intención vigente.</x:v>
      </x:c>
      <x:c r="H17" s="4218" t="str">
        <x:v>PERMITIDA</x:v>
      </x:c>
      <x:c r="I17" s="3947" t="str"/>
    </x:row>
    <x:row r="18" ht="58" customHeight="1">
      <x:c r="A18" s="3947" t="str">
        <x:v>T-P03</x:v>
      </x:c>
      <x:c r="B18" s="3947" t="str">
        <x:v>ACTIVA</x:v>
      </x:c>
      <x:c r="C18" s="3947" t="str">
        <x:v>APROBAR_NUEVA_VERSION</x:v>
      </x:c>
      <x:c r="D18" s="3947" t="str">
        <x:v>ACTIVA</x:v>
      </x:c>
      <x:c r="E18" s="3947" t="str">
        <x:v>Nueva versión válida; anterior pasa SUPERSEDIDA</x:v>
      </x:c>
      <x:c r="F18" s="3947" t="str">
        <x:v>Planificación</x:v>
      </x:c>
      <x:c r="G18" s="3947" t="str">
        <x:v>Replanificar sin reescribir versión anterior.</x:v>
      </x:c>
      <x:c r="H18" s="4218" t="str">
        <x:v>PERMITIDA</x:v>
      </x:c>
      <x:c r="I18" s="3947" t="str"/>
    </x:row>
    <x:row r="19" ht="58" customHeight="1">
      <x:c r="A19" s="3947" t="str">
        <x:v>T-P04</x:v>
      </x:c>
      <x:c r="B19" s="3947" t="str">
        <x:v>ACTIVA</x:v>
      </x:c>
      <x:c r="C19" s="3947" t="str">
        <x:v>CERRAR_PLAN</x:v>
      </x:c>
      <x:c r="D19" s="3947" t="str">
        <x:v>CERRADA</x:v>
      </x:c>
      <x:c r="E19" s="3947" t="str">
        <x:v>Todas las asignaciones terminales + sin directivas pendientes relevantes</x:v>
      </x:c>
      <x:c r="F19" s="3947" t="str">
        <x:v>Planificación</x:v>
      </x:c>
      <x:c r="G19" s="3947" t="str">
        <x:v>Cierre lógico del contenedor.</x:v>
      </x:c>
      <x:c r="H19" s="4218" t="str">
        <x:v>PERMITIDA</x:v>
      </x:c>
      <x:c r="I19" s="3947" t="str"/>
    </x:row>
    <x:row r="20" ht="58" customHeight="1">
      <x:c r="A20" s="3947" t="str">
        <x:v>T-P05</x:v>
      </x:c>
      <x:c r="B20" s="3947" t="str">
        <x:v>ABIERTA</x:v>
      </x:c>
      <x:c r="C20" s="3947" t="str">
        <x:v>CANCELAR_PLAN</x:v>
      </x:c>
      <x:c r="D20" s="3947" t="str">
        <x:v>CANCELADA</x:v>
      </x:c>
      <x:c r="E20" s="3947" t="str">
        <x:v>Sin ejecución materializada vinculada</x:v>
      </x:c>
      <x:c r="F20" s="3947" t="str">
        <x:v>Planificación</x:v>
      </x:c>
      <x:c r="G20" s="3947" t="str">
        <x:v>Cancelar antes de ejecución.</x:v>
      </x:c>
      <x:c r="H20" s="4218" t="str">
        <x:v>PERMITIDA</x:v>
      </x:c>
      <x:c r="I20" s="3947" t="str"/>
    </x:row>
    <x:row r="21" ht="58" customHeight="1">
      <x:c r="A21" s="3947" t="str">
        <x:v>T-P06</x:v>
      </x:c>
      <x:c r="B21" s="3947" t="str">
        <x:v>ACTIVA</x:v>
      </x:c>
      <x:c r="C21" s="3947" t="str">
        <x:v>CANCELAR_PLAN_COMPLETO</x:v>
      </x:c>
      <x:c r="D21" s="3947" t="str">
        <x:v>CANCELADA</x:v>
      </x:c>
      <x:c r="E21" s="3947" t="str">
        <x:v>Solo si ninguna ejecución comenzó; si comenzó, usar directivas/resultado de asignaciones</x:v>
      </x:c>
      <x:c r="F21" s="3947" t="str">
        <x:v>Planificación</x:v>
      </x:c>
      <x:c r="G21" s="3947" t="str">
        <x:v>Evitar cancelar historia ya ejecutada.</x:v>
      </x:c>
      <x:c r="H21" s="4219" t="str">
        <x:v>CONDICIONAL</x:v>
      </x:c>
      <x:c r="I21" s="3947" t="str"/>
    </x:row>
    <x:row r="22">
      <x:c r="A22" s="3945"/>
      <x:c r="B22" s="3945"/>
      <x:c r="C22" s="3945"/>
      <x:c r="D22" s="3945"/>
      <x:c r="E22" s="3945"/>
      <x:c r="F22" s="3945"/>
      <x:c r="G22" s="3945"/>
      <x:c r="H22" s="3945"/>
      <x:c r="I22" s="3945"/>
    </x:row>
    <x:row r="23">
      <x:c r="A23" s="3945"/>
      <x:c r="B23" s="3945"/>
      <x:c r="C23" s="3945"/>
      <x:c r="D23" s="3945"/>
      <x:c r="E23" s="3945"/>
      <x:c r="F23" s="3945"/>
      <x:c r="G23" s="3945"/>
      <x:c r="H23" s="3945"/>
      <x:c r="I23" s="3945"/>
    </x:row>
    <x:row r="24">
      <x:c r="A24" s="4221" t="str">
        <x:v>Desde</x:v>
      </x:c>
      <x:c r="B24" s="4221" t="str">
        <x:v>Hacia</x:v>
      </x:c>
      <x:c r="C24" s="4221" t="str">
        <x:v>Transición prohibida</x:v>
      </x:c>
      <x:c r="D24" s="4221" t="str">
        <x:v>Qué hacer en cambio</x:v>
      </x:c>
      <x:c r="E24" s="3945"/>
      <x:c r="F24" s="3945"/>
      <x:c r="G24" s="3945"/>
      <x:c r="H24" s="3945"/>
      <x:c r="I24" s="3945"/>
    </x:row>
    <x:row r="25" ht="52" customHeight="1">
      <x:c r="A25" s="3947" t="str">
        <x:v>CERRADA</x:v>
      </x:c>
      <x:c r="B25" s="3947" t="str">
        <x:v>ACTIVA</x:v>
      </x:c>
      <x:c r="C25" s="3947" t="str">
        <x:v>Reabrir silenciosamente un plan cerrado</x:v>
      </x:c>
      <x:c r="D25" s="3947" t="str">
        <x:v>Crear nueva versión/plan según contexto; conservar cierre histórico.</x:v>
      </x:c>
      <x:c r="E25" s="3945"/>
      <x:c r="F25" s="3945"/>
      <x:c r="G25" s="3945"/>
      <x:c r="H25" s="3945"/>
      <x:c r="I25" s="3945"/>
    </x:row>
    <x:row r="26" ht="52" customHeight="1">
      <x:c r="A26" s="3947" t="str">
        <x:v>CANCELADA</x:v>
      </x:c>
      <x:c r="B26" s="3947" t="str">
        <x:v>ACTIVA</x:v>
      </x:c>
      <x:c r="C26" s="3947" t="str">
        <x:v>Reactivar plan cancelado</x:v>
      </x:c>
      <x:c r="D26" s="3947" t="str">
        <x:v>Nueva Planificacion o versión explícita con trazabilidad.</x:v>
      </x:c>
      <x:c r="E26" s="3945"/>
      <x:c r="F26" s="3945"/>
      <x:c r="G26" s="3945"/>
      <x:c r="H26" s="3945"/>
      <x:c r="I26" s="3945"/>
    </x:row>
    <x:row r="27" ht="52" customHeight="1">
      <x:c r="A27" s="3947" t="str">
        <x:v>ACTIVA</x:v>
      </x:c>
      <x:c r="B27" s="3947" t="str">
        <x:v>CANCELADA</x:v>
      </x:c>
      <x:c r="C27" s="3947" t="str">
        <x:v>Cancelar si ya existen ejecuciones iniciadas</x:v>
      </x:c>
      <x:c r="D27" s="3947" t="str">
        <x:v>Resolver asignaciones/directivas; no borrar materialización real.</x:v>
      </x:c>
      <x:c r="E27" s="3945"/>
      <x:c r="F27" s="3945"/>
      <x:c r="G27" s="3945"/>
      <x:c r="H27" s="3945"/>
      <x:c r="I27" s="3945"/>
    </x:row>
    <x:row r="28">
      <x:c r="A28" s="3945"/>
      <x:c r="B28" s="3945"/>
      <x:c r="C28" s="3945"/>
      <x:c r="D28" s="3945"/>
      <x:c r="E28" s="3945"/>
      <x:c r="F28" s="3945"/>
      <x:c r="G28" s="3945"/>
      <x:c r="H28" s="3945"/>
      <x:c r="I28" s="3945"/>
    </x:row>
    <x:row r="29">
      <x:c r="A29" s="3945"/>
      <x:c r="B29" s="3945"/>
      <x:c r="C29" s="3945"/>
      <x:c r="D29" s="3945"/>
      <x:c r="E29" s="3945"/>
      <x:c r="F29" s="3945"/>
      <x:c r="G29" s="3945"/>
      <x:c r="H29" s="3945"/>
      <x:c r="I29" s="3945"/>
    </x:row>
    <x:row r="30">
      <x:c r="A30" s="4222" t="str">
        <x:v>SUBMÁQUINA / DIMENSIÓN PARALELA · PlanificacionVersion</x:v>
      </x:c>
      <x:c r="B30" s="4222"/>
      <x:c r="C30" s="4222"/>
      <x:c r="D30" s="4222"/>
      <x:c r="E30" s="4222"/>
      <x:c r="F30" s="4222"/>
      <x:c r="G30" s="4222"/>
      <x:c r="H30" s="4222"/>
      <x:c r="I30" s="4222"/>
    </x:row>
    <x:row r="31">
      <x:c r="A31" s="4223" t="str">
        <x:v>BORRADOR → EN_VALIDACION → APROBADA → SUPERSEDIDA. Alternativa: EN_VALIDACION → RECHAZADA. Una APROBADA no se edita.</x:v>
      </x:c>
      <x:c r="B31" s="4223"/>
      <x:c r="C31" s="4223"/>
      <x:c r="D31" s="4223"/>
      <x:c r="E31" s="4223"/>
      <x:c r="F31" s="4223"/>
      <x:c r="G31" s="4223"/>
      <x:c r="H31" s="4223"/>
      <x:c r="I31" s="4223"/>
    </x:row>
    <x:row r="32">
      <x:c r="A32" s="4223"/>
      <x:c r="B32" s="4223"/>
      <x:c r="C32" s="4223"/>
      <x:c r="D32" s="4223"/>
      <x:c r="E32" s="4223"/>
      <x:c r="F32" s="4223"/>
      <x:c r="G32" s="4223"/>
      <x:c r="H32" s="4223"/>
      <x:c r="I32" s="4223"/>
    </x:row>
    <x:row r="33">
      <x:c r="A33" s="4223"/>
      <x:c r="B33" s="4223"/>
      <x:c r="C33" s="4223"/>
      <x:c r="D33" s="4223"/>
      <x:c r="E33" s="4223"/>
      <x:c r="F33" s="4223"/>
      <x:c r="G33" s="4223"/>
      <x:c r="H33" s="4223"/>
      <x:c r="I33" s="4223"/>
    </x:row>
    <x:row r="34">
      <x:c r="A34" s="3945"/>
      <x:c r="B34" s="3945"/>
      <x:c r="C34" s="3945"/>
      <x:c r="D34" s="3945"/>
      <x:c r="E34" s="3945"/>
      <x:c r="F34" s="3945"/>
      <x:c r="G34" s="3945"/>
      <x:c r="H34" s="3945"/>
      <x:c r="I34" s="3945"/>
    </x:row>
    <x:row r="35">
      <x:c r="A35" s="4215" t="str">
        <x:v>PLANIFICACIÓN · AsignacionPlanificada</x:v>
      </x:c>
      <x:c r="B35" s="4215"/>
      <x:c r="C35" s="4215"/>
      <x:c r="D35" s="4215"/>
      <x:c r="E35" s="4215"/>
      <x:c r="F35" s="4215"/>
      <x:c r="G35" s="4215"/>
      <x:c r="H35" s="4215"/>
      <x:c r="I35" s="4215"/>
    </x:row>
    <x:row r="36">
      <x:c r="A36" s="4216" t="str">
        <x:v>Representa trabajo despachable previsto. Su estado nunca debe confundirse con el estado de Parte/UE real.</x:v>
      </x:c>
      <x:c r="B36" s="4216"/>
      <x:c r="C36" s="4216"/>
      <x:c r="D36" s="4216"/>
      <x:c r="E36" s="4216"/>
      <x:c r="F36" s="4216"/>
      <x:c r="G36" s="4216"/>
      <x:c r="H36" s="4216"/>
      <x:c r="I36" s="4216"/>
    </x:row>
    <x:row r="37">
      <x:c r="A37" s="4216"/>
      <x:c r="B37" s="4216"/>
      <x:c r="C37" s="4216"/>
      <x:c r="D37" s="4216"/>
      <x:c r="E37" s="4216"/>
      <x:c r="F37" s="4216"/>
      <x:c r="G37" s="4216"/>
      <x:c r="H37" s="4216"/>
      <x:c r="I37" s="4216"/>
    </x:row>
    <x:row r="38">
      <x:c r="A38" s="3945"/>
      <x:c r="B38" s="3945"/>
      <x:c r="C38" s="3945"/>
      <x:c r="D38" s="3945"/>
      <x:c r="E38" s="3945"/>
      <x:c r="F38" s="3945"/>
      <x:c r="G38" s="3945"/>
      <x:c r="H38" s="3945"/>
      <x:c r="I38" s="3945"/>
    </x:row>
    <x:row r="39">
      <x:c r="A39" s="4217" t="str">
        <x:v>Estado</x:v>
      </x:c>
      <x:c r="B39" s="4217" t="str">
        <x:v>Tipo</x:v>
      </x:c>
      <x:c r="C39" s="4217" t="str">
        <x:v>Semántica</x:v>
      </x:c>
      <x:c r="D39" s="4217" t="str">
        <x:v>Terminal</x:v>
      </x:c>
      <x:c r="E39" s="3945"/>
      <x:c r="F39" s="3945"/>
      <x:c r="G39" s="3945"/>
      <x:c r="H39" s="3945"/>
      <x:c r="I39" s="3945"/>
    </x:row>
    <x:row r="40" ht="44" customHeight="1">
      <x:c r="A40" s="4218" t="str">
        <x:v>PROGRAMADA</x:v>
      </x:c>
      <x:c r="B40" s="3947" t="str">
        <x:v>Inicial aprobada</x:v>
      </x:c>
      <x:c r="C40" s="3947" t="str">
        <x:v>Existe dentro de versión aprobada; aún puede no estar READY.</x:v>
      </x:c>
      <x:c r="D40" s="3947" t="str">
        <x:v>No</x:v>
      </x:c>
      <x:c r="E40" s="3945"/>
      <x:c r="F40" s="3945"/>
      <x:c r="G40" s="3945"/>
      <x:c r="H40" s="3945"/>
      <x:c r="I40" s="3945"/>
    </x:row>
    <x:row r="41" ht="44" customHeight="1">
      <x:c r="A41" s="4218" t="str">
        <x:v>READY</x:v>
      </x:c>
      <x:c r="B41" s="3947" t="str">
        <x:v>Operativa</x:v>
      </x:c>
      <x:c r="C41" s="3947" t="str">
        <x:v>Readiness vigente y gates previos satisfechos.</x:v>
      </x:c>
      <x:c r="D41" s="3947" t="str">
        <x:v>No</x:v>
      </x:c>
      <x:c r="E41" s="3945"/>
      <x:c r="F41" s="3945"/>
      <x:c r="G41" s="3945"/>
      <x:c r="H41" s="3945"/>
      <x:c r="I41" s="3945"/>
    </x:row>
    <x:row r="42" ht="44" customHeight="1">
      <x:c r="A42" s="4218" t="str">
        <x:v>DESPACHADA</x:v>
      </x:c>
      <x:c r="B42" s="3947" t="str">
        <x:v>Operativa</x:v>
      </x:c>
      <x:c r="C42" s="3947" t="str">
        <x:v>Contexto fue entregado a campo/dispositivo.</x:v>
      </x:c>
      <x:c r="D42" s="3947" t="str">
        <x:v>No</x:v>
      </x:c>
      <x:c r="E42" s="3945"/>
      <x:c r="F42" s="3945"/>
      <x:c r="G42" s="3945"/>
      <x:c r="H42" s="3945"/>
      <x:c r="I42" s="3945"/>
    </x:row>
    <x:row r="43" ht="44" customHeight="1">
      <x:c r="A43" s="4214" t="str">
        <x:v>CUMPLIDA</x:v>
      </x:c>
      <x:c r="B43" s="3947" t="str">
        <x:v>Terminal</x:v>
      </x:c>
      <x:c r="C43" s="3947" t="str">
        <x:v>La intención fue materializada y cerrada suficientemente por ejecución real.</x:v>
      </x:c>
      <x:c r="D43" s="4219" t="str">
        <x:v>Sí</x:v>
      </x:c>
      <x:c r="E43" s="3945"/>
      <x:c r="F43" s="3945"/>
      <x:c r="G43" s="3945"/>
      <x:c r="H43" s="3945"/>
      <x:c r="I43" s="3945"/>
    </x:row>
    <x:row r="44" ht="44" customHeight="1">
      <x:c r="A44" s="4214" t="str">
        <x:v>NO_REALIZADA</x:v>
      </x:c>
      <x:c r="B44" s="3947" t="str">
        <x:v>Terminal</x:v>
      </x:c>
      <x:c r="C44" s="3947" t="str">
        <x:v>La asignación venció/cerró sin ejecución efectiva, con causa.</x:v>
      </x:c>
      <x:c r="D44" s="4219" t="str">
        <x:v>Sí</x:v>
      </x:c>
      <x:c r="E44" s="3945"/>
      <x:c r="F44" s="3945"/>
      <x:c r="G44" s="3945"/>
      <x:c r="H44" s="3945"/>
      <x:c r="I44" s="3945"/>
    </x:row>
    <x:row r="45" ht="44" customHeight="1">
      <x:c r="A45" s="4214" t="str">
        <x:v>CANCELADA</x:v>
      </x:c>
      <x:c r="B45" s="3947" t="str">
        <x:v>Terminal</x:v>
      </x:c>
      <x:c r="C45" s="3947" t="str">
        <x:v>Se canceló antes de inicio por decisión operativa.</x:v>
      </x:c>
      <x:c r="D45" s="4219" t="str">
        <x:v>Sí</x:v>
      </x:c>
      <x:c r="E45" s="3945"/>
      <x:c r="F45" s="3945"/>
      <x:c r="G45" s="3945"/>
      <x:c r="H45" s="3945"/>
      <x:c r="I45" s="3945"/>
    </x:row>
    <x:row r="46" ht="44" customHeight="1">
      <x:c r="A46" s="4214" t="str">
        <x:v>SUPERSEDIDA</x:v>
      </x:c>
      <x:c r="B46" s="3947" t="str">
        <x:v>Terminal versión</x:v>
      </x:c>
      <x:c r="C46" s="3947" t="str">
        <x:v>Nueva PlanificacionVersion reemplazó esta asignación.</x:v>
      </x:c>
      <x:c r="D46" s="4219" t="str">
        <x:v>Sí</x:v>
      </x:c>
      <x:c r="E46" s="3945"/>
      <x:c r="F46" s="3945"/>
      <x:c r="G46" s="3945"/>
      <x:c r="H46" s="3945"/>
      <x:c r="I46" s="3945"/>
    </x:row>
    <x:row r="47">
      <x:c r="A47" s="3945"/>
      <x:c r="B47" s="3945"/>
      <x:c r="C47" s="3945"/>
      <x:c r="D47" s="3945"/>
      <x:c r="E47" s="3945"/>
      <x:c r="F47" s="3945"/>
      <x:c r="G47" s="3945"/>
      <x:c r="H47" s="3945"/>
      <x:c r="I47" s="3945"/>
    </x:row>
    <x:row r="48">
      <x:c r="A48" s="3945"/>
      <x:c r="B48" s="3945"/>
      <x:c r="C48" s="3945"/>
      <x:c r="D48" s="3945"/>
      <x:c r="E48" s="3945"/>
      <x:c r="F48" s="3945"/>
      <x:c r="G48" s="3945"/>
      <x:c r="H48" s="3945"/>
      <x:c r="I48" s="3945"/>
    </x:row>
    <x:row r="49">
      <x:c r="A49" s="4220" t="str">
        <x:v>ID</x:v>
      </x:c>
      <x:c r="B49" s="4220" t="str">
        <x:v>Desde</x:v>
      </x:c>
      <x:c r="C49" s="4220" t="str">
        <x:v>Evento</x:v>
      </x:c>
      <x:c r="D49" s="4220" t="str">
        <x:v>Hacia</x:v>
      </x:c>
      <x:c r="E49" s="4220" t="str">
        <x:v>Gate / condición</x:v>
      </x:c>
      <x:c r="F49" s="4220" t="str">
        <x:v>Actor</x:v>
      </x:c>
      <x:c r="G49" s="4220" t="str">
        <x:v>Efecto</x:v>
      </x:c>
      <x:c r="H49" s="4220" t="str">
        <x:v>Tipo</x:v>
      </x:c>
      <x:c r="I49" s="4220" t="str">
        <x:v>Nota</x:v>
      </x:c>
    </x:row>
    <x:row r="50" ht="58" customHeight="1">
      <x:c r="A50" s="3947" t="str">
        <x:v>T-A01</x:v>
      </x:c>
      <x:c r="B50" s="3947" t="str">
        <x:v>—</x:v>
      </x:c>
      <x:c r="C50" s="3947" t="str">
        <x:v>APROBAR_VERSION</x:v>
      </x:c>
      <x:c r="D50" s="3947" t="str">
        <x:v>PROGRAMADA</x:v>
      </x:c>
      <x:c r="E50" s="3947" t="str">
        <x:v>Asignación incluida en PlanificacionVersion aprobada</x:v>
      </x:c>
      <x:c r="F50" s="3947" t="str">
        <x:v>Planificación</x:v>
      </x:c>
      <x:c r="G50" s="3947" t="str">
        <x:v>Crear asignación vigente.</x:v>
      </x:c>
      <x:c r="H50" s="4218" t="str">
        <x:v>PERMITIDA</x:v>
      </x:c>
      <x:c r="I50" s="3947" t="str"/>
    </x:row>
    <x:row r="51" ht="58" customHeight="1">
      <x:c r="A51" s="3947" t="str">
        <x:v>T-A02</x:v>
      </x:c>
      <x:c r="B51" s="3947" t="str">
        <x:v>PROGRAMADA</x:v>
      </x:c>
      <x:c r="C51" s="3947" t="str">
        <x:v>READINESS_OK</x:v>
      </x:c>
      <x:c r="D51" s="3947" t="str">
        <x:v>READY</x:v>
      </x:c>
      <x:c r="E51" s="3947" t="str">
        <x:v>EvaluacionPlanificacion vigente = READY</x:v>
      </x:c>
      <x:c r="F51" s="3947" t="str">
        <x:v>Sistema</x:v>
      </x:c>
      <x:c r="G51" s="3947" t="str">
        <x:v>Habilitar despacho.</x:v>
      </x:c>
      <x:c r="H51" s="4218" t="str">
        <x:v>PERMITIDA</x:v>
      </x:c>
      <x:c r="I51" s="3947" t="str"/>
    </x:row>
    <x:row r="52" ht="58" customHeight="1">
      <x:c r="A52" s="3947" t="str">
        <x:v>T-A03</x:v>
      </x:c>
      <x:c r="B52" s="3947" t="str">
        <x:v>READY</x:v>
      </x:c>
      <x:c r="C52" s="3947" t="str">
        <x:v>INVALIDAR_READINESS</x:v>
      </x:c>
      <x:c r="D52" s="3947" t="str">
        <x:v>PROGRAMADA</x:v>
      </x:c>
      <x:c r="E52" s="3947" t="str">
        <x:v>EventoInvalidacionReadiness</x:v>
      </x:c>
      <x:c r="F52" s="3947" t="str">
        <x:v>Sistema</x:v>
      </x:c>
      <x:c r="G52" s="3947" t="str">
        <x:v>Volver a requerir evaluación.</x:v>
      </x:c>
      <x:c r="H52" s="4218" t="str">
        <x:v>PERMITIDA</x:v>
      </x:c>
      <x:c r="I52" s="3947" t="str"/>
    </x:row>
    <x:row r="53" ht="58" customHeight="1">
      <x:c r="A53" s="3947" t="str">
        <x:v>T-A04</x:v>
      </x:c>
      <x:c r="B53" s="3947" t="str">
        <x:v>READY</x:v>
      </x:c>
      <x:c r="C53" s="3947" t="str">
        <x:v>DESPACHAR</x:v>
      </x:c>
      <x:c r="D53" s="3947" t="str">
        <x:v>DESPACHADA</x:v>
      </x:c>
      <x:c r="E53" s="3947" t="str">
        <x:v>ExecutionContextBundle/contexto emitido</x:v>
      </x:c>
      <x:c r="F53" s="3947" t="str">
        <x:v>Planificación</x:v>
      </x:c>
      <x:c r="G53" s="3947" t="str">
        <x:v>Entregar intención a campo.</x:v>
      </x:c>
      <x:c r="H53" s="4218" t="str">
        <x:v>PERMITIDA</x:v>
      </x:c>
      <x:c r="I53" s="3947" t="str"/>
    </x:row>
    <x:row r="54" ht="58" customHeight="1">
      <x:c r="A54" s="3947" t="str">
        <x:v>T-A05</x:v>
      </x:c>
      <x:c r="B54" s="3947" t="str">
        <x:v>DESPACHADA</x:v>
      </x:c>
      <x:c r="C54" s="3947" t="str">
        <x:v>MATERIALIZAR_EJECUCION</x:v>
      </x:c>
      <x:c r="D54" s="3947" t="str">
        <x:v>DESPACHADA</x:v>
      </x:c>
      <x:c r="E54" s="3947" t="str">
        <x:v>Crear VinculoPlanEjecucion; el estado real vive en Parte/UE</x:v>
      </x:c>
      <x:c r="F54" s="3947" t="str">
        <x:v>Sistema</x:v>
      </x:c>
      <x:c r="G54" s="3947" t="str">
        <x:v>No duplicar EN_EJECUCION aquí.</x:v>
      </x:c>
      <x:c r="H54" s="4218" t="str">
        <x:v>PERMITIDA</x:v>
      </x:c>
      <x:c r="I54" s="3947" t="str"/>
    </x:row>
    <x:row r="55" ht="58" customHeight="1">
      <x:c r="A55" s="3947" t="str">
        <x:v>T-A06</x:v>
      </x:c>
      <x:c r="B55" s="3947" t="str">
        <x:v>DESPACHADA</x:v>
      </x:c>
      <x:c r="C55" s="3947" t="str">
        <x:v>EJECUCION_CERRADA_CUMPLE</x:v>
      </x:c>
      <x:c r="D55" s="3947" t="str">
        <x:v>CUMPLIDA</x:v>
      </x:c>
      <x:c r="E55" s="3947" t="str">
        <x:v>Vínculo real satisface alcance según regla</x:v>
      </x:c>
      <x:c r="F55" s="3947" t="str">
        <x:v>Sistema/Planificación</x:v>
      </x:c>
      <x:c r="G55" s="3947" t="str">
        <x:v>Cerrar intención como cumplida.</x:v>
      </x:c>
      <x:c r="H55" s="4218" t="str">
        <x:v>PERMITIDA</x:v>
      </x:c>
      <x:c r="I55" s="3947" t="str"/>
    </x:row>
    <x:row r="56" ht="58" customHeight="1">
      <x:c r="A56" s="3947" t="str">
        <x:v>T-A07</x:v>
      </x:c>
      <x:c r="B56" s="3947" t="str">
        <x:v>PROGRAMADA/READY/DESPACHADA</x:v>
      </x:c>
      <x:c r="C56" s="3947" t="str">
        <x:v>CERRAR_NO_REALIZADA</x:v>
      </x:c>
      <x:c r="D56" s="3947" t="str">
        <x:v>NO_REALIZADA</x:v>
      </x:c>
      <x:c r="E56" s="3947" t="str">
        <x:v>Causa estructurada; no existe ejecución efectiva que la cumpla</x:v>
      </x:c>
      <x:c r="F56" s="3947" t="str">
        <x:v>Planificación</x:v>
      </x:c>
      <x:c r="G56" s="3947" t="str">
        <x:v>Preservar desvío previsto vs real.</x:v>
      </x:c>
      <x:c r="H56" s="4218" t="str">
        <x:v>PERMITIDA</x:v>
      </x:c>
      <x:c r="I56" s="3947" t="str"/>
    </x:row>
    <x:row r="57" ht="58" customHeight="1">
      <x:c r="A57" s="3947" t="str">
        <x:v>T-A08</x:v>
      </x:c>
      <x:c r="B57" s="3947" t="str">
        <x:v>PROGRAMADA/READY</x:v>
      </x:c>
      <x:c r="C57" s="3947" t="str">
        <x:v>CANCELAR</x:v>
      </x:c>
      <x:c r="D57" s="3947" t="str">
        <x:v>CANCELADA</x:v>
      </x:c>
      <x:c r="E57" s="3947" t="str">
        <x:v>Directiva/decisión antes de Start Work</x:v>
      </x:c>
      <x:c r="F57" s="3947" t="str">
        <x:v>Planificación</x:v>
      </x:c>
      <x:c r="G57" s="3947" t="str">
        <x:v>Cancelar intención.</x:v>
      </x:c>
      <x:c r="H57" s="4218" t="str">
        <x:v>PERMITIDA</x:v>
      </x:c>
      <x:c r="I57" s="3947" t="str"/>
    </x:row>
    <x:row r="58" ht="58" customHeight="1">
      <x:c r="A58" s="3947" t="str">
        <x:v>T-A09</x:v>
      </x:c>
      <x:c r="B58" s="3947" t="str">
        <x:v>PROGRAMADA/READY/DESPACHADA</x:v>
      </x:c>
      <x:c r="C58" s="3947" t="str">
        <x:v>SUPERSEDER</x:v>
      </x:c>
      <x:c r="D58" s="3947" t="str">
        <x:v>SUPERSEDIDA</x:v>
      </x:c>
      <x:c r="E58" s="3947" t="str">
        <x:v>Nueva PlanificacionVersion reemplaza asignación</x:v>
      </x:c>
      <x:c r="F58" s="3947" t="str">
        <x:v>Sistema</x:v>
      </x:c>
      <x:c r="G58" s="3947" t="str">
        <x:v>Versionar, no editar.</x:v>
      </x:c>
      <x:c r="H58" s="4218" t="str">
        <x:v>PERMITIDA</x:v>
      </x:c>
      <x:c r="I58" s="3947" t="str"/>
    </x:row>
    <x:row r="59">
      <x:c r="A59" s="3945"/>
      <x:c r="B59" s="3945"/>
      <x:c r="C59" s="3945"/>
      <x:c r="D59" s="3945"/>
      <x:c r="E59" s="3945"/>
      <x:c r="F59" s="3945"/>
      <x:c r="G59" s="3945"/>
      <x:c r="H59" s="3945"/>
      <x:c r="I59" s="3945"/>
    </x:row>
    <x:row r="60">
      <x:c r="A60" s="3945"/>
      <x:c r="B60" s="3945"/>
      <x:c r="C60" s="3945"/>
      <x:c r="D60" s="3945"/>
      <x:c r="E60" s="3945"/>
      <x:c r="F60" s="3945"/>
      <x:c r="G60" s="3945"/>
      <x:c r="H60" s="3945"/>
      <x:c r="I60" s="3945"/>
    </x:row>
    <x:row r="61">
      <x:c r="A61" s="4221" t="str">
        <x:v>Desde</x:v>
      </x:c>
      <x:c r="B61" s="4221" t="str">
        <x:v>Hacia</x:v>
      </x:c>
      <x:c r="C61" s="4221" t="str">
        <x:v>Transición prohibida</x:v>
      </x:c>
      <x:c r="D61" s="4221" t="str">
        <x:v>Qué hacer en cambio</x:v>
      </x:c>
      <x:c r="E61" s="3945"/>
      <x:c r="F61" s="3945"/>
      <x:c r="G61" s="3945"/>
      <x:c r="H61" s="3945"/>
      <x:c r="I61" s="3945"/>
    </x:row>
    <x:row r="62" ht="52" customHeight="1">
      <x:c r="A62" s="3947" t="str">
        <x:v>DESPACHADA</x:v>
      </x:c>
      <x:c r="B62" s="3947" t="str">
        <x:v>READY</x:v>
      </x:c>
      <x:c r="C62" s="3947" t="str">
        <x:v>Deshacer despacho borrando historia</x:v>
      </x:c>
      <x:c r="D62" s="3947" t="str">
        <x:v>Emitir nueva versión/directiva; el despacho original queda trazado.</x:v>
      </x:c>
      <x:c r="E62" s="3945"/>
      <x:c r="F62" s="3945"/>
      <x:c r="G62" s="3945"/>
      <x:c r="H62" s="3945"/>
      <x:c r="I62" s="3945"/>
    </x:row>
    <x:row r="63" ht="52" customHeight="1">
      <x:c r="A63" s="3947" t="str">
        <x:v>CUMPLIDA</x:v>
      </x:c>
      <x:c r="B63" s="3947" t="str">
        <x:v>PROGRAMADA</x:v>
      </x:c>
      <x:c r="C63" s="3947" t="str">
        <x:v>Reabrir asignación cumplida</x:v>
      </x:c>
      <x:c r="D63" s="3947" t="str">
        <x:v>Nueva asignación/versión.</x:v>
      </x:c>
      <x:c r="E63" s="3945"/>
      <x:c r="F63" s="3945"/>
      <x:c r="G63" s="3945"/>
      <x:c r="H63" s="3945"/>
      <x:c r="I63" s="3945"/>
    </x:row>
    <x:row r="64" ht="52" customHeight="1">
      <x:c r="A64" s="3947" t="str">
        <x:v>CANCELADA</x:v>
      </x:c>
      <x:c r="B64" s="3947" t="str">
        <x:v>CUMPLIDA</x:v>
      </x:c>
      <x:c r="C64" s="3947" t="str">
        <x:v>Marcar cancelada como cumplida sin ejecución</x:v>
      </x:c>
      <x:c r="D64" s="3947" t="str">
        <x:v>Solo mediante nueva evidencia y revisión explícita.</x:v>
      </x:c>
      <x:c r="E64" s="3945"/>
      <x:c r="F64" s="3945"/>
      <x:c r="G64" s="3945"/>
      <x:c r="H64" s="3945"/>
      <x:c r="I64" s="3945"/>
    </x:row>
    <x:row r="65">
      <x:c r="A65" s="3945"/>
      <x:c r="B65" s="3945"/>
      <x:c r="C65" s="3945"/>
      <x:c r="D65" s="3945"/>
      <x:c r="E65" s="3945"/>
      <x:c r="F65" s="3945"/>
      <x:c r="G65" s="3945"/>
      <x:c r="H65" s="3945"/>
      <x:c r="I65" s="3945"/>
    </x:row>
    <x:row r="66">
      <x:c r="A66" s="3945"/>
      <x:c r="B66" s="3945"/>
      <x:c r="C66" s="3945"/>
      <x:c r="D66" s="3945"/>
      <x:c r="E66" s="3945"/>
      <x:c r="F66" s="3945"/>
      <x:c r="G66" s="3945"/>
      <x:c r="H66" s="3945"/>
      <x:c r="I66" s="3945"/>
    </x:row>
    <x:row r="67">
      <x:c r="A67" s="3945"/>
      <x:c r="B67" s="3945"/>
      <x:c r="C67" s="3945"/>
      <x:c r="D67" s="3945"/>
      <x:c r="E67" s="3945"/>
      <x:c r="F67" s="3945"/>
      <x:c r="G67" s="3945"/>
      <x:c r="H67" s="3945"/>
      <x:c r="I67" s="3945"/>
    </x:row>
  </x:sheetData>
  <x:mergeCells>
    <x:mergeCell ref="A1:I1"/>
    <x:mergeCell ref="A2:I2"/>
    <x:mergeCell ref="A4:I4"/>
    <x:mergeCell ref="A5:I6"/>
    <x:mergeCell ref="A30:I30"/>
    <x:mergeCell ref="A31:I33"/>
    <x:mergeCell ref="A35:I35"/>
    <x:mergeCell ref="A36:I37"/>
  </x:mergeCells>
  <x:pageMargins left="0.7" right="0.7" top="0.75" bottom="0.75" header="0.3" footer="0.3"/>
</x:worksheet>
</file>

<file path=xl/worksheets/sheet52.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27" hidden="0" customWidth="1"/>
    <x:col min="5" max="5" width="42" hidden="0" customWidth="1"/>
    <x:col min="6" max="6" width="30" hidden="0" customWidth="1"/>
    <x:col min="7" max="7" width="30" hidden="0" customWidth="1"/>
    <x:col min="8" max="8" width="16" hidden="0" customWidth="1"/>
    <x:col min="9" max="9" width="36" hidden="0" customWidth="1"/>
  </x:cols>
  <x:sheetData>
    <x:row r="1">
      <x:c r="A1" s="4213" t="str">
        <x:v>STATE MACHINES · EJECUCIÓN</x:v>
      </x:c>
      <x:c r="B1" s="4213"/>
      <x:c r="C1" s="4213"/>
      <x:c r="D1" s="4213"/>
      <x:c r="E1" s="4213"/>
      <x:c r="F1" s="4213"/>
      <x:c r="G1" s="4213"/>
      <x:c r="H1" s="4213"/>
      <x:c r="I1" s="4213"/>
    </x:row>
    <x:row r="2">
      <x:c r="A2" s="4214" t="str">
        <x:v>Las transiciones describen comportamiento funcional. El modelo físico podrá implementar constraints, eventos o workflows, pero no cambiar su semántica sin reabrir la baseline.</x:v>
      </x:c>
      <x:c r="B2" s="4214"/>
      <x:c r="C2" s="4214"/>
      <x:c r="D2" s="4214"/>
      <x:c r="E2" s="4214"/>
      <x:c r="F2" s="4214"/>
      <x:c r="G2" s="4214"/>
      <x:c r="H2" s="4214"/>
      <x:c r="I2" s="4214"/>
    </x:row>
    <x:row r="3">
      <x:c r="A3" s="3945"/>
      <x:c r="B3" s="3945"/>
      <x:c r="C3" s="3945"/>
      <x:c r="D3" s="3945"/>
      <x:c r="E3" s="3945"/>
      <x:c r="F3" s="3945"/>
      <x:c r="G3" s="3945"/>
      <x:c r="H3" s="3945"/>
      <x:c r="I3" s="3945"/>
    </x:row>
    <x:row r="4">
      <x:c r="A4" s="4215" t="str">
        <x:v>EJECUCIÓN · Parte</x:v>
      </x:c>
      <x:c r="B4" s="4215"/>
      <x:c r="C4" s="4215"/>
      <x:c r="D4" s="4215"/>
      <x:c r="E4" s="4215"/>
      <x:c r="F4" s="4215"/>
      <x:c r="G4" s="4215"/>
      <x:c r="H4" s="4215"/>
      <x:c r="I4" s="4215"/>
    </x:row>
    <x:row r="5">
      <x:c r="A5" s="4216" t="str">
        <x:v>Contenedor operativo resuelto por TipoParte. Cierre operativo ≠ completitud documental ≠ certificación.</x:v>
      </x:c>
      <x:c r="B5" s="4216"/>
      <x:c r="C5" s="4216"/>
      <x:c r="D5" s="4216"/>
      <x:c r="E5" s="4216"/>
      <x:c r="F5" s="4216"/>
      <x:c r="G5" s="4216"/>
      <x:c r="H5" s="4216"/>
      <x:c r="I5" s="4216"/>
    </x:row>
    <x:row r="6">
      <x:c r="A6" s="4216"/>
      <x:c r="B6" s="4216"/>
      <x:c r="C6" s="4216"/>
      <x:c r="D6" s="4216"/>
      <x:c r="E6" s="4216"/>
      <x:c r="F6" s="4216"/>
      <x:c r="G6" s="4216"/>
      <x:c r="H6" s="4216"/>
      <x:c r="I6" s="4216"/>
    </x:row>
    <x:row r="7">
      <x:c r="A7" s="3945"/>
      <x:c r="B7" s="3945"/>
      <x:c r="C7" s="3945"/>
      <x:c r="D7" s="3945"/>
      <x:c r="E7" s="3945"/>
      <x:c r="F7" s="3945"/>
      <x:c r="G7" s="3945"/>
      <x:c r="H7" s="3945"/>
      <x:c r="I7" s="3945"/>
    </x:row>
    <x:row r="8">
      <x:c r="A8" s="4217" t="str">
        <x:v>Estado</x:v>
      </x:c>
      <x:c r="B8" s="4217" t="str">
        <x:v>Tipo</x:v>
      </x:c>
      <x:c r="C8" s="4217" t="str">
        <x:v>Semántica</x:v>
      </x:c>
      <x:c r="D8" s="4217" t="str">
        <x:v>Terminal</x:v>
      </x:c>
      <x:c r="E8" s="3945"/>
      <x:c r="F8" s="3945"/>
      <x:c r="G8" s="3945"/>
      <x:c r="H8" s="3945"/>
      <x:c r="I8" s="3945"/>
    </x:row>
    <x:row r="9" ht="44" customHeight="1">
      <x:c r="A9" s="4218" t="str">
        <x:v>PREPARADO</x:v>
      </x:c>
      <x:c r="B9" s="3947" t="str">
        <x:v>Inicial</x:v>
      </x:c>
      <x:c r="C9" s="3947" t="str">
        <x:v>Identidad resuelta; aún no inició ejecución.</x:v>
      </x:c>
      <x:c r="D9" s="3947" t="str">
        <x:v>No</x:v>
      </x:c>
      <x:c r="E9" s="3945"/>
      <x:c r="F9" s="3945"/>
      <x:c r="G9" s="3945"/>
      <x:c r="H9" s="3945"/>
      <x:c r="I9" s="3945"/>
    </x:row>
    <x:row r="10" ht="44" customHeight="1">
      <x:c r="A10" s="4218" t="str">
        <x:v>EN_EJECUCION</x:v>
      </x:c>
      <x:c r="B10" s="3947" t="str">
        <x:v>Operativa</x:v>
      </x:c>
      <x:c r="C10" s="3947" t="str">
        <x:v>Al menos una UE está en ejecución.</x:v>
      </x:c>
      <x:c r="D10" s="3947" t="str">
        <x:v>No</x:v>
      </x:c>
      <x:c r="E10" s="3945"/>
      <x:c r="F10" s="3945"/>
      <x:c r="G10" s="3945"/>
      <x:c r="H10" s="3945"/>
      <x:c r="I10" s="3945"/>
    </x:row>
    <x:row r="11" ht="44" customHeight="1">
      <x:c r="A11" s="4218" t="str">
        <x:v>SUSPENDIDO</x:v>
      </x:c>
      <x:c r="B11" s="3947" t="str">
        <x:v>Operativa</x:v>
      </x:c>
      <x:c r="C11" s="3947" t="str">
        <x:v>La ejecución del Parte está detenida temporalmente por control/operación/Habilita.</x:v>
      </x:c>
      <x:c r="D11" s="3947" t="str">
        <x:v>No</x:v>
      </x:c>
      <x:c r="E11" s="3945"/>
      <x:c r="F11" s="3945"/>
      <x:c r="G11" s="3945"/>
      <x:c r="H11" s="3945"/>
      <x:c r="I11" s="3945"/>
    </x:row>
    <x:row r="12" ht="44" customHeight="1">
      <x:c r="A12" s="4214" t="str">
        <x:v>CERRADO_OPERATIVAMENTE</x:v>
      </x:c>
      <x:c r="B12" s="3947" t="str">
        <x:v>Terminal operacional</x:v>
      </x:c>
      <x:c r="C12" s="3947" t="str">
        <x:v>Todas las UE terminales y no queda trabajo activo.</x:v>
      </x:c>
      <x:c r="D12" s="4219" t="str">
        <x:v>Sí operacional</x:v>
      </x:c>
      <x:c r="E12" s="3945"/>
      <x:c r="F12" s="3945"/>
      <x:c r="G12" s="3945"/>
      <x:c r="H12" s="3945"/>
      <x:c r="I12" s="3945"/>
    </x:row>
    <x:row r="13" ht="44" customHeight="1">
      <x:c r="A13" s="4214" t="str">
        <x:v>ANULADO</x:v>
      </x:c>
      <x:c r="B13" s="3947" t="str">
        <x:v>Terminal</x:v>
      </x:c>
      <x:c r="C13" s="3947" t="str">
        <x:v>Parte creado por error/duplicado antes de ejecución real.</x:v>
      </x:c>
      <x:c r="D13" s="4219" t="str">
        <x:v>Sí</x:v>
      </x:c>
      <x:c r="E13" s="3945"/>
      <x:c r="F13" s="3945"/>
      <x:c r="G13" s="3945"/>
      <x:c r="H13" s="3945"/>
      <x:c r="I13" s="3945"/>
    </x:row>
    <x:row r="14">
      <x:c r="A14" s="3945"/>
      <x:c r="B14" s="3945"/>
      <x:c r="C14" s="3945"/>
      <x:c r="D14" s="3945"/>
      <x:c r="E14" s="3945"/>
      <x:c r="F14" s="3945"/>
      <x:c r="G14" s="3945"/>
      <x:c r="H14" s="3945"/>
      <x:c r="I14" s="3945"/>
    </x:row>
    <x:row r="15">
      <x:c r="A15" s="3945"/>
      <x:c r="B15" s="3945"/>
      <x:c r="C15" s="3945"/>
      <x:c r="D15" s="3945"/>
      <x:c r="E15" s="3945"/>
      <x:c r="F15" s="3945"/>
      <x:c r="G15" s="3945"/>
      <x:c r="H15" s="3945"/>
      <x:c r="I15" s="3945"/>
    </x:row>
    <x:row r="16">
      <x:c r="A16" s="4220" t="str">
        <x:v>ID</x:v>
      </x:c>
      <x:c r="B16" s="4220" t="str">
        <x:v>Desde</x:v>
      </x:c>
      <x:c r="C16" s="4220" t="str">
        <x:v>Evento</x:v>
      </x:c>
      <x:c r="D16" s="4220" t="str">
        <x:v>Hacia</x:v>
      </x:c>
      <x:c r="E16" s="4220" t="str">
        <x:v>Gate / condición</x:v>
      </x:c>
      <x:c r="F16" s="4220" t="str">
        <x:v>Actor</x:v>
      </x:c>
      <x:c r="G16" s="4220" t="str">
        <x:v>Efecto</x:v>
      </x:c>
      <x:c r="H16" s="4220" t="str">
        <x:v>Tipo</x:v>
      </x:c>
      <x:c r="I16" s="4220" t="str">
        <x:v>Nota</x:v>
      </x:c>
    </x:row>
    <x:row r="17" ht="58" customHeight="1">
      <x:c r="A17" s="3947" t="str">
        <x:v>T-PA01</x:v>
      </x:c>
      <x:c r="B17" s="3947" t="str">
        <x:v>—</x:v>
      </x:c>
      <x:c r="C17" s="3947" t="str">
        <x:v>CREAR_PARTE</x:v>
      </x:c>
      <x:c r="D17" s="3947" t="str">
        <x:v>PREPARADO</x:v>
      </x:c>
      <x:c r="E17" s="3947" t="str">
        <x:v>TipoParte resuelto + contexto mínimo</x:v>
      </x:c>
      <x:c r="F17" s="3947" t="str">
        <x:v>Motor/Sistema</x:v>
      </x:c>
      <x:c r="G17" s="3947" t="str">
        <x:v>Crear Parte sin pedir selector manual.</x:v>
      </x:c>
      <x:c r="H17" s="4218" t="str">
        <x:v>PERMITIDA</x:v>
      </x:c>
      <x:c r="I17" s="3947" t="str"/>
    </x:row>
    <x:row r="18" ht="58" customHeight="1">
      <x:c r="A18" s="3947" t="str">
        <x:v>T-PA02</x:v>
      </x:c>
      <x:c r="B18" s="3947" t="str">
        <x:v>PREPARADO</x:v>
      </x:c>
      <x:c r="C18" s="3947" t="str">
        <x:v>START_WORK</x:v>
      </x:c>
      <x:c r="D18" s="3947" t="str">
        <x:v>EN_EJECUCION</x:v>
      </x:c>
      <x:c r="E18" s="3947" t="str">
        <x:v>Gates Habilita/PTW/documental aplicables satisfechos + UE iniciable</x:v>
      </x:c>
      <x:c r="F18" s="3947" t="str">
        <x:v>Campo/Sistema</x:v>
      </x:c>
      <x:c r="G18" s="3947" t="str">
        <x:v>Comenzar realidad.</x:v>
      </x:c>
      <x:c r="H18" s="4218" t="str">
        <x:v>PERMITIDA</x:v>
      </x:c>
      <x:c r="I18" s="3947" t="str"/>
    </x:row>
    <x:row r="19" ht="58" customHeight="1">
      <x:c r="A19" s="3947" t="str">
        <x:v>T-PA03</x:v>
      </x:c>
      <x:c r="B19" s="3947" t="str">
        <x:v>EN_EJECUCION</x:v>
      </x:c>
      <x:c r="C19" s="3947" t="str">
        <x:v>SUSPENDER</x:v>
      </x:c>
      <x:c r="D19" s="3947" t="str">
        <x:v>SUSPENDIDO</x:v>
      </x:c>
      <x:c r="E19" s="3947" t="str">
        <x:v>DirectivaOperativa/PTW/Habilita/causa operacional</x:v>
      </x:c>
      <x:c r="F19" s="3947" t="str">
        <x:v>Sistema</x:v>
      </x:c>
      <x:c r="G19" s="3947" t="str">
        <x:v>Detener ejecución sin cerrar.</x:v>
      </x:c>
      <x:c r="H19" s="4218" t="str">
        <x:v>PERMITIDA</x:v>
      </x:c>
      <x:c r="I19" s="3947" t="str"/>
    </x:row>
    <x:row r="20" ht="58" customHeight="1">
      <x:c r="A20" s="3947" t="str">
        <x:v>T-PA04</x:v>
      </x:c>
      <x:c r="B20" s="3947" t="str">
        <x:v>SUSPENDIDO</x:v>
      </x:c>
      <x:c r="C20" s="3947" t="str">
        <x:v>REANUDAR</x:v>
      </x:c>
      <x:c r="D20" s="3947" t="str">
        <x:v>EN_EJECUCION</x:v>
      </x:c>
      <x:c r="E20" s="3947" t="str">
        <x:v>Gates de reinicio satisfechos</x:v>
      </x:c>
      <x:c r="F20" s="3947" t="str">
        <x:v>Campo/Supervisión</x:v>
      </x:c>
      <x:c r="G20" s="3947" t="str">
        <x:v>Continuar mismo Parte si identidad se conserva.</x:v>
      </x:c>
      <x:c r="H20" s="4218" t="str">
        <x:v>PERMITIDA</x:v>
      </x:c>
      <x:c r="I20" s="3947" t="str"/>
    </x:row>
    <x:row r="21" ht="58" customHeight="1">
      <x:c r="A21" s="3947" t="str">
        <x:v>T-PA05</x:v>
      </x:c>
      <x:c r="B21" s="3947" t="str">
        <x:v>EN_EJECUCION/SUSPENDIDO</x:v>
      </x:c>
      <x:c r="C21" s="3947" t="str">
        <x:v>CERRAR_OPERATIVAMENTE</x:v>
      </x:c>
      <x:c r="D21" s="3947" t="str">
        <x:v>CERRADO_OPERATIVAMENTE</x:v>
      </x:c>
      <x:c r="E21" s="3947" t="str">
        <x:v>Todas las UE terminales + tiempos cerrados + causa de no realizados</x:v>
      </x:c>
      <x:c r="F21" s="3947" t="str">
        <x:v>Supervisor/Sistema</x:v>
      </x:c>
      <x:c r="G21" s="3947" t="str">
        <x:v>Cerrar verdad operacional.</x:v>
      </x:c>
      <x:c r="H21" s="4218" t="str">
        <x:v>PERMITIDA</x:v>
      </x:c>
      <x:c r="I21" s="3947" t="str"/>
    </x:row>
    <x:row r="22" ht="58" customHeight="1">
      <x:c r="A22" s="3947" t="str">
        <x:v>T-PA06</x:v>
      </x:c>
      <x:c r="B22" s="3947" t="str">
        <x:v>PREPARADO</x:v>
      </x:c>
      <x:c r="C22" s="3947" t="str">
        <x:v>ANULAR_DUPLICADO_ERROR</x:v>
      </x:c>
      <x:c r="D22" s="3947" t="str">
        <x:v>ANULADO</x:v>
      </x:c>
      <x:c r="E22" s="3947" t="str">
        <x:v>No hubo Start Work ni evidencia de ejecución real</x:v>
      </x:c>
      <x:c r="F22" s="3947" t="str">
        <x:v>Rol autorizado</x:v>
      </x:c>
      <x:c r="G22" s="3947" t="str">
        <x:v>Eliminar uso, no identidad histórica.</x:v>
      </x:c>
      <x:c r="H22" s="4218" t="str">
        <x:v>PERMITIDA</x:v>
      </x:c>
      <x:c r="I22" s="3947" t="str"/>
    </x:row>
    <x:row r="23">
      <x:c r="A23" s="3945"/>
      <x:c r="B23" s="3945"/>
      <x:c r="C23" s="3945"/>
      <x:c r="D23" s="3945"/>
      <x:c r="E23" s="3945"/>
      <x:c r="F23" s="3945"/>
      <x:c r="G23" s="3945"/>
      <x:c r="H23" s="3945"/>
      <x:c r="I23" s="3945"/>
    </x:row>
    <x:row r="24">
      <x:c r="A24" s="3945"/>
      <x:c r="B24" s="3945"/>
      <x:c r="C24" s="3945"/>
      <x:c r="D24" s="3945"/>
      <x:c r="E24" s="3945"/>
      <x:c r="F24" s="3945"/>
      <x:c r="G24" s="3945"/>
      <x:c r="H24" s="3945"/>
      <x:c r="I24" s="3945"/>
    </x:row>
    <x:row r="25">
      <x:c r="A25" s="4221" t="str">
        <x:v>Desde</x:v>
      </x:c>
      <x:c r="B25" s="4221" t="str">
        <x:v>Hacia</x:v>
      </x:c>
      <x:c r="C25" s="4221" t="str">
        <x:v>Transición prohibida</x:v>
      </x:c>
      <x:c r="D25" s="4221" t="str">
        <x:v>Qué hacer en cambio</x:v>
      </x:c>
      <x:c r="E25" s="3945"/>
      <x:c r="F25" s="3945"/>
      <x:c r="G25" s="3945"/>
      <x:c r="H25" s="3945"/>
      <x:c r="I25" s="3945"/>
    </x:row>
    <x:row r="26" ht="52" customHeight="1">
      <x:c r="A26" s="3947" t="str">
        <x:v>CERRADO_OPERATIVAMENTE</x:v>
      </x:c>
      <x:c r="B26" s="3947" t="str">
        <x:v>EN_EJECUCION</x:v>
      </x:c>
      <x:c r="C26" s="3947" t="str">
        <x:v>Reabrir y editar Parte cerrado</x:v>
      </x:c>
      <x:c r="D26" s="3947" t="str">
        <x:v>Corrección mediante EnmiendaOperativa/nueva ejecución.</x:v>
      </x:c>
      <x:c r="E26" s="3945"/>
      <x:c r="F26" s="3945"/>
      <x:c r="G26" s="3945"/>
      <x:c r="H26" s="3945"/>
      <x:c r="I26" s="3945"/>
    </x:row>
    <x:row r="27" ht="52" customHeight="1">
      <x:c r="A27" s="3947" t="str">
        <x:v>ANULADO</x:v>
      </x:c>
      <x:c r="B27" s="3947" t="str">
        <x:v>EN_EJECUCION</x:v>
      </x:c>
      <x:c r="C27" s="3947" t="str">
        <x:v>Ejecutar Parte anulado</x:v>
      </x:c>
      <x:c r="D27" s="3947" t="str">
        <x:v>Crear Parte válido nuevo.</x:v>
      </x:c>
      <x:c r="E27" s="3945"/>
      <x:c r="F27" s="3945"/>
      <x:c r="G27" s="3945"/>
      <x:c r="H27" s="3945"/>
      <x:c r="I27" s="3945"/>
    </x:row>
    <x:row r="28" ht="52" customHeight="1">
      <x:c r="A28" s="3947" t="str">
        <x:v>PREPARADO</x:v>
      </x:c>
      <x:c r="B28" s="3947" t="str">
        <x:v>CERRADO_OPERATIVAMENTE</x:v>
      </x:c>
      <x:c r="C28" s="3947" t="str">
        <x:v>Cerrar sin resolver UE</x:v>
      </x:c>
      <x:c r="D28" s="3947" t="str">
        <x:v>UE deben quedar cerradas/no realizadas/anuladas explícitamente.</x:v>
      </x:c>
      <x:c r="E28" s="3945"/>
      <x:c r="F28" s="3945"/>
      <x:c r="G28" s="3945"/>
      <x:c r="H28" s="3945"/>
      <x:c r="I28" s="3945"/>
    </x:row>
    <x:row r="29">
      <x:c r="A29" s="3945"/>
      <x:c r="B29" s="3945"/>
      <x:c r="C29" s="3945"/>
      <x:c r="D29" s="3945"/>
      <x:c r="E29" s="3945"/>
      <x:c r="F29" s="3945"/>
      <x:c r="G29" s="3945"/>
      <x:c r="H29" s="3945"/>
      <x:c r="I29" s="3945"/>
    </x:row>
    <x:row r="30">
      <x:c r="A30" s="3945"/>
      <x:c r="B30" s="3945"/>
      <x:c r="C30" s="3945"/>
      <x:c r="D30" s="3945"/>
      <x:c r="E30" s="3945"/>
      <x:c r="F30" s="3945"/>
      <x:c r="G30" s="3945"/>
      <x:c r="H30" s="3945"/>
      <x:c r="I30" s="3945"/>
    </x:row>
    <x:row r="31">
      <x:c r="A31" s="4215" t="str">
        <x:v>EJECUCIÓN · UnidadEjecucion</x:v>
      </x:c>
      <x:c r="B31" s="4215"/>
      <x:c r="C31" s="4215"/>
      <x:c r="D31" s="4215"/>
      <x:c r="E31" s="4215"/>
      <x:c r="F31" s="4215"/>
      <x:c r="G31" s="4215"/>
      <x:c r="H31" s="4215"/>
      <x:c r="I31" s="4215"/>
    </x:row>
    <x:row r="32">
      <x:c r="A32" s="4216" t="str">
        <x:v>Grano operativo distinguible. Personas, recursos, ubicación, medición y tiempos se relacionan con la UE sin redefinir el Parte automáticamente.</x:v>
      </x:c>
      <x:c r="B32" s="4216"/>
      <x:c r="C32" s="4216"/>
      <x:c r="D32" s="4216"/>
      <x:c r="E32" s="4216"/>
      <x:c r="F32" s="4216"/>
      <x:c r="G32" s="4216"/>
      <x:c r="H32" s="4216"/>
      <x:c r="I32" s="4216"/>
    </x:row>
    <x:row r="33">
      <x:c r="A33" s="4216"/>
      <x:c r="B33" s="4216"/>
      <x:c r="C33" s="4216"/>
      <x:c r="D33" s="4216"/>
      <x:c r="E33" s="4216"/>
      <x:c r="F33" s="4216"/>
      <x:c r="G33" s="4216"/>
      <x:c r="H33" s="4216"/>
      <x:c r="I33" s="4216"/>
    </x:row>
    <x:row r="34">
      <x:c r="A34" s="3945"/>
      <x:c r="B34" s="3945"/>
      <x:c r="C34" s="3945"/>
      <x:c r="D34" s="3945"/>
      <x:c r="E34" s="3945"/>
      <x:c r="F34" s="3945"/>
      <x:c r="G34" s="3945"/>
      <x:c r="H34" s="3945"/>
      <x:c r="I34" s="3945"/>
    </x:row>
    <x:row r="35">
      <x:c r="A35" s="4217" t="str">
        <x:v>Estado</x:v>
      </x:c>
      <x:c r="B35" s="4217" t="str">
        <x:v>Tipo</x:v>
      </x:c>
      <x:c r="C35" s="4217" t="str">
        <x:v>Semántica</x:v>
      </x:c>
      <x:c r="D35" s="4217" t="str">
        <x:v>Terminal</x:v>
      </x:c>
      <x:c r="E35" s="3945"/>
      <x:c r="F35" s="3945"/>
      <x:c r="G35" s="3945"/>
      <x:c r="H35" s="3945"/>
      <x:c r="I35" s="3945"/>
    </x:row>
    <x:row r="36" ht="44" customHeight="1">
      <x:c r="A36" s="4218" t="str">
        <x:v>PENDIENTE</x:v>
      </x:c>
      <x:c r="B36" s="3947" t="str">
        <x:v>Inicial</x:v>
      </x:c>
      <x:c r="C36" s="3947" t="str">
        <x:v>UE creada dentro del Parte; aún no comenzó.</x:v>
      </x:c>
      <x:c r="D36" s="3947" t="str">
        <x:v>No</x:v>
      </x:c>
      <x:c r="E36" s="3945"/>
      <x:c r="F36" s="3945"/>
      <x:c r="G36" s="3945"/>
      <x:c r="H36" s="3945"/>
      <x:c r="I36" s="3945"/>
    </x:row>
    <x:row r="37" ht="44" customHeight="1">
      <x:c r="A37" s="4218" t="str">
        <x:v>EN_EJECUCION</x:v>
      </x:c>
      <x:c r="B37" s="3947" t="str">
        <x:v>Operativa</x:v>
      </x:c>
      <x:c r="C37" s="3947" t="str">
        <x:v>Trabajo real activo.</x:v>
      </x:c>
      <x:c r="D37" s="3947" t="str">
        <x:v>No</x:v>
      </x:c>
      <x:c r="E37" s="3945"/>
      <x:c r="F37" s="3945"/>
      <x:c r="G37" s="3945"/>
      <x:c r="H37" s="3945"/>
      <x:c r="I37" s="3945"/>
    </x:row>
    <x:row r="38" ht="44" customHeight="1">
      <x:c r="A38" s="4218" t="str">
        <x:v>SUSPENDIDA</x:v>
      </x:c>
      <x:c r="B38" s="3947" t="str">
        <x:v>Operativa</x:v>
      </x:c>
      <x:c r="C38" s="3947" t="str">
        <x:v>Trabajo detenido temporalmente.</x:v>
      </x:c>
      <x:c r="D38" s="3947" t="str">
        <x:v>No</x:v>
      </x:c>
      <x:c r="E38" s="3945"/>
      <x:c r="F38" s="3945"/>
      <x:c r="G38" s="3945"/>
      <x:c r="H38" s="3945"/>
      <x:c r="I38" s="3945"/>
    </x:row>
    <x:row r="39" ht="44" customHeight="1">
      <x:c r="A39" s="4214" t="str">
        <x:v>CERRADA</x:v>
      </x:c>
      <x:c r="B39" s="3947" t="str">
        <x:v>Terminal operacional</x:v>
      </x:c>
      <x:c r="C39" s="3947" t="str">
        <x:v>Trabajo completado/cerrado con resultado real.</x:v>
      </x:c>
      <x:c r="D39" s="4219" t="str">
        <x:v>Sí</x:v>
      </x:c>
      <x:c r="E39" s="3945"/>
      <x:c r="F39" s="3945"/>
      <x:c r="G39" s="3945"/>
      <x:c r="H39" s="3945"/>
      <x:c r="I39" s="3945"/>
    </x:row>
    <x:row r="40" ht="44" customHeight="1">
      <x:c r="A40" s="4214" t="str">
        <x:v>NO_REALIZADA</x:v>
      </x:c>
      <x:c r="B40" s="3947" t="str">
        <x:v>Terminal</x:v>
      </x:c>
      <x:c r="C40" s="3947" t="str">
        <x:v>La unidad prevista/creada no se ejecutó, con causa.</x:v>
      </x:c>
      <x:c r="D40" s="4219" t="str">
        <x:v>Sí</x:v>
      </x:c>
      <x:c r="E40" s="3945"/>
      <x:c r="F40" s="3945"/>
      <x:c r="G40" s="3945"/>
      <x:c r="H40" s="3945"/>
      <x:c r="I40" s="3945"/>
    </x:row>
    <x:row r="41" ht="44" customHeight="1">
      <x:c r="A41" s="4214" t="str">
        <x:v>ANULADA</x:v>
      </x:c>
      <x:c r="B41" s="3947" t="str">
        <x:v>Terminal</x:v>
      </x:c>
      <x:c r="C41" s="3947" t="str">
        <x:v>UE creada por error antes de ejecución.</x:v>
      </x:c>
      <x:c r="D41" s="4219" t="str">
        <x:v>Sí</x:v>
      </x:c>
      <x:c r="E41" s="3945"/>
      <x:c r="F41" s="3945"/>
      <x:c r="G41" s="3945"/>
      <x:c r="H41" s="3945"/>
      <x:c r="I41" s="3945"/>
    </x:row>
    <x:row r="42">
      <x:c r="A42" s="3945"/>
      <x:c r="B42" s="3945"/>
      <x:c r="C42" s="3945"/>
      <x:c r="D42" s="3945"/>
      <x:c r="E42" s="3945"/>
      <x:c r="F42" s="3945"/>
      <x:c r="G42" s="3945"/>
      <x:c r="H42" s="3945"/>
      <x:c r="I42" s="3945"/>
    </x:row>
    <x:row r="43">
      <x:c r="A43" s="3945"/>
      <x:c r="B43" s="3945"/>
      <x:c r="C43" s="3945"/>
      <x:c r="D43" s="3945"/>
      <x:c r="E43" s="3945"/>
      <x:c r="F43" s="3945"/>
      <x:c r="G43" s="3945"/>
      <x:c r="H43" s="3945"/>
      <x:c r="I43" s="3945"/>
    </x:row>
    <x:row r="44">
      <x:c r="A44" s="4220" t="str">
        <x:v>ID</x:v>
      </x:c>
      <x:c r="B44" s="4220" t="str">
        <x:v>Desde</x:v>
      </x:c>
      <x:c r="C44" s="4220" t="str">
        <x:v>Evento</x:v>
      </x:c>
      <x:c r="D44" s="4220" t="str">
        <x:v>Hacia</x:v>
      </x:c>
      <x:c r="E44" s="4220" t="str">
        <x:v>Gate / condición</x:v>
      </x:c>
      <x:c r="F44" s="4220" t="str">
        <x:v>Actor</x:v>
      </x:c>
      <x:c r="G44" s="4220" t="str">
        <x:v>Efecto</x:v>
      </x:c>
      <x:c r="H44" s="4220" t="str">
        <x:v>Tipo</x:v>
      </x:c>
      <x:c r="I44" s="4220" t="str">
        <x:v>Nota</x:v>
      </x:c>
    </x:row>
    <x:row r="45" ht="58" customHeight="1">
      <x:c r="A45" s="3947" t="str">
        <x:v>T-UE01</x:v>
      </x:c>
      <x:c r="B45" s="3947" t="str">
        <x:v>—</x:v>
      </x:c>
      <x:c r="C45" s="3947" t="str">
        <x:v>CREAR_UE</x:v>
      </x:c>
      <x:c r="D45" s="3947" t="str">
        <x:v>PENDIENTE</x:v>
      </x:c>
      <x:c r="E45" s="3947" t="str">
        <x:v>Parte válido + regla de composición</x:v>
      </x:c>
      <x:c r="F45" s="3947" t="str">
        <x:v>Sistema/Campo</x:v>
      </x:c>
      <x:c r="G45" s="3947" t="str">
        <x:v>Crear unidad de trabajo.</x:v>
      </x:c>
      <x:c r="H45" s="4218" t="str">
        <x:v>PERMITIDA</x:v>
      </x:c>
      <x:c r="I45" s="3947" t="str"/>
    </x:row>
    <x:row r="46" ht="58" customHeight="1">
      <x:c r="A46" s="3947" t="str">
        <x:v>T-UE02</x:v>
      </x:c>
      <x:c r="B46" s="3947" t="str">
        <x:v>PENDIENTE</x:v>
      </x:c>
      <x:c r="C46" s="3947" t="str">
        <x:v>INICIAR</x:v>
      </x:c>
      <x:c r="D46" s="3947" t="str">
        <x:v>EN_EJECUCION</x:v>
      </x:c>
      <x:c r="E46" s="3947" t="str">
        <x:v>Gates contextuales satisfechos</x:v>
      </x:c>
      <x:c r="F46" s="3947" t="str">
        <x:v>Campo/Sistema</x:v>
      </x:c>
      <x:c r="G46" s="3947" t="str">
        <x:v>Abrir timestamps/asignaciones.</x:v>
      </x:c>
      <x:c r="H46" s="4218" t="str">
        <x:v>PERMITIDA</x:v>
      </x:c>
      <x:c r="I46" s="3947" t="str"/>
    </x:row>
    <x:row r="47" ht="58" customHeight="1">
      <x:c r="A47" s="3947" t="str">
        <x:v>T-UE03</x:v>
      </x:c>
      <x:c r="B47" s="3947" t="str">
        <x:v>EN_EJECUCION</x:v>
      </x:c>
      <x:c r="C47" s="3947" t="str">
        <x:v>SUSPENDER</x:v>
      </x:c>
      <x:c r="D47" s="3947" t="str">
        <x:v>SUSPENDIDA</x:v>
      </x:c>
      <x:c r="E47" s="3947" t="str">
        <x:v>Causa estructurada / directiva / PTW</x:v>
      </x:c>
      <x:c r="F47" s="3947" t="str">
        <x:v>Sistema</x:v>
      </x:c>
      <x:c r="G47" s="3947" t="str">
        <x:v>Cerrar intervalo activo.</x:v>
      </x:c>
      <x:c r="H47" s="4218" t="str">
        <x:v>PERMITIDA</x:v>
      </x:c>
      <x:c r="I47" s="3947" t="str"/>
    </x:row>
    <x:row r="48" ht="58" customHeight="1">
      <x:c r="A48" s="3947" t="str">
        <x:v>T-UE04</x:v>
      </x:c>
      <x:c r="B48" s="3947" t="str">
        <x:v>SUSPENDIDA</x:v>
      </x:c>
      <x:c r="C48" s="3947" t="str">
        <x:v>REANUDAR</x:v>
      </x:c>
      <x:c r="D48" s="3947" t="str">
        <x:v>EN_EJECUCION</x:v>
      </x:c>
      <x:c r="E48" s="3947" t="str">
        <x:v>Revalidación aplicable</x:v>
      </x:c>
      <x:c r="F48" s="3947" t="str">
        <x:v>Campo/Supervisión</x:v>
      </x:c>
      <x:c r="G48" s="3947" t="str">
        <x:v>Abrir nuevo intervalo.</x:v>
      </x:c>
      <x:c r="H48" s="4218" t="str">
        <x:v>PERMITIDA</x:v>
      </x:c>
      <x:c r="I48" s="3947" t="str"/>
    </x:row>
    <x:row r="49" ht="58" customHeight="1">
      <x:c r="A49" s="3947" t="str">
        <x:v>T-UE05</x:v>
      </x:c>
      <x:c r="B49" s="3947" t="str">
        <x:v>EN_EJECUCION/SUSPENDIDA</x:v>
      </x:c>
      <x:c r="C49" s="3947" t="str">
        <x:v>CERRAR</x:v>
      </x:c>
      <x:c r="D49" s="3947" t="str">
        <x:v>CERRADA</x:v>
      </x:c>
      <x:c r="E49" s="3947" t="str">
        <x:v>Resultado + tiempos consistentes; mediciones obligatorias si aplica</x:v>
      </x:c>
      <x:c r="F49" s="3947" t="str">
        <x:v>Campo/Supervisión</x:v>
      </x:c>
      <x:c r="G49" s="3947" t="str">
        <x:v>Cerrar UE.</x:v>
      </x:c>
      <x:c r="H49" s="4218" t="str">
        <x:v>PERMITIDA</x:v>
      </x:c>
      <x:c r="I49" s="3947" t="str"/>
    </x:row>
    <x:row r="50" ht="58" customHeight="1">
      <x:c r="A50" s="3947" t="str">
        <x:v>T-UE06</x:v>
      </x:c>
      <x:c r="B50" s="3947" t="str">
        <x:v>PENDIENTE</x:v>
      </x:c>
      <x:c r="C50" s="3947" t="str">
        <x:v>MARCAR_NO_REALIZADA</x:v>
      </x:c>
      <x:c r="D50" s="3947" t="str">
        <x:v>NO_REALIZADA</x:v>
      </x:c>
      <x:c r="E50" s="3947" t="str">
        <x:v>Causa estructurada</x:v>
      </x:c>
      <x:c r="F50" s="3947" t="str">
        <x:v>Campo/Supervisión</x:v>
      </x:c>
      <x:c r="G50" s="3947" t="str">
        <x:v>Preservar intento/no ejecución.</x:v>
      </x:c>
      <x:c r="H50" s="4218" t="str">
        <x:v>PERMITIDA</x:v>
      </x:c>
      <x:c r="I50" s="3947" t="str"/>
    </x:row>
    <x:row r="51" ht="58" customHeight="1">
      <x:c r="A51" s="3947" t="str">
        <x:v>T-UE07</x:v>
      </x:c>
      <x:c r="B51" s="3947" t="str">
        <x:v>PENDIENTE</x:v>
      </x:c>
      <x:c r="C51" s="3947" t="str">
        <x:v>ANULAR_ERROR</x:v>
      </x:c>
      <x:c r="D51" s="3947" t="str">
        <x:v>ANULADA</x:v>
      </x:c>
      <x:c r="E51" s="3947" t="str">
        <x:v>No hubo trabajo real</x:v>
      </x:c>
      <x:c r="F51" s="3947" t="str">
        <x:v>Rol autorizado</x:v>
      </x:c>
      <x:c r="G51" s="3947" t="str">
        <x:v>Corregir creación errónea.</x:v>
      </x:c>
      <x:c r="H51" s="4218" t="str">
        <x:v>PERMITIDA</x:v>
      </x:c>
      <x:c r="I51" s="3947" t="str"/>
    </x:row>
    <x:row r="52">
      <x:c r="A52" s="3945"/>
      <x:c r="B52" s="3945"/>
      <x:c r="C52" s="3945"/>
      <x:c r="D52" s="3945"/>
      <x:c r="E52" s="3945"/>
      <x:c r="F52" s="3945"/>
      <x:c r="G52" s="3945"/>
      <x:c r="H52" s="3945"/>
      <x:c r="I52" s="3945"/>
    </x:row>
    <x:row r="53">
      <x:c r="A53" s="3945"/>
      <x:c r="B53" s="3945"/>
      <x:c r="C53" s="3945"/>
      <x:c r="D53" s="3945"/>
      <x:c r="E53" s="3945"/>
      <x:c r="F53" s="3945"/>
      <x:c r="G53" s="3945"/>
      <x:c r="H53" s="3945"/>
      <x:c r="I53" s="3945"/>
    </x:row>
    <x:row r="54">
      <x:c r="A54" s="4221" t="str">
        <x:v>Desde</x:v>
      </x:c>
      <x:c r="B54" s="4221" t="str">
        <x:v>Hacia</x:v>
      </x:c>
      <x:c r="C54" s="4221" t="str">
        <x:v>Transición prohibida</x:v>
      </x:c>
      <x:c r="D54" s="4221" t="str">
        <x:v>Qué hacer en cambio</x:v>
      </x:c>
      <x:c r="E54" s="3945"/>
      <x:c r="F54" s="3945"/>
      <x:c r="G54" s="3945"/>
      <x:c r="H54" s="3945"/>
      <x:c r="I54" s="3945"/>
    </x:row>
    <x:row r="55" ht="52" customHeight="1">
      <x:c r="A55" s="3947" t="str">
        <x:v>CERRADA</x:v>
      </x:c>
      <x:c r="B55" s="3947" t="str">
        <x:v>EN_EJECUCION</x:v>
      </x:c>
      <x:c r="C55" s="3947" t="str">
        <x:v>Reabrir UE para editar realidad</x:v>
      </x:c>
      <x:c r="D55" s="3947" t="str">
        <x:v>Usar EnmiendaOperativa o nueva UE.</x:v>
      </x:c>
      <x:c r="E55" s="3945"/>
      <x:c r="F55" s="3945"/>
      <x:c r="G55" s="3945"/>
      <x:c r="H55" s="3945"/>
      <x:c r="I55" s="3945"/>
    </x:row>
    <x:row r="56" ht="52" customHeight="1">
      <x:c r="A56" s="3947" t="str">
        <x:v>NO_REALIZADA</x:v>
      </x:c>
      <x:c r="B56" s="3947" t="str">
        <x:v>CERRADA</x:v>
      </x:c>
      <x:c r="C56" s="3947" t="str">
        <x:v>Inventar ejecución después</x:v>
      </x:c>
      <x:c r="D56" s="3947" t="str">
        <x:v>Nueva evidencia requiere revisión/new UE.</x:v>
      </x:c>
      <x:c r="E56" s="3945"/>
      <x:c r="F56" s="3945"/>
      <x:c r="G56" s="3945"/>
      <x:c r="H56" s="3945"/>
      <x:c r="I56" s="3945"/>
    </x:row>
    <x:row r="57" ht="52" customHeight="1">
      <x:c r="A57" s="3947" t="str">
        <x:v>ANULADA</x:v>
      </x:c>
      <x:c r="B57" s="3947" t="str">
        <x:v>EN_EJECUCION</x:v>
      </x:c>
      <x:c r="C57" s="3947" t="str">
        <x:v>Ejecutar UE anulada</x:v>
      </x:c>
      <x:c r="D57" s="3947" t="str">
        <x:v>Crear nueva UE válida.</x:v>
      </x:c>
      <x:c r="E57" s="3945"/>
      <x:c r="F57" s="3945"/>
      <x:c r="G57" s="3945"/>
      <x:c r="H57" s="3945"/>
      <x:c r="I57" s="3945"/>
    </x:row>
    <x:row r="58">
      <x:c r="A58" s="3945"/>
      <x:c r="B58" s="3945"/>
      <x:c r="C58" s="3945"/>
      <x:c r="D58" s="3945"/>
      <x:c r="E58" s="3945"/>
      <x:c r="F58" s="3945"/>
      <x:c r="G58" s="3945"/>
      <x:c r="H58" s="3945"/>
      <x:c r="I58" s="3945"/>
    </x:row>
    <x:row r="59">
      <x:c r="A59" s="3945"/>
      <x:c r="B59" s="3945"/>
      <x:c r="C59" s="3945"/>
      <x:c r="D59" s="3945"/>
      <x:c r="E59" s="3945"/>
      <x:c r="F59" s="3945"/>
      <x:c r="G59" s="3945"/>
      <x:c r="H59" s="3945"/>
      <x:c r="I59" s="3945"/>
    </x:row>
    <x:row r="60">
      <x:c r="A60" s="3945"/>
      <x:c r="B60" s="3945"/>
      <x:c r="C60" s="3945"/>
      <x:c r="D60" s="3945"/>
      <x:c r="E60" s="3945"/>
      <x:c r="F60" s="3945"/>
      <x:c r="G60" s="3945"/>
      <x:c r="H60" s="3945"/>
      <x:c r="I60" s="3945"/>
    </x:row>
  </x:sheetData>
  <x:mergeCells>
    <x:mergeCell ref="A1:I1"/>
    <x:mergeCell ref="A2:I2"/>
    <x:mergeCell ref="A4:I4"/>
    <x:mergeCell ref="A5:I6"/>
    <x:mergeCell ref="A31:I31"/>
    <x:mergeCell ref="A32:I33"/>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27" hidden="0" customWidth="1"/>
    <x:col min="5" max="5" width="42" hidden="0" customWidth="1"/>
    <x:col min="6" max="6" width="30" hidden="0" customWidth="1"/>
    <x:col min="7" max="7" width="30" hidden="0" customWidth="1"/>
    <x:col min="8" max="8" width="16" hidden="0" customWidth="1"/>
    <x:col min="9" max="9" width="36" hidden="0" customWidth="1"/>
  </x:cols>
  <x:sheetData>
    <x:row r="1">
      <x:c r="A1" s="4213" t="str">
        <x:v>STATE MACHINE · HABILITA / PERMISO DE TRABAJO</x:v>
      </x:c>
      <x:c r="B1" s="4213"/>
      <x:c r="C1" s="4213"/>
      <x:c r="D1" s="4213"/>
      <x:c r="E1" s="4213"/>
      <x:c r="F1" s="4213"/>
      <x:c r="G1" s="4213"/>
      <x:c r="H1" s="4213"/>
      <x:c r="I1" s="4213"/>
    </x:row>
    <x:row r="2">
      <x:c r="A2" s="4214" t="str">
        <x:v>Las transiciones describen comportamiento funcional. El modelo físico podrá implementar constraints, eventos o workflows, pero no cambiar su semántica sin reabrir la baseline.</x:v>
      </x:c>
      <x:c r="B2" s="4214"/>
      <x:c r="C2" s="4214"/>
      <x:c r="D2" s="4214"/>
      <x:c r="E2" s="4214"/>
      <x:c r="F2" s="4214"/>
      <x:c r="G2" s="4214"/>
      <x:c r="H2" s="4214"/>
      <x:c r="I2" s="4214"/>
    </x:row>
    <x:row r="3">
      <x:c r="A3" s="3945"/>
      <x:c r="B3" s="3945"/>
      <x:c r="C3" s="3945"/>
      <x:c r="D3" s="3945"/>
      <x:c r="E3" s="3945"/>
      <x:c r="F3" s="3945"/>
      <x:c r="G3" s="3945"/>
      <x:c r="H3" s="3945"/>
      <x:c r="I3" s="3945"/>
    </x:row>
    <x:row r="4">
      <x:c r="A4" s="4215" t="str">
        <x:v>HABILITA · PermisoTrabajo</x:v>
      </x:c>
      <x:c r="B4" s="4215"/>
      <x:c r="C4" s="4215"/>
      <x:c r="D4" s="4215"/>
      <x:c r="E4" s="4215"/>
      <x:c r="F4" s="4215"/>
      <x:c r="G4" s="4215"/>
      <x:c r="H4" s="4215"/>
      <x:c r="I4" s="4215"/>
    </x:row>
    <x:row r="5">
      <x:c r="A5" s="4216" t="str">
        <x:v>Autorización formal independiente del Parte. Timeout nunca equivale a cierre; handover puede exigir suspensión/revalidación.</x:v>
      </x:c>
      <x:c r="B5" s="4216"/>
      <x:c r="C5" s="4216"/>
      <x:c r="D5" s="4216"/>
      <x:c r="E5" s="4216"/>
      <x:c r="F5" s="4216"/>
      <x:c r="G5" s="4216"/>
      <x:c r="H5" s="4216"/>
      <x:c r="I5" s="4216"/>
    </x:row>
    <x:row r="6">
      <x:c r="A6" s="4216"/>
      <x:c r="B6" s="4216"/>
      <x:c r="C6" s="4216"/>
      <x:c r="D6" s="4216"/>
      <x:c r="E6" s="4216"/>
      <x:c r="F6" s="4216"/>
      <x:c r="G6" s="4216"/>
      <x:c r="H6" s="4216"/>
      <x:c r="I6" s="4216"/>
    </x:row>
    <x:row r="7">
      <x:c r="A7" s="3945"/>
      <x:c r="B7" s="3945"/>
      <x:c r="C7" s="3945"/>
      <x:c r="D7" s="3945"/>
      <x:c r="E7" s="3945"/>
      <x:c r="F7" s="3945"/>
      <x:c r="G7" s="3945"/>
      <x:c r="H7" s="3945"/>
      <x:c r="I7" s="3945"/>
    </x:row>
    <x:row r="8">
      <x:c r="A8" s="4217" t="str">
        <x:v>Estado</x:v>
      </x:c>
      <x:c r="B8" s="4217" t="str">
        <x:v>Tipo</x:v>
      </x:c>
      <x:c r="C8" s="4217" t="str">
        <x:v>Semántica</x:v>
      </x:c>
      <x:c r="D8" s="4217" t="str">
        <x:v>Terminal</x:v>
      </x:c>
      <x:c r="E8" s="3945"/>
      <x:c r="F8" s="3945"/>
      <x:c r="G8" s="3945"/>
      <x:c r="H8" s="3945"/>
      <x:c r="I8" s="3945"/>
    </x:row>
    <x:row r="9" ht="44" customHeight="1">
      <x:c r="A9" s="4218" t="str">
        <x:v>BORRADOR</x:v>
      </x:c>
      <x:c r="B9" s="3947" t="str">
        <x:v>Inicial</x:v>
      </x:c>
      <x:c r="C9" s="3947" t="str">
        <x:v>Permiso en preparación.</x:v>
      </x:c>
      <x:c r="D9" s="3947" t="str">
        <x:v>No</x:v>
      </x:c>
      <x:c r="E9" s="3945"/>
      <x:c r="F9" s="3945"/>
      <x:c r="G9" s="3945"/>
      <x:c r="H9" s="3945"/>
      <x:c r="I9" s="3945"/>
    </x:row>
    <x:row r="10" ht="44" customHeight="1">
      <x:c r="A10" s="4218" t="str">
        <x:v>PENDIENTE_APROBACION</x:v>
      </x:c>
      <x:c r="B10" s="3947" t="str">
        <x:v>Pre-work</x:v>
      </x:c>
      <x:c r="C10" s="3947" t="str">
        <x:v>Listo para revisión/aprobación.</x:v>
      </x:c>
      <x:c r="D10" s="3947" t="str">
        <x:v>No</x:v>
      </x:c>
      <x:c r="E10" s="3945"/>
      <x:c r="F10" s="3945"/>
      <x:c r="G10" s="3945"/>
      <x:c r="H10" s="3945"/>
      <x:c r="I10" s="3945"/>
    </x:row>
    <x:row r="11" ht="44" customHeight="1">
      <x:c r="A11" s="4218" t="str">
        <x:v>APROBADO</x:v>
      </x:c>
      <x:c r="B11" s="3947" t="str">
        <x:v>Pre-work</x:v>
      </x:c>
      <x:c r="C11" s="3947" t="str">
        <x:v>Aprobado pero todavía no activado/vigente en campo.</x:v>
      </x:c>
      <x:c r="D11" s="3947" t="str">
        <x:v>No</x:v>
      </x:c>
      <x:c r="E11" s="3945"/>
      <x:c r="F11" s="3945"/>
      <x:c r="G11" s="3945"/>
      <x:c r="H11" s="3945"/>
      <x:c r="I11" s="3945"/>
    </x:row>
    <x:row r="12" ht="44" customHeight="1">
      <x:c r="A12" s="4218" t="str">
        <x:v>VIGENTE</x:v>
      </x:c>
      <x:c r="B12" s="3947" t="str">
        <x:v>Operativa</x:v>
      </x:c>
      <x:c r="C12" s="3947" t="str">
        <x:v>Habilita trabajo dentro de alcance/ventana.</x:v>
      </x:c>
      <x:c r="D12" s="3947" t="str">
        <x:v>No</x:v>
      </x:c>
      <x:c r="E12" s="3945"/>
      <x:c r="F12" s="3945"/>
      <x:c r="G12" s="3945"/>
      <x:c r="H12" s="3945"/>
      <x:c r="I12" s="3945"/>
    </x:row>
    <x:row r="13" ht="44" customHeight="1">
      <x:c r="A13" s="4218" t="str">
        <x:v>SUSPENDIDO</x:v>
      </x:c>
      <x:c r="B13" s="3947" t="str">
        <x:v>Operativa</x:v>
      </x:c>
      <x:c r="C13" s="3947" t="str">
        <x:v>Permiso temporalmente no habilitante.</x:v>
      </x:c>
      <x:c r="D13" s="3947" t="str">
        <x:v>No</x:v>
      </x:c>
      <x:c r="E13" s="3945"/>
      <x:c r="F13" s="3945"/>
      <x:c r="G13" s="3945"/>
      <x:c r="H13" s="3945"/>
      <x:c r="I13" s="3945"/>
    </x:row>
    <x:row r="14" ht="44" customHeight="1">
      <x:c r="A14" s="4214" t="str">
        <x:v>CERRADO</x:v>
      </x:c>
      <x:c r="B14" s="3947" t="str">
        <x:v>Terminal</x:v>
      </x:c>
      <x:c r="C14" s="3947" t="str">
        <x:v>Permiso cerrado formalmente.</x:v>
      </x:c>
      <x:c r="D14" s="4219" t="str">
        <x:v>Sí</x:v>
      </x:c>
      <x:c r="E14" s="3945"/>
      <x:c r="F14" s="3945"/>
      <x:c r="G14" s="3945"/>
      <x:c r="H14" s="3945"/>
      <x:c r="I14" s="3945"/>
    </x:row>
    <x:row r="15" ht="44" customHeight="1">
      <x:c r="A15" s="4214" t="str">
        <x:v>RECHAZADO</x:v>
      </x:c>
      <x:c r="B15" s="3947" t="str">
        <x:v>Terminal</x:v>
      </x:c>
      <x:c r="C15" s="3947" t="str">
        <x:v>No fue aprobado.</x:v>
      </x:c>
      <x:c r="D15" s="4219" t="str">
        <x:v>Sí</x:v>
      </x:c>
      <x:c r="E15" s="3945"/>
      <x:c r="F15" s="3945"/>
      <x:c r="G15" s="3945"/>
      <x:c r="H15" s="3945"/>
      <x:c r="I15" s="3945"/>
    </x:row>
    <x:row r="16" ht="44" customHeight="1">
      <x:c r="A16" s="4214" t="str">
        <x:v>VENCIDO</x:v>
      </x:c>
      <x:c r="B16" s="3947" t="str">
        <x:v>Terminal/control</x:v>
      </x:c>
      <x:c r="C16" s="3947" t="str">
        <x:v>Expiró sin cierre normal; requiere tratamiento administrativo, nunca autocierre.</x:v>
      </x:c>
      <x:c r="D16" s="4219" t="str">
        <x:v>Sí</x:v>
      </x:c>
      <x:c r="E16" s="3945"/>
      <x:c r="F16" s="3945"/>
      <x:c r="G16" s="3945"/>
      <x:c r="H16" s="3945"/>
      <x:c r="I16" s="3945"/>
    </x:row>
    <x:row r="17" ht="44" customHeight="1">
      <x:c r="A17" s="4214" t="str">
        <x:v>ANULADO</x:v>
      </x:c>
      <x:c r="B17" s="3947" t="str">
        <x:v>Terminal</x:v>
      </x:c>
      <x:c r="C17" s="3947" t="str">
        <x:v>Permiso invalidado antes de uso.</x:v>
      </x:c>
      <x:c r="D17" s="4219" t="str">
        <x:v>Sí</x:v>
      </x:c>
      <x:c r="E17" s="3945"/>
      <x:c r="F17" s="3945"/>
      <x:c r="G17" s="3945"/>
      <x:c r="H17" s="3945"/>
      <x:c r="I17" s="3945"/>
    </x:row>
    <x:row r="18">
      <x:c r="A18" s="3945"/>
      <x:c r="B18" s="3945"/>
      <x:c r="C18" s="3945"/>
      <x:c r="D18" s="3945"/>
      <x:c r="E18" s="3945"/>
      <x:c r="F18" s="3945"/>
      <x:c r="G18" s="3945"/>
      <x:c r="H18" s="3945"/>
      <x:c r="I18" s="3945"/>
    </x:row>
    <x:row r="19">
      <x:c r="A19" s="3945"/>
      <x:c r="B19" s="3945"/>
      <x:c r="C19" s="3945"/>
      <x:c r="D19" s="3945"/>
      <x:c r="E19" s="3945"/>
      <x:c r="F19" s="3945"/>
      <x:c r="G19" s="3945"/>
      <x:c r="H19" s="3945"/>
      <x:c r="I19" s="3945"/>
    </x:row>
    <x:row r="20">
      <x:c r="A20" s="4220" t="str">
        <x:v>ID</x:v>
      </x:c>
      <x:c r="B20" s="4220" t="str">
        <x:v>Desde</x:v>
      </x:c>
      <x:c r="C20" s="4220" t="str">
        <x:v>Evento</x:v>
      </x:c>
      <x:c r="D20" s="4220" t="str">
        <x:v>Hacia</x:v>
      </x:c>
      <x:c r="E20" s="4220" t="str">
        <x:v>Gate / condición</x:v>
      </x:c>
      <x:c r="F20" s="4220" t="str">
        <x:v>Actor</x:v>
      </x:c>
      <x:c r="G20" s="4220" t="str">
        <x:v>Efecto</x:v>
      </x:c>
      <x:c r="H20" s="4220" t="str">
        <x:v>Tipo</x:v>
      </x:c>
      <x:c r="I20" s="4220" t="str">
        <x:v>Nota</x:v>
      </x:c>
    </x:row>
    <x:row r="21" ht="58" customHeight="1">
      <x:c r="A21" s="3947" t="str">
        <x:v>T-PTW01</x:v>
      </x:c>
      <x:c r="B21" s="3947" t="str">
        <x:v>—</x:v>
      </x:c>
      <x:c r="C21" s="3947" t="str">
        <x:v>CREAR</x:v>
      </x:c>
      <x:c r="D21" s="3947" t="str">
        <x:v>BORRADOR</x:v>
      </x:c>
      <x:c r="E21" s="3947" t="str">
        <x:v>Alcance/tipo/contexto identificado</x:v>
      </x:c>
      <x:c r="F21" s="3947" t="str">
        <x:v>Supervisor/Habilita</x:v>
      </x:c>
      <x:c r="G21" s="3947" t="str">
        <x:v>Crear PTW.</x:v>
      </x:c>
      <x:c r="H21" s="4218" t="str">
        <x:v>PERMITIDA</x:v>
      </x:c>
      <x:c r="I21" s="3947" t="str"/>
    </x:row>
    <x:row r="22" ht="58" customHeight="1">
      <x:c r="A22" s="3947" t="str">
        <x:v>T-PTW02</x:v>
      </x:c>
      <x:c r="B22" s="3947" t="str">
        <x:v>BORRADOR</x:v>
      </x:c>
      <x:c r="C22" s="3947" t="str">
        <x:v>ENVIAR_APROBACION</x:v>
      </x:c>
      <x:c r="D22" s="3947" t="str">
        <x:v>PENDIENTE_APROBACION</x:v>
      </x:c>
      <x:c r="E22" s="3947" t="str">
        <x:v>Campos/requisitos mínimos completos</x:v>
      </x:c>
      <x:c r="F22" s="3947" t="str">
        <x:v>Campo/Supervisor</x:v>
      </x:c>
      <x:c r="G22" s="3947" t="str">
        <x:v>Solicitar aprobación.</x:v>
      </x:c>
      <x:c r="H22" s="4218" t="str">
        <x:v>PERMITIDA</x:v>
      </x:c>
      <x:c r="I22" s="3947" t="str"/>
    </x:row>
    <x:row r="23" ht="58" customHeight="1">
      <x:c r="A23" s="3947" t="str">
        <x:v>T-PTW03</x:v>
      </x:c>
      <x:c r="B23" s="3947" t="str">
        <x:v>PENDIENTE_APROBACION</x:v>
      </x:c>
      <x:c r="C23" s="3947" t="str">
        <x:v>APROBAR</x:v>
      </x:c>
      <x:c r="D23" s="3947" t="str">
        <x:v>APROBADO</x:v>
      </x:c>
      <x:c r="E23" s="3947" t="str">
        <x:v>Autoridad competente + controles satisfechos</x:v>
      </x:c>
      <x:c r="F23" s="3947" t="str">
        <x:v>Habilita/Supervisor</x:v>
      </x:c>
      <x:c r="G23" s="3947" t="str">
        <x:v>Aprobar.</x:v>
      </x:c>
      <x:c r="H23" s="4218" t="str">
        <x:v>PERMITIDA</x:v>
      </x:c>
      <x:c r="I23" s="3947" t="str"/>
    </x:row>
    <x:row r="24" ht="58" customHeight="1">
      <x:c r="A24" s="3947" t="str">
        <x:v>T-PTW04</x:v>
      </x:c>
      <x:c r="B24" s="3947" t="str">
        <x:v>PENDIENTE_APROBACION</x:v>
      </x:c>
      <x:c r="C24" s="3947" t="str">
        <x:v>RECHAZAR</x:v>
      </x:c>
      <x:c r="D24" s="3947" t="str">
        <x:v>RECHAZADO</x:v>
      </x:c>
      <x:c r="E24" s="3947" t="str">
        <x:v>Causa</x:v>
      </x:c>
      <x:c r="F24" s="3947" t="str">
        <x:v>Habilita/Supervisor</x:v>
      </x:c>
      <x:c r="G24" s="3947" t="str">
        <x:v>No habilitar.</x:v>
      </x:c>
      <x:c r="H24" s="4218" t="str">
        <x:v>PERMITIDA</x:v>
      </x:c>
      <x:c r="I24" s="3947" t="str"/>
    </x:row>
    <x:row r="25" ht="58" customHeight="1">
      <x:c r="A25" s="3947" t="str">
        <x:v>T-PTW05</x:v>
      </x:c>
      <x:c r="B25" s="3947" t="str">
        <x:v>APROBADO</x:v>
      </x:c>
      <x:c r="C25" s="3947" t="str">
        <x:v>ACTIVAR</x:v>
      </x:c>
      <x:c r="D25" s="3947" t="str">
        <x:v>VIGENTE</x:v>
      </x:c>
      <x:c r="E25" s="3947" t="str">
        <x:v>Ventana/contexto real válidos</x:v>
      </x:c>
      <x:c r="F25" s="3947" t="str">
        <x:v>Supervisor/Campo</x:v>
      </x:c>
      <x:c r="G25" s="3947" t="str">
        <x:v>Habilitar Start Work.</x:v>
      </x:c>
      <x:c r="H25" s="4218" t="str">
        <x:v>PERMITIDA</x:v>
      </x:c>
      <x:c r="I25" s="3947" t="str"/>
    </x:row>
    <x:row r="26" ht="58" customHeight="1">
      <x:c r="A26" s="3947" t="str">
        <x:v>T-PTW06</x:v>
      </x:c>
      <x:c r="B26" s="3947" t="str">
        <x:v>VIGENTE</x:v>
      </x:c>
      <x:c r="C26" s="3947" t="str">
        <x:v>SUSPENDER</x:v>
      </x:c>
      <x:c r="D26" s="3947" t="str">
        <x:v>SUSPENDIDO</x:v>
      </x:c>
      <x:c r="E26" s="3947" t="str">
        <x:v>Cambio condición/handover/evento/orden</x:v>
      </x:c>
      <x:c r="F26" s="3947" t="str">
        <x:v>Supervisor/Habilita</x:v>
      </x:c>
      <x:c r="G26" s="3947" t="str">
        <x:v>Detener cobertura.</x:v>
      </x:c>
      <x:c r="H26" s="4218" t="str">
        <x:v>PERMITIDA</x:v>
      </x:c>
      <x:c r="I26" s="3947" t="str"/>
    </x:row>
    <x:row r="27" ht="58" customHeight="1">
      <x:c r="A27" s="3947" t="str">
        <x:v>T-PTW07</x:v>
      </x:c>
      <x:c r="B27" s="3947" t="str">
        <x:v>SUSPENDIDO</x:v>
      </x:c>
      <x:c r="C27" s="3947" t="str">
        <x:v>REVALIDAR_REANUDAR</x:v>
      </x:c>
      <x:c r="D27" s="3947" t="str">
        <x:v>VIGENTE</x:v>
      </x:c>
      <x:c r="E27" s="3947" t="str">
        <x:v>Condiciones nuevamente válidas + autoridad</x:v>
      </x:c>
      <x:c r="F27" s="3947" t="str">
        <x:v>Supervisor/Habilita</x:v>
      </x:c>
      <x:c r="G27" s="3947" t="str">
        <x:v>Recuperar vigencia.</x:v>
      </x:c>
      <x:c r="H27" s="4218" t="str">
        <x:v>PERMITIDA</x:v>
      </x:c>
      <x:c r="I27" s="3947" t="str"/>
    </x:row>
    <x:row r="28" ht="58" customHeight="1">
      <x:c r="A28" s="3947" t="str">
        <x:v>T-PTW08</x:v>
      </x:c>
      <x:c r="B28" s="3947" t="str">
        <x:v>VIGENTE/SUSPENDIDO</x:v>
      </x:c>
      <x:c r="C28" s="3947" t="str">
        <x:v>CERRAR</x:v>
      </x:c>
      <x:c r="D28" s="3947" t="str">
        <x:v>CERRADO</x:v>
      </x:c>
      <x:c r="E28" s="3947" t="str">
        <x:v>Trabajo/alcance terminado + firmas/autoridad requeridas</x:v>
      </x:c>
      <x:c r="F28" s="3947" t="str">
        <x:v>Supervisor/Habilita</x:v>
      </x:c>
      <x:c r="G28" s="3947" t="str">
        <x:v>Cerrar formalmente.</x:v>
      </x:c>
      <x:c r="H28" s="4218" t="str">
        <x:v>PERMITIDA</x:v>
      </x:c>
      <x:c r="I28" s="3947" t="str"/>
    </x:row>
    <x:row r="29" ht="58" customHeight="1">
      <x:c r="A29" s="3947" t="str">
        <x:v>T-PTW09</x:v>
      </x:c>
      <x:c r="B29" s="3947" t="str">
        <x:v>APROBADO/VIGENTE/SUSPENDIDO</x:v>
      </x:c>
      <x:c r="C29" s="3947" t="str">
        <x:v>EXPIRAR</x:v>
      </x:c>
      <x:c r="D29" s="3947" t="str">
        <x:v>VENCIDO</x:v>
      </x:c>
      <x:c r="E29" s="3947" t="str">
        <x:v>Se superó vigencia sin cierre</x:v>
      </x:c>
      <x:c r="F29" s="3947" t="str">
        <x:v>Sistema</x:v>
      </x:c>
      <x:c r="G29" s="3947" t="str">
        <x:v>Bloquear nuevas tareas + alertar; NO cerrar.</x:v>
      </x:c>
      <x:c r="H29" s="4218" t="str">
        <x:v>PERMITIDA</x:v>
      </x:c>
      <x:c r="I29" s="3947" t="str"/>
    </x:row>
    <x:row r="30" ht="58" customHeight="1">
      <x:c r="A30" s="3947" t="str">
        <x:v>T-PTW10</x:v>
      </x:c>
      <x:c r="B30" s="3947" t="str">
        <x:v>BORRADOR/APROBADO</x:v>
      </x:c>
      <x:c r="C30" s="3947" t="str">
        <x:v>ANULAR</x:v>
      </x:c>
      <x:c r="D30" s="3947" t="str">
        <x:v>ANULADO</x:v>
      </x:c>
      <x:c r="E30" s="3947" t="str">
        <x:v>No se usó / error / cambio alcance</x:v>
      </x:c>
      <x:c r="F30" s="3947" t="str">
        <x:v>Rol autorizado</x:v>
      </x:c>
      <x:c r="G30" s="3947" t="str">
        <x:v>Invalidar.</x:v>
      </x:c>
      <x:c r="H30" s="4218" t="str">
        <x:v>PERMITIDA</x:v>
      </x:c>
      <x:c r="I30" s="3947" t="str"/>
    </x:row>
    <x:row r="31">
      <x:c r="A31" s="3945"/>
      <x:c r="B31" s="3945"/>
      <x:c r="C31" s="3945"/>
      <x:c r="D31" s="3945"/>
      <x:c r="E31" s="3945"/>
      <x:c r="F31" s="3945"/>
      <x:c r="G31" s="3945"/>
      <x:c r="H31" s="3945"/>
      <x:c r="I31" s="3945"/>
    </x:row>
    <x:row r="32">
      <x:c r="A32" s="3945"/>
      <x:c r="B32" s="3945"/>
      <x:c r="C32" s="3945"/>
      <x:c r="D32" s="3945"/>
      <x:c r="E32" s="3945"/>
      <x:c r="F32" s="3945"/>
      <x:c r="G32" s="3945"/>
      <x:c r="H32" s="3945"/>
      <x:c r="I32" s="3945"/>
    </x:row>
    <x:row r="33">
      <x:c r="A33" s="4221" t="str">
        <x:v>Desde</x:v>
      </x:c>
      <x:c r="B33" s="4221" t="str">
        <x:v>Hacia</x:v>
      </x:c>
      <x:c r="C33" s="4221" t="str">
        <x:v>Transición prohibida</x:v>
      </x:c>
      <x:c r="D33" s="4221" t="str">
        <x:v>Qué hacer en cambio</x:v>
      </x:c>
      <x:c r="E33" s="3945"/>
      <x:c r="F33" s="3945"/>
      <x:c r="G33" s="3945"/>
      <x:c r="H33" s="3945"/>
      <x:c r="I33" s="3945"/>
    </x:row>
    <x:row r="34" ht="52" customHeight="1">
      <x:c r="A34" s="3947" t="str">
        <x:v>VENCIDO</x:v>
      </x:c>
      <x:c r="B34" s="3947" t="str">
        <x:v>CERRADO</x:v>
      </x:c>
      <x:c r="C34" s="3947" t="str">
        <x:v>Autocerrar por timeout</x:v>
      </x:c>
      <x:c r="D34" s="3947" t="str">
        <x:v>Exige EventoCierreAdministrativoPTW o cierre autorizado.</x:v>
      </x:c>
      <x:c r="E34" s="3945"/>
      <x:c r="F34" s="3945"/>
      <x:c r="G34" s="3945"/>
      <x:c r="H34" s="3945"/>
      <x:c r="I34" s="3945"/>
    </x:row>
    <x:row r="35" ht="52" customHeight="1">
      <x:c r="A35" s="3947" t="str">
        <x:v>RECHAZADO</x:v>
      </x:c>
      <x:c r="B35" s="3947" t="str">
        <x:v>VIGENTE</x:v>
      </x:c>
      <x:c r="C35" s="3947" t="str">
        <x:v>Activar permiso rechazado</x:v>
      </x:c>
      <x:c r="D35" s="3947" t="str">
        <x:v>Crear/revisar nueva solicitud.</x:v>
      </x:c>
      <x:c r="E35" s="3945"/>
      <x:c r="F35" s="3945"/>
      <x:c r="G35" s="3945"/>
      <x:c r="H35" s="3945"/>
      <x:c r="I35" s="3945"/>
    </x:row>
    <x:row r="36" ht="52" customHeight="1">
      <x:c r="A36" s="3947" t="str">
        <x:v>CERRADO</x:v>
      </x:c>
      <x:c r="B36" s="3947" t="str">
        <x:v>VIGENTE</x:v>
      </x:c>
      <x:c r="C36" s="3947" t="str">
        <x:v>Reabrir PTW cerrado</x:v>
      </x:c>
      <x:c r="D36" s="3947" t="str">
        <x:v>Emitir nuevo PTW.</x:v>
      </x:c>
      <x:c r="E36" s="3945"/>
      <x:c r="F36" s="3945"/>
      <x:c r="G36" s="3945"/>
      <x:c r="H36" s="3945"/>
      <x:c r="I36" s="3945"/>
    </x:row>
    <x:row r="37">
      <x:c r="A37" s="3945"/>
      <x:c r="B37" s="3945"/>
      <x:c r="C37" s="3945"/>
      <x:c r="D37" s="3945"/>
      <x:c r="E37" s="3945"/>
      <x:c r="F37" s="3945"/>
      <x:c r="G37" s="3945"/>
      <x:c r="H37" s="3945"/>
      <x:c r="I37" s="3945"/>
    </x:row>
    <x:row r="38">
      <x:c r="A38" s="3945"/>
      <x:c r="B38" s="3945"/>
      <x:c r="C38" s="3945"/>
      <x:c r="D38" s="3945"/>
      <x:c r="E38" s="3945"/>
      <x:c r="F38" s="3945"/>
      <x:c r="G38" s="3945"/>
      <x:c r="H38" s="3945"/>
      <x:c r="I38" s="3945"/>
    </x:row>
    <x:row r="39">
      <x:c r="A39" s="3945"/>
      <x:c r="B39" s="3945"/>
      <x:c r="C39" s="3945"/>
      <x:c r="D39" s="3945"/>
      <x:c r="E39" s="3945"/>
      <x:c r="F39" s="3945"/>
      <x:c r="G39" s="3945"/>
      <x:c r="H39" s="3945"/>
      <x:c r="I39" s="3945"/>
    </x:row>
  </x:sheetData>
  <x:mergeCells>
    <x:mergeCell ref="A1:I1"/>
    <x:mergeCell ref="A2:I2"/>
    <x:mergeCell ref="A4:I4"/>
    <x:mergeCell ref="A5:I6"/>
  </x:mergeCells>
  <x:pageMargins left="0.7" right="0.7" top="0.75" bottom="0.75" header="0.3" footer="0.3"/>
</x:worksheet>
</file>

<file path=xl/worksheets/sheet54.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27" hidden="0" customWidth="1"/>
    <x:col min="5" max="5" width="42" hidden="0" customWidth="1"/>
    <x:col min="6" max="6" width="30" hidden="0" customWidth="1"/>
    <x:col min="7" max="7" width="30" hidden="0" customWidth="1"/>
    <x:col min="8" max="8" width="16" hidden="0" customWidth="1"/>
    <x:col min="9" max="9" width="36" hidden="0" customWidth="1"/>
  </x:cols>
  <x:sheetData>
    <x:row r="1">
      <x:c r="A1" s="4213" t="str">
        <x:v>STATE MACHINE · CONTROL PLANE / DIRECTIVA OPERATIVA</x:v>
      </x:c>
      <x:c r="B1" s="4213"/>
      <x:c r="C1" s="4213"/>
      <x:c r="D1" s="4213"/>
      <x:c r="E1" s="4213"/>
      <x:c r="F1" s="4213"/>
      <x:c r="G1" s="4213"/>
      <x:c r="H1" s="4213"/>
      <x:c r="I1" s="4213"/>
    </x:row>
    <x:row r="2">
      <x:c r="A2" s="4214" t="str">
        <x:v>Las transiciones describen comportamiento funcional. El modelo físico podrá implementar constraints, eventos o workflows, pero no cambiar su semántica sin reabrir la baseline.</x:v>
      </x:c>
      <x:c r="B2" s="4214"/>
      <x:c r="C2" s="4214"/>
      <x:c r="D2" s="4214"/>
      <x:c r="E2" s="4214"/>
      <x:c r="F2" s="4214"/>
      <x:c r="G2" s="4214"/>
      <x:c r="H2" s="4214"/>
      <x:c r="I2" s="4214"/>
    </x:row>
    <x:row r="3">
      <x:c r="A3" s="3945"/>
      <x:c r="B3" s="3945"/>
      <x:c r="C3" s="3945"/>
      <x:c r="D3" s="3945"/>
      <x:c r="E3" s="3945"/>
      <x:c r="F3" s="3945"/>
      <x:c r="G3" s="3945"/>
      <x:c r="H3" s="3945"/>
      <x:c r="I3" s="3945"/>
    </x:row>
    <x:row r="4">
      <x:c r="A4" s="4215" t="str">
        <x:v>CONTROL PLANE · DirectivaOperativa</x:v>
      </x:c>
      <x:c r="B4" s="4215"/>
      <x:c r="C4" s="4215"/>
      <x:c r="D4" s="4215"/>
      <x:c r="E4" s="4215"/>
      <x:c r="F4" s="4215"/>
      <x:c r="G4" s="4215"/>
      <x:c r="H4" s="4215"/>
      <x:c r="I4" s="4215"/>
    </x:row>
    <x:row r="5">
      <x:c r="A5" s="4216" t="str">
        <x:v>Instrucción post-despacho append-only. Emitida ≠ recibida ≠ reconocida ≠ aplicada.</x:v>
      </x:c>
      <x:c r="B5" s="4216"/>
      <x:c r="C5" s="4216"/>
      <x:c r="D5" s="4216"/>
      <x:c r="E5" s="4216"/>
      <x:c r="F5" s="4216"/>
      <x:c r="G5" s="4216"/>
      <x:c r="H5" s="4216"/>
      <x:c r="I5" s="4216"/>
    </x:row>
    <x:row r="6">
      <x:c r="A6" s="4216"/>
      <x:c r="B6" s="4216"/>
      <x:c r="C6" s="4216"/>
      <x:c r="D6" s="4216"/>
      <x:c r="E6" s="4216"/>
      <x:c r="F6" s="4216"/>
      <x:c r="G6" s="4216"/>
      <x:c r="H6" s="4216"/>
      <x:c r="I6" s="4216"/>
    </x:row>
    <x:row r="7">
      <x:c r="A7" s="3945"/>
      <x:c r="B7" s="3945"/>
      <x:c r="C7" s="3945"/>
      <x:c r="D7" s="3945"/>
      <x:c r="E7" s="3945"/>
      <x:c r="F7" s="3945"/>
      <x:c r="G7" s="3945"/>
      <x:c r="H7" s="3945"/>
      <x:c r="I7" s="3945"/>
    </x:row>
    <x:row r="8">
      <x:c r="A8" s="4217" t="str">
        <x:v>Estado</x:v>
      </x:c>
      <x:c r="B8" s="4217" t="str">
        <x:v>Tipo</x:v>
      </x:c>
      <x:c r="C8" s="4217" t="str">
        <x:v>Semántica</x:v>
      </x:c>
      <x:c r="D8" s="4217" t="str">
        <x:v>Terminal</x:v>
      </x:c>
      <x:c r="E8" s="3945"/>
      <x:c r="F8" s="3945"/>
      <x:c r="G8" s="3945"/>
      <x:c r="H8" s="3945"/>
      <x:c r="I8" s="3945"/>
    </x:row>
    <x:row r="9" ht="44" customHeight="1">
      <x:c r="A9" s="4218" t="str">
        <x:v>EMITIDA</x:v>
      </x:c>
      <x:c r="B9" s="3947" t="str">
        <x:v>Inicial</x:v>
      </x:c>
      <x:c r="C9" s="3947" t="str">
        <x:v>Creada en origen; puede estar pendiente de recepción offline.</x:v>
      </x:c>
      <x:c r="D9" s="3947" t="str">
        <x:v>No</x:v>
      </x:c>
      <x:c r="E9" s="3945"/>
      <x:c r="F9" s="3945"/>
      <x:c r="G9" s="3945"/>
      <x:c r="H9" s="3945"/>
      <x:c r="I9" s="3945"/>
    </x:row>
    <x:row r="10" ht="44" customHeight="1">
      <x:c r="A10" s="4218" t="str">
        <x:v>RECIBIDA</x:v>
      </x:c>
      <x:c r="B10" s="3947" t="str">
        <x:v>Tránsito</x:v>
      </x:c>
      <x:c r="C10" s="3947" t="str">
        <x:v>El receptor/dispositivo confirmó recepción técnica.</x:v>
      </x:c>
      <x:c r="D10" s="3947" t="str">
        <x:v>No</x:v>
      </x:c>
      <x:c r="E10" s="3945"/>
      <x:c r="F10" s="3945"/>
      <x:c r="G10" s="3945"/>
      <x:c r="H10" s="3945"/>
      <x:c r="I10" s="3945"/>
    </x:row>
    <x:row r="11" ht="44" customHeight="1">
      <x:c r="A11" s="4218" t="str">
        <x:v>RECONOCIDA</x:v>
      </x:c>
      <x:c r="B11" s="3947" t="str">
        <x:v>Tránsito</x:v>
      </x:c>
      <x:c r="C11" s="3947" t="str">
        <x:v>Actor/sistema emitió ACK semántico.</x:v>
      </x:c>
      <x:c r="D11" s="3947" t="str">
        <x:v>No</x:v>
      </x:c>
      <x:c r="E11" s="3945"/>
      <x:c r="F11" s="3945"/>
      <x:c r="G11" s="3945"/>
      <x:c r="H11" s="3945"/>
      <x:c r="I11" s="3945"/>
    </x:row>
    <x:row r="12" ht="44" customHeight="1">
      <x:c r="A12" s="4214" t="str">
        <x:v>APLICADA</x:v>
      </x:c>
      <x:c r="B12" s="3947" t="str">
        <x:v>Terminal</x:v>
      </x:c>
      <x:c r="C12" s="3947" t="str">
        <x:v>La directiva fue ejecutada y su efecto quedó registrado.</x:v>
      </x:c>
      <x:c r="D12" s="4219" t="str">
        <x:v>Sí</x:v>
      </x:c>
      <x:c r="E12" s="3945"/>
      <x:c r="F12" s="3945"/>
      <x:c r="G12" s="3945"/>
      <x:c r="H12" s="3945"/>
      <x:c r="I12" s="3945"/>
    </x:row>
    <x:row r="13" ht="44" customHeight="1">
      <x:c r="A13" s="4214" t="str">
        <x:v>RECHAZADA</x:v>
      </x:c>
      <x:c r="B13" s="3947" t="str">
        <x:v>Terminal</x:v>
      </x:c>
      <x:c r="C13" s="3947" t="str">
        <x:v>No pudo/debió aplicarse; causa obligatoria.</x:v>
      </x:c>
      <x:c r="D13" s="4219" t="str">
        <x:v>Sí</x:v>
      </x:c>
      <x:c r="E13" s="3945"/>
      <x:c r="F13" s="3945"/>
      <x:c r="G13" s="3945"/>
      <x:c r="H13" s="3945"/>
      <x:c r="I13" s="3945"/>
    </x:row>
    <x:row r="14" ht="44" customHeight="1">
      <x:c r="A14" s="4214" t="str">
        <x:v>CANCELADA</x:v>
      </x:c>
      <x:c r="B14" s="3947" t="str">
        <x:v>Terminal</x:v>
      </x:c>
      <x:c r="C14" s="3947" t="str">
        <x:v>Emisor retiró directiva antes de aplicación.</x:v>
      </x:c>
      <x:c r="D14" s="4219" t="str">
        <x:v>Sí</x:v>
      </x:c>
      <x:c r="E14" s="3945"/>
      <x:c r="F14" s="3945"/>
      <x:c r="G14" s="3945"/>
      <x:c r="H14" s="3945"/>
      <x:c r="I14" s="3945"/>
    </x:row>
    <x:row r="15" ht="44" customHeight="1">
      <x:c r="A15" s="4214" t="str">
        <x:v>EXPIRADA</x:v>
      </x:c>
      <x:c r="B15" s="3947" t="str">
        <x:v>Terminal</x:v>
      </x:c>
      <x:c r="C15" s="3947" t="str">
        <x:v>Perdió vigencia antes de aplicación.</x:v>
      </x:c>
      <x:c r="D15" s="4219" t="str">
        <x:v>Sí</x:v>
      </x:c>
      <x:c r="E15" s="3945"/>
      <x:c r="F15" s="3945"/>
      <x:c r="G15" s="3945"/>
      <x:c r="H15" s="3945"/>
      <x:c r="I15" s="3945"/>
    </x:row>
    <x:row r="16">
      <x:c r="A16" s="3945"/>
      <x:c r="B16" s="3945"/>
      <x:c r="C16" s="3945"/>
      <x:c r="D16" s="3945"/>
      <x:c r="E16" s="3945"/>
      <x:c r="F16" s="3945"/>
      <x:c r="G16" s="3945"/>
      <x:c r="H16" s="3945"/>
      <x:c r="I16" s="3945"/>
    </x:row>
    <x:row r="17">
      <x:c r="A17" s="3945"/>
      <x:c r="B17" s="3945"/>
      <x:c r="C17" s="3945"/>
      <x:c r="D17" s="3945"/>
      <x:c r="E17" s="3945"/>
      <x:c r="F17" s="3945"/>
      <x:c r="G17" s="3945"/>
      <x:c r="H17" s="3945"/>
      <x:c r="I17" s="3945"/>
    </x:row>
    <x:row r="18">
      <x:c r="A18" s="4220" t="str">
        <x:v>ID</x:v>
      </x:c>
      <x:c r="B18" s="4220" t="str">
        <x:v>Desde</x:v>
      </x:c>
      <x:c r="C18" s="4220" t="str">
        <x:v>Evento</x:v>
      </x:c>
      <x:c r="D18" s="4220" t="str">
        <x:v>Hacia</x:v>
      </x:c>
      <x:c r="E18" s="4220" t="str">
        <x:v>Gate / condición</x:v>
      </x:c>
      <x:c r="F18" s="4220" t="str">
        <x:v>Actor</x:v>
      </x:c>
      <x:c r="G18" s="4220" t="str">
        <x:v>Efecto</x:v>
      </x:c>
      <x:c r="H18" s="4220" t="str">
        <x:v>Tipo</x:v>
      </x:c>
      <x:c r="I18" s="4220" t="str">
        <x:v>Nota</x:v>
      </x:c>
    </x:row>
    <x:row r="19" ht="58" customHeight="1">
      <x:c r="A19" s="3947" t="str">
        <x:v>T-D01</x:v>
      </x:c>
      <x:c r="B19" s="3947" t="str">
        <x:v>—</x:v>
      </x:c>
      <x:c r="C19" s="3947" t="str">
        <x:v>EMITIR</x:v>
      </x:c>
      <x:c r="D19" s="3947" t="str">
        <x:v>EMITIDA</x:v>
      </x:c>
      <x:c r="E19" s="3947" t="str">
        <x:v>Tipo + target + motivo + versión/contexto</x:v>
      </x:c>
      <x:c r="F19" s="3947" t="str">
        <x:v>Planificación/Supervisión/Habilita</x:v>
      </x:c>
      <x:c r="G19" s="3947" t="str">
        <x:v>Publicar hecho.</x:v>
      </x:c>
      <x:c r="H19" s="4218" t="str">
        <x:v>PERMITIDA</x:v>
      </x:c>
      <x:c r="I19" s="3947" t="str"/>
    </x:row>
    <x:row r="20" ht="58" customHeight="1">
      <x:c r="A20" s="3947" t="str">
        <x:v>T-D02</x:v>
      </x:c>
      <x:c r="B20" s="3947" t="str">
        <x:v>EMITIDA</x:v>
      </x:c>
      <x:c r="C20" s="3947" t="str">
        <x:v>RECIBIR</x:v>
      </x:c>
      <x:c r="D20" s="3947" t="str">
        <x:v>RECIBIDA</x:v>
      </x:c>
      <x:c r="E20" s="3947" t="str">
        <x:v>Entrega técnica confirmada</x:v>
      </x:c>
      <x:c r="F20" s="3947" t="str">
        <x:v>Sistema/dispositivo</x:v>
      </x:c>
      <x:c r="G20" s="3947" t="str">
        <x:v>Registrar received_at.</x:v>
      </x:c>
      <x:c r="H20" s="4218" t="str">
        <x:v>PERMITIDA</x:v>
      </x:c>
      <x:c r="I20" s="3947" t="str"/>
    </x:row>
    <x:row r="21" ht="58" customHeight="1">
      <x:c r="A21" s="3947" t="str">
        <x:v>T-D03</x:v>
      </x:c>
      <x:c r="B21" s="3947" t="str">
        <x:v>RECIBIDA</x:v>
      </x:c>
      <x:c r="C21" s="3947" t="str">
        <x:v>ACK</x:v>
      </x:c>
      <x:c r="D21" s="3947" t="str">
        <x:v>RECONOCIDA</x:v>
      </x:c>
      <x:c r="E21" s="3947" t="str">
        <x:v>Receptor comprende/acepta procesar</x:v>
      </x:c>
      <x:c r="F21" s="3947" t="str">
        <x:v>Actor/Sistema</x:v>
      </x:c>
      <x:c r="G21" s="3947" t="str">
        <x:v>Registrar ack_at.</x:v>
      </x:c>
      <x:c r="H21" s="4218" t="str">
        <x:v>PERMITIDA</x:v>
      </x:c>
      <x:c r="I21" s="3947" t="str"/>
    </x:row>
    <x:row r="22" ht="58" customHeight="1">
      <x:c r="A22" s="3947" t="str">
        <x:v>T-D04</x:v>
      </x:c>
      <x:c r="B22" s="3947" t="str">
        <x:v>RECIBIDA/RECONOCIDA</x:v>
      </x:c>
      <x:c r="C22" s="3947" t="str">
        <x:v>APLICAR</x:v>
      </x:c>
      <x:c r="D22" s="3947" t="str">
        <x:v>APLICADA</x:v>
      </x:c>
      <x:c r="E22" s="3947" t="str">
        <x:v>Efecto realizado y trazado</x:v>
      </x:c>
      <x:c r="F22" s="3947" t="str">
        <x:v>Campo/Sistema</x:v>
      </x:c>
      <x:c r="G22" s="3947" t="str">
        <x:v>Cerrar lifecycle positivo.</x:v>
      </x:c>
      <x:c r="H22" s="4218" t="str">
        <x:v>PERMITIDA</x:v>
      </x:c>
      <x:c r="I22" s="3947" t="str"/>
    </x:row>
    <x:row r="23" ht="58" customHeight="1">
      <x:c r="A23" s="3947" t="str">
        <x:v>T-D05</x:v>
      </x:c>
      <x:c r="B23" s="3947" t="str">
        <x:v>RECIBIDA/RECONOCIDA</x:v>
      </x:c>
      <x:c r="C23" s="3947" t="str">
        <x:v>RECHAZAR</x:v>
      </x:c>
      <x:c r="D23" s="3947" t="str">
        <x:v>RECHAZADA</x:v>
      </x:c>
      <x:c r="E23" s="3947" t="str">
        <x:v>Causa estructurada</x:v>
      </x:c>
      <x:c r="F23" s="3947" t="str">
        <x:v>Campo/Sistema</x:v>
      </x:c>
      <x:c r="G23" s="3947" t="str">
        <x:v>Cerrar sin aplicación.</x:v>
      </x:c>
      <x:c r="H23" s="4218" t="str">
        <x:v>PERMITIDA</x:v>
      </x:c>
      <x:c r="I23" s="3947" t="str"/>
    </x:row>
    <x:row r="24" ht="58" customHeight="1">
      <x:c r="A24" s="3947" t="str">
        <x:v>T-D06</x:v>
      </x:c>
      <x:c r="B24" s="3947" t="str">
        <x:v>EMITIDA/RECIBIDA</x:v>
      </x:c>
      <x:c r="C24" s="3947" t="str">
        <x:v>CANCELAR</x:v>
      </x:c>
      <x:c r="D24" s="3947" t="str">
        <x:v>CANCELADA</x:v>
      </x:c>
      <x:c r="E24" s="3947" t="str">
        <x:v>Aún no aplicada</x:v>
      </x:c>
      <x:c r="F24" s="3947" t="str">
        <x:v>Emisor autorizado</x:v>
      </x:c>
      <x:c r="G24" s="3947" t="str">
        <x:v>Retirar instrucción.</x:v>
      </x:c>
      <x:c r="H24" s="4218" t="str">
        <x:v>PERMITIDA</x:v>
      </x:c>
      <x:c r="I24" s="3947" t="str"/>
    </x:row>
    <x:row r="25" ht="58" customHeight="1">
      <x:c r="A25" s="3947" t="str">
        <x:v>T-D07</x:v>
      </x:c>
      <x:c r="B25" s="3947" t="str">
        <x:v>EMITIDA/RECIBIDA/RECONOCIDA</x:v>
      </x:c>
      <x:c r="C25" s="3947" t="str">
        <x:v>EXPIRAR</x:v>
      </x:c>
      <x:c r="D25" s="3947" t="str">
        <x:v>EXPIRADA</x:v>
      </x:c>
      <x:c r="E25" s="3947" t="str">
        <x:v>valid_until superado</x:v>
      </x:c>
      <x:c r="F25" s="3947" t="str">
        <x:v>Sistema</x:v>
      </x:c>
      <x:c r="G25" s="3947" t="str">
        <x:v>Evitar aplicar orden obsoleta.</x:v>
      </x:c>
      <x:c r="H25" s="4218" t="str">
        <x:v>PERMITIDA</x:v>
      </x:c>
      <x:c r="I25" s="3947" t="str"/>
    </x:row>
    <x:row r="26">
      <x:c r="A26" s="3945"/>
      <x:c r="B26" s="3945"/>
      <x:c r="C26" s="3945"/>
      <x:c r="D26" s="3945"/>
      <x:c r="E26" s="3945"/>
      <x:c r="F26" s="3945"/>
      <x:c r="G26" s="3945"/>
      <x:c r="H26" s="3945"/>
      <x:c r="I26" s="3945"/>
    </x:row>
    <x:row r="27">
      <x:c r="A27" s="3945"/>
      <x:c r="B27" s="3945"/>
      <x:c r="C27" s="3945"/>
      <x:c r="D27" s="3945"/>
      <x:c r="E27" s="3945"/>
      <x:c r="F27" s="3945"/>
      <x:c r="G27" s="3945"/>
      <x:c r="H27" s="3945"/>
      <x:c r="I27" s="3945"/>
    </x:row>
    <x:row r="28">
      <x:c r="A28" s="4221" t="str">
        <x:v>Desde</x:v>
      </x:c>
      <x:c r="B28" s="4221" t="str">
        <x:v>Hacia</x:v>
      </x:c>
      <x:c r="C28" s="4221" t="str">
        <x:v>Transición prohibida</x:v>
      </x:c>
      <x:c r="D28" s="4221" t="str">
        <x:v>Qué hacer en cambio</x:v>
      </x:c>
      <x:c r="E28" s="3945"/>
      <x:c r="F28" s="3945"/>
      <x:c r="G28" s="3945"/>
      <x:c r="H28" s="3945"/>
      <x:c r="I28" s="3945"/>
    </x:row>
    <x:row r="29" ht="52" customHeight="1">
      <x:c r="A29" s="3947" t="str">
        <x:v>EMITIDA</x:v>
      </x:c>
      <x:c r="B29" s="3947" t="str">
        <x:v>APLICADA</x:v>
      </x:c>
      <x:c r="C29" s="3947" t="str">
        <x:v>Marcar aplicada sin trazabilidad de recepción/efecto</x:v>
      </x:c>
      <x:c r="D29" s="3947" t="str">
        <x:v>Debe existir evidencia de recepción/aplicación; ACK puede ser implícito solo si regla lo permite.</x:v>
      </x:c>
      <x:c r="E29" s="3945"/>
      <x:c r="F29" s="3945"/>
      <x:c r="G29" s="3945"/>
      <x:c r="H29" s="3945"/>
      <x:c r="I29" s="3945"/>
    </x:row>
    <x:row r="30" ht="52" customHeight="1">
      <x:c r="A30" s="3947" t="str">
        <x:v>APLICADA</x:v>
      </x:c>
      <x:c r="B30" s="3947" t="str">
        <x:v>CANCELADA</x:v>
      </x:c>
      <x:c r="C30" s="3947" t="str">
        <x:v>Cancelar retroactivamente</x:v>
      </x:c>
      <x:c r="D30" s="3947" t="str">
        <x:v>Emitir nueva directiva compensatoria.</x:v>
      </x:c>
      <x:c r="E30" s="3945"/>
      <x:c r="F30" s="3945"/>
      <x:c r="G30" s="3945"/>
      <x:c r="H30" s="3945"/>
      <x:c r="I30" s="3945"/>
    </x:row>
    <x:row r="31" ht="52" customHeight="1">
      <x:c r="A31" s="3947" t="str">
        <x:v>RECHAZADA</x:v>
      </x:c>
      <x:c r="B31" s="3947" t="str">
        <x:v>APLICADA</x:v>
      </x:c>
      <x:c r="C31" s="3947" t="str">
        <x:v>Aplicar la misma directiva rechazada</x:v>
      </x:c>
      <x:c r="D31" s="3947" t="str">
        <x:v>Emitir nueva versión/directiva.</x:v>
      </x:c>
      <x:c r="E31" s="3945"/>
      <x:c r="F31" s="3945"/>
      <x:c r="G31" s="3945"/>
      <x:c r="H31" s="3945"/>
      <x:c r="I31" s="3945"/>
    </x:row>
    <x:row r="32">
      <x:c r="A32" s="3945"/>
      <x:c r="B32" s="3945"/>
      <x:c r="C32" s="3945"/>
      <x:c r="D32" s="3945"/>
      <x:c r="E32" s="3945"/>
      <x:c r="F32" s="3945"/>
      <x:c r="G32" s="3945"/>
      <x:c r="H32" s="3945"/>
      <x:c r="I32" s="3945"/>
    </x:row>
    <x:row r="33">
      <x:c r="A33" s="3945"/>
      <x:c r="B33" s="3945"/>
      <x:c r="C33" s="3945"/>
      <x:c r="D33" s="3945"/>
      <x:c r="E33" s="3945"/>
      <x:c r="F33" s="3945"/>
      <x:c r="G33" s="3945"/>
      <x:c r="H33" s="3945"/>
      <x:c r="I33" s="3945"/>
    </x:row>
    <x:row r="34">
      <x:c r="A34" s="3945"/>
      <x:c r="B34" s="3945"/>
      <x:c r="C34" s="3945"/>
      <x:c r="D34" s="3945"/>
      <x:c r="E34" s="3945"/>
      <x:c r="F34" s="3945"/>
      <x:c r="G34" s="3945"/>
      <x:c r="H34" s="3945"/>
      <x:c r="I34" s="3945"/>
    </x:row>
  </x:sheetData>
  <x:mergeCells>
    <x:mergeCell ref="A1:I1"/>
    <x:mergeCell ref="A2:I2"/>
    <x:mergeCell ref="A4:I4"/>
    <x:mergeCell ref="A5:I6"/>
  </x:mergeCells>
  <x:pageMargins left="0.7" right="0.7" top="0.75" bottom="0.75" header="0.3" footer="0.3"/>
</x:worksheet>
</file>

<file path=xl/worksheets/sheet55.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27" hidden="0" customWidth="1"/>
    <x:col min="5" max="5" width="42" hidden="0" customWidth="1"/>
    <x:col min="6" max="6" width="30" hidden="0" customWidth="1"/>
    <x:col min="7" max="7" width="30" hidden="0" customWidth="1"/>
    <x:col min="8" max="8" width="16" hidden="0" customWidth="1"/>
    <x:col min="9" max="9" width="36" hidden="0" customWidth="1"/>
  </x:cols>
  <x:sheetData>
    <x:row r="1">
      <x:c r="A1" s="4213" t="str">
        <x:v>STATE MACHINES · HABILITA / EVENTOS Y CASOS</x:v>
      </x:c>
      <x:c r="B1" s="4213"/>
      <x:c r="C1" s="4213"/>
      <x:c r="D1" s="4213"/>
      <x:c r="E1" s="4213"/>
      <x:c r="F1" s="4213"/>
      <x:c r="G1" s="4213"/>
      <x:c r="H1" s="4213"/>
      <x:c r="I1" s="4213"/>
    </x:row>
    <x:row r="2">
      <x:c r="A2" s="4214" t="str">
        <x:v>Las transiciones describen comportamiento funcional. El modelo físico podrá implementar constraints, eventos o workflows, pero no cambiar su semántica sin reabrir la baseline.</x:v>
      </x:c>
      <x:c r="B2" s="4214"/>
      <x:c r="C2" s="4214"/>
      <x:c r="D2" s="4214"/>
      <x:c r="E2" s="4214"/>
      <x:c r="F2" s="4214"/>
      <x:c r="G2" s="4214"/>
      <x:c r="H2" s="4214"/>
      <x:c r="I2" s="4214"/>
    </x:row>
    <x:row r="3">
      <x:c r="A3" s="3945"/>
      <x:c r="B3" s="3945"/>
      <x:c r="C3" s="3945"/>
      <x:c r="D3" s="3945"/>
      <x:c r="E3" s="3945"/>
      <x:c r="F3" s="3945"/>
      <x:c r="G3" s="3945"/>
      <x:c r="H3" s="3945"/>
      <x:c r="I3" s="3945"/>
    </x:row>
    <x:row r="4">
      <x:c r="A4" s="4215" t="str">
        <x:v>HABILITA · EventoHabilita</x:v>
      </x:c>
      <x:c r="B4" s="4215"/>
      <x:c r="C4" s="4215"/>
      <x:c r="D4" s="4215"/>
      <x:c r="E4" s="4215"/>
      <x:c r="F4" s="4215"/>
      <x:c r="G4" s="4215"/>
      <x:c r="H4" s="4215"/>
      <x:c r="I4" s="4215"/>
    </x:row>
    <x:row r="5">
      <x:c r="A5" s="4216" t="str">
        <x:v>El evento es el hecho reportado. El triage puede reclasificarlo sin borrar el reporte inicial; CasoHabilita es lifecycle separado.</x:v>
      </x:c>
      <x:c r="B5" s="4216"/>
      <x:c r="C5" s="4216"/>
      <x:c r="D5" s="4216"/>
      <x:c r="E5" s="4216"/>
      <x:c r="F5" s="4216"/>
      <x:c r="G5" s="4216"/>
      <x:c r="H5" s="4216"/>
      <x:c r="I5" s="4216"/>
    </x:row>
    <x:row r="6">
      <x:c r="A6" s="4216"/>
      <x:c r="B6" s="4216"/>
      <x:c r="C6" s="4216"/>
      <x:c r="D6" s="4216"/>
      <x:c r="E6" s="4216"/>
      <x:c r="F6" s="4216"/>
      <x:c r="G6" s="4216"/>
      <x:c r="H6" s="4216"/>
      <x:c r="I6" s="4216"/>
    </x:row>
    <x:row r="7">
      <x:c r="A7" s="3945"/>
      <x:c r="B7" s="3945"/>
      <x:c r="C7" s="3945"/>
      <x:c r="D7" s="3945"/>
      <x:c r="E7" s="3945"/>
      <x:c r="F7" s="3945"/>
      <x:c r="G7" s="3945"/>
      <x:c r="H7" s="3945"/>
      <x:c r="I7" s="3945"/>
    </x:row>
    <x:row r="8">
      <x:c r="A8" s="4217" t="str">
        <x:v>Estado</x:v>
      </x:c>
      <x:c r="B8" s="4217" t="str">
        <x:v>Tipo</x:v>
      </x:c>
      <x:c r="C8" s="4217" t="str">
        <x:v>Semántica</x:v>
      </x:c>
      <x:c r="D8" s="4217" t="str">
        <x:v>Terminal</x:v>
      </x:c>
      <x:c r="E8" s="3945"/>
      <x:c r="F8" s="3945"/>
      <x:c r="G8" s="3945"/>
      <x:c r="H8" s="3945"/>
      <x:c r="I8" s="3945"/>
    </x:row>
    <x:row r="9" ht="44" customHeight="1">
      <x:c r="A9" s="4218" t="str">
        <x:v>REPORTADO</x:v>
      </x:c>
      <x:c r="B9" s="3947" t="str">
        <x:v>Inicial</x:v>
      </x:c>
      <x:c r="C9" s="3947" t="str">
        <x:v>Flash Report creado.</x:v>
      </x:c>
      <x:c r="D9" s="3947" t="str">
        <x:v>No</x:v>
      </x:c>
      <x:c r="E9" s="3945"/>
      <x:c r="F9" s="3945"/>
      <x:c r="G9" s="3945"/>
      <x:c r="H9" s="3945"/>
      <x:c r="I9" s="3945"/>
    </x:row>
    <x:row r="10" ht="44" customHeight="1">
      <x:c r="A10" s="4218" t="str">
        <x:v>EN_TRIAGE</x:v>
      </x:c>
      <x:c r="B10" s="3947" t="str">
        <x:v>Habilita</x:v>
      </x:c>
      <x:c r="C10" s="3947" t="str">
        <x:v>Evento bajo clasificación/evaluación inicial.</x:v>
      </x:c>
      <x:c r="D10" s="3947" t="str">
        <x:v>No</x:v>
      </x:c>
      <x:c r="E10" s="3945"/>
      <x:c r="F10" s="3945"/>
      <x:c r="G10" s="3945"/>
      <x:c r="H10" s="3945"/>
      <x:c r="I10" s="3945"/>
    </x:row>
    <x:row r="11" ht="44" customHeight="1">
      <x:c r="A11" s="4218" t="str">
        <x:v>CLASIFICADO</x:v>
      </x:c>
      <x:c r="B11" s="3947" t="str">
        <x:v>Habilita</x:v>
      </x:c>
      <x:c r="C11" s="3947" t="str">
        <x:v>Tipo/severidad/contexto suficientes para ejecutar escalamiento.</x:v>
      </x:c>
      <x:c r="D11" s="3947" t="str">
        <x:v>No</x:v>
      </x:c>
      <x:c r="E11" s="3945"/>
      <x:c r="F11" s="3945"/>
      <x:c r="G11" s="3945"/>
      <x:c r="H11" s="3945"/>
      <x:c r="I11" s="3945"/>
    </x:row>
    <x:row r="12" ht="44" customHeight="1">
      <x:c r="A12" s="4214" t="str">
        <x:v>ESCALADO_A_CASO</x:v>
      </x:c>
      <x:c r="B12" s="3947" t="str">
        <x:v>Terminal del evento</x:v>
      </x:c>
      <x:c r="C12" s="3947" t="str">
        <x:v>Regla exige CasoHabilita; el hecho queda estable y seguimiento continúa en Caso.</x:v>
      </x:c>
      <x:c r="D12" s="4219" t="str">
        <x:v>Sí del workflow evento</x:v>
      </x:c>
      <x:c r="E12" s="3945"/>
      <x:c r="F12" s="3945"/>
      <x:c r="G12" s="3945"/>
      <x:c r="H12" s="3945"/>
      <x:c r="I12" s="3945"/>
    </x:row>
    <x:row r="13" ht="44" customHeight="1">
      <x:c r="A13" s="4214" t="str">
        <x:v>CERRADO_SIN_CASO</x:v>
      </x:c>
      <x:c r="B13" s="3947" t="str">
        <x:v>Terminal</x:v>
      </x:c>
      <x:c r="C13" s="3947" t="str">
        <x:v>Triage concluyó que no requiere caso formal.</x:v>
      </x:c>
      <x:c r="D13" s="4219" t="str">
        <x:v>Sí</x:v>
      </x:c>
      <x:c r="E13" s="3945"/>
      <x:c r="F13" s="3945"/>
      <x:c r="G13" s="3945"/>
      <x:c r="H13" s="3945"/>
      <x:c r="I13" s="3945"/>
    </x:row>
    <x:row r="14" ht="44" customHeight="1">
      <x:c r="A14" s="4214" t="str">
        <x:v>DESCARTADO</x:v>
      </x:c>
      <x:c r="B14" s="3947" t="str">
        <x:v>Terminal excepcional</x:v>
      </x:c>
      <x:c r="C14" s="3947" t="str">
        <x:v>Duplicado/no evento/error de reporte, con causa y vínculo si corresponde.</x:v>
      </x:c>
      <x:c r="D14" s="4219" t="str">
        <x:v>Sí</x:v>
      </x:c>
      <x:c r="E14" s="3945"/>
      <x:c r="F14" s="3945"/>
      <x:c r="G14" s="3945"/>
      <x:c r="H14" s="3945"/>
      <x:c r="I14" s="3945"/>
    </x:row>
    <x:row r="15">
      <x:c r="A15" s="3945"/>
      <x:c r="B15" s="3945"/>
      <x:c r="C15" s="3945"/>
      <x:c r="D15" s="3945"/>
      <x:c r="E15" s="3945"/>
      <x:c r="F15" s="3945"/>
      <x:c r="G15" s="3945"/>
      <x:c r="H15" s="3945"/>
      <x:c r="I15" s="3945"/>
    </x:row>
    <x:row r="16">
      <x:c r="A16" s="3945"/>
      <x:c r="B16" s="3945"/>
      <x:c r="C16" s="3945"/>
      <x:c r="D16" s="3945"/>
      <x:c r="E16" s="3945"/>
      <x:c r="F16" s="3945"/>
      <x:c r="G16" s="3945"/>
      <x:c r="H16" s="3945"/>
      <x:c r="I16" s="3945"/>
    </x:row>
    <x:row r="17">
      <x:c r="A17" s="4220" t="str">
        <x:v>ID</x:v>
      </x:c>
      <x:c r="B17" s="4220" t="str">
        <x:v>Desde</x:v>
      </x:c>
      <x:c r="C17" s="4220" t="str">
        <x:v>Evento</x:v>
      </x:c>
      <x:c r="D17" s="4220" t="str">
        <x:v>Hacia</x:v>
      </x:c>
      <x:c r="E17" s="4220" t="str">
        <x:v>Gate / condición</x:v>
      </x:c>
      <x:c r="F17" s="4220" t="str">
        <x:v>Actor</x:v>
      </x:c>
      <x:c r="G17" s="4220" t="str">
        <x:v>Efecto</x:v>
      </x:c>
      <x:c r="H17" s="4220" t="str">
        <x:v>Tipo</x:v>
      </x:c>
      <x:c r="I17" s="4220" t="str">
        <x:v>Nota</x:v>
      </x:c>
    </x:row>
    <x:row r="18" ht="58" customHeight="1">
      <x:c r="A18" s="3947" t="str">
        <x:v>T-EH01</x:v>
      </x:c>
      <x:c r="B18" s="3947" t="str">
        <x:v>—</x:v>
      </x:c>
      <x:c r="C18" s="3947" t="str">
        <x:v>FLASH_REPORT</x:v>
      </x:c>
      <x:c r="D18" s="3947" t="str">
        <x:v>REPORTADO</x:v>
      </x:c>
      <x:c r="E18" s="3947" t="str">
        <x:v>Payload mínimo</x:v>
      </x:c>
      <x:c r="F18" s="3947" t="str">
        <x:v>Campo/Sistema</x:v>
      </x:c>
      <x:c r="G18" s="3947" t="str">
        <x:v>Preservar reporte original.</x:v>
      </x:c>
      <x:c r="H18" s="4218" t="str">
        <x:v>PERMITIDA</x:v>
      </x:c>
      <x:c r="I18" s="3947" t="str"/>
    </x:row>
    <x:row r="19" ht="58" customHeight="1">
      <x:c r="A19" s="3947" t="str">
        <x:v>T-EH02</x:v>
      </x:c>
      <x:c r="B19" s="3947" t="str">
        <x:v>REPORTADO</x:v>
      </x:c>
      <x:c r="C19" s="3947" t="str">
        <x:v>INICIAR_TRIAGE</x:v>
      </x:c>
      <x:c r="D19" s="3947" t="str">
        <x:v>EN_TRIAGE</x:v>
      </x:c>
      <x:c r="E19" s="3947" t="str">
        <x:v>Responsable asignado/cola</x:v>
      </x:c>
      <x:c r="F19" s="3947" t="str">
        <x:v>Habilita</x:v>
      </x:c>
      <x:c r="G19" s="3947" t="str">
        <x:v>Iniciar clasificación.</x:v>
      </x:c>
      <x:c r="H19" s="4218" t="str">
        <x:v>PERMITIDA</x:v>
      </x:c>
      <x:c r="I19" s="3947" t="str"/>
    </x:row>
    <x:row r="20" ht="58" customHeight="1">
      <x:c r="A20" s="3947" t="str">
        <x:v>T-EH03</x:v>
      </x:c>
      <x:c r="B20" s="3947" t="str">
        <x:v>EN_TRIAGE</x:v>
      </x:c>
      <x:c r="C20" s="3947" t="str">
        <x:v>CLASIFICAR</x:v>
      </x:c>
      <x:c r="D20" s="3947" t="str">
        <x:v>CLASIFICADO</x:v>
      </x:c>
      <x:c r="E20" s="3947" t="str">
        <x:v>Categoría + información suficiente para ReglaEscalamiento</x:v>
      </x:c>
      <x:c r="F20" s="3947" t="str">
        <x:v>Habilita</x:v>
      </x:c>
      <x:c r="G20" s="3947" t="str">
        <x:v>Persistir clasificación vigente.</x:v>
      </x:c>
      <x:c r="H20" s="4218" t="str">
        <x:v>PERMITIDA</x:v>
      </x:c>
      <x:c r="I20" s="3947" t="str"/>
    </x:row>
    <x:row r="21" ht="58" customHeight="1">
      <x:c r="A21" s="3947" t="str">
        <x:v>T-EH04</x:v>
      </x:c>
      <x:c r="B21" s="3947" t="str">
        <x:v>CLASIFICADO</x:v>
      </x:c>
      <x:c r="C21" s="3947" t="str">
        <x:v>EVALUAR_ESCALAMIENTO_ABRE_CASO</x:v>
      </x:c>
      <x:c r="D21" s="3947" t="str">
        <x:v>ESCALADO_A_CASO</x:v>
      </x:c>
      <x:c r="E21" s="3947" t="str">
        <x:v>EvaluacionEscalamientoHabilita exige Caso</x:v>
      </x:c>
      <x:c r="F21" s="3947" t="str">
        <x:v>Motor/Habilita</x:v>
      </x:c>
      <x:c r="G21" s="3947" t="str">
        <x:v>Crear CasoHabilita.</x:v>
      </x:c>
      <x:c r="H21" s="4218" t="str">
        <x:v>PERMITIDA</x:v>
      </x:c>
      <x:c r="I21" s="3947" t="str"/>
    </x:row>
    <x:row r="22" ht="58" customHeight="1">
      <x:c r="A22" s="3947" t="str">
        <x:v>T-EH05</x:v>
      </x:c>
      <x:c r="B22" s="3947" t="str">
        <x:v>CLASIFICADO</x:v>
      </x:c>
      <x:c r="C22" s="3947" t="str">
        <x:v>CERRAR_SIN_CASO</x:v>
      </x:c>
      <x:c r="D22" s="3947" t="str">
        <x:v>CERRADO_SIN_CASO</x:v>
      </x:c>
      <x:c r="E22" s="3947" t="str">
        <x:v>Regla no exige seguimiento formal + mínimos completos</x:v>
      </x:c>
      <x:c r="F22" s="3947" t="str">
        <x:v>Habilita</x:v>
      </x:c>
      <x:c r="G22" s="3947" t="str">
        <x:v>Cerrar workflow de evento.</x:v>
      </x:c>
      <x:c r="H22" s="4218" t="str">
        <x:v>PERMITIDA</x:v>
      </x:c>
      <x:c r="I22" s="3947" t="str"/>
    </x:row>
    <x:row r="23" ht="58" customHeight="1">
      <x:c r="A23" s="3947" t="str">
        <x:v>T-EH06</x:v>
      </x:c>
      <x:c r="B23" s="3947" t="str">
        <x:v>REPORTADO/EN_TRIAGE</x:v>
      </x:c>
      <x:c r="C23" s="3947" t="str">
        <x:v>DESCARTAR_DUPLICADO_NO_EVENTO</x:v>
      </x:c>
      <x:c r="D23" s="3947" t="str">
        <x:v>DESCARTADO</x:v>
      </x:c>
      <x:c r="E23" s="3947" t="str">
        <x:v>Causa + referencia al evento correcto si duplicado</x:v>
      </x:c>
      <x:c r="F23" s="3947" t="str">
        <x:v>Habilita</x:v>
      </x:c>
      <x:c r="G23" s="3947" t="str">
        <x:v>Preservar reporte pero quitarlo de flujo.</x:v>
      </x:c>
      <x:c r="H23" s="4218" t="str">
        <x:v>PERMITIDA</x:v>
      </x:c>
      <x:c r="I23" s="3947" t="str"/>
    </x:row>
    <x:row r="24" ht="58" customHeight="1">
      <x:c r="A24" s="3947" t="str">
        <x:v>T-EH07</x:v>
      </x:c>
      <x:c r="B24" s="3947" t="str">
        <x:v>CLASIFICADO</x:v>
      </x:c>
      <x:c r="C24" s="3947" t="str">
        <x:v>RECLASIFICAR</x:v>
      </x:c>
      <x:c r="D24" s="3947" t="str">
        <x:v>CLASIFICADO</x:v>
      </x:c>
      <x:c r="E24" s="3947" t="str">
        <x:v>Nueva Evaluacion/justificación; no borrar historia</x:v>
      </x:c>
      <x:c r="F24" s="3947" t="str">
        <x:v>Habilita</x:v>
      </x:c>
      <x:c r="G24" s="3947" t="str">
        <x:v>Actualizar clasificación mediante versión/evento.</x:v>
      </x:c>
      <x:c r="H24" s="4218" t="str">
        <x:v>PERMITIDA</x:v>
      </x:c>
      <x:c r="I24" s="3947" t="str"/>
    </x:row>
    <x:row r="25">
      <x:c r="A25" s="3945"/>
      <x:c r="B25" s="3945"/>
      <x:c r="C25" s="3945"/>
      <x:c r="D25" s="3945"/>
      <x:c r="E25" s="3945"/>
      <x:c r="F25" s="3945"/>
      <x:c r="G25" s="3945"/>
      <x:c r="H25" s="3945"/>
      <x:c r="I25" s="3945"/>
    </x:row>
    <x:row r="26">
      <x:c r="A26" s="3945"/>
      <x:c r="B26" s="3945"/>
      <x:c r="C26" s="3945"/>
      <x:c r="D26" s="3945"/>
      <x:c r="E26" s="3945"/>
      <x:c r="F26" s="3945"/>
      <x:c r="G26" s="3945"/>
      <x:c r="H26" s="3945"/>
      <x:c r="I26" s="3945"/>
    </x:row>
    <x:row r="27">
      <x:c r="A27" s="4221" t="str">
        <x:v>Desde</x:v>
      </x:c>
      <x:c r="B27" s="4221" t="str">
        <x:v>Hacia</x:v>
      </x:c>
      <x:c r="C27" s="4221" t="str">
        <x:v>Transición prohibida</x:v>
      </x:c>
      <x:c r="D27" s="4221" t="str">
        <x:v>Qué hacer en cambio</x:v>
      </x:c>
      <x:c r="E27" s="3945"/>
      <x:c r="F27" s="3945"/>
      <x:c r="G27" s="3945"/>
      <x:c r="H27" s="3945"/>
      <x:c r="I27" s="3945"/>
    </x:row>
    <x:row r="28" ht="52" customHeight="1">
      <x:c r="A28" s="3947" t="str">
        <x:v>REPORTADO</x:v>
      </x:c>
      <x:c r="B28" s="3947" t="str">
        <x:v>CERRADO_SIN_CASO</x:v>
      </x:c>
      <x:c r="C28" s="3947" t="str">
        <x:v>Cerrar sin triage/clasificación mínima</x:v>
      </x:c>
      <x:c r="D28" s="3947" t="str">
        <x:v>Debe existir decisión Habilita.</x:v>
      </x:c>
      <x:c r="E28" s="3945"/>
      <x:c r="F28" s="3945"/>
      <x:c r="G28" s="3945"/>
      <x:c r="H28" s="3945"/>
      <x:c r="I28" s="3945"/>
    </x:row>
    <x:row r="29" ht="52" customHeight="1">
      <x:c r="A29" s="3947" t="str">
        <x:v>ESCALADO_A_CASO</x:v>
      </x:c>
      <x:c r="B29" s="3947" t="str">
        <x:v>CERRADO_SIN_CASO</x:v>
      </x:c>
      <x:c r="C29" s="3947" t="str">
        <x:v>Cerrar evento ignorando Caso abierto</x:v>
      </x:c>
      <x:c r="D29" s="3947" t="str">
        <x:v>Caso debe resolverse en su máquina.</x:v>
      </x:c>
      <x:c r="E29" s="3945"/>
      <x:c r="F29" s="3945"/>
      <x:c r="G29" s="3945"/>
      <x:c r="H29" s="3945"/>
      <x:c r="I29" s="3945"/>
    </x:row>
    <x:row r="30" ht="52" customHeight="1">
      <x:c r="A30" s="3947" t="str">
        <x:v>DESCARTADO</x:v>
      </x:c>
      <x:c r="B30" s="3947" t="str">
        <x:v>ESCALADO_A_CASO</x:v>
      </x:c>
      <x:c r="C30" s="3947" t="str">
        <x:v>Reusar evento descartado</x:v>
      </x:c>
      <x:c r="D30" s="3947" t="str">
        <x:v>Reactivar mediante revisión explícita o crear evento válido.</x:v>
      </x:c>
      <x:c r="E30" s="3945"/>
      <x:c r="F30" s="3945"/>
      <x:c r="G30" s="3945"/>
      <x:c r="H30" s="3945"/>
      <x:c r="I30" s="3945"/>
    </x:row>
    <x:row r="31">
      <x:c r="A31" s="3945"/>
      <x:c r="B31" s="3945"/>
      <x:c r="C31" s="3945"/>
      <x:c r="D31" s="3945"/>
      <x:c r="E31" s="3945"/>
      <x:c r="F31" s="3945"/>
      <x:c r="G31" s="3945"/>
      <x:c r="H31" s="3945"/>
      <x:c r="I31" s="3945"/>
    </x:row>
    <x:row r="32">
      <x:c r="A32" s="3945"/>
      <x:c r="B32" s="3945"/>
      <x:c r="C32" s="3945"/>
      <x:c r="D32" s="3945"/>
      <x:c r="E32" s="3945"/>
      <x:c r="F32" s="3945"/>
      <x:c r="G32" s="3945"/>
      <x:c r="H32" s="3945"/>
      <x:c r="I32" s="3945"/>
    </x:row>
    <x:row r="33">
      <x:c r="A33" s="4215" t="str">
        <x:v>HABILITA · CasoHabilita</x:v>
      </x:c>
      <x:c r="B33" s="4215"/>
      <x:c r="C33" s="4215"/>
      <x:c r="D33" s="4215"/>
      <x:c r="E33" s="4215"/>
      <x:c r="F33" s="4215"/>
      <x:c r="G33" s="4215"/>
      <x:c r="H33" s="4215"/>
      <x:c r="I33" s="4215"/>
    </x:row>
    <x:row r="34">
      <x:c r="A34" s="4216" t="str">
        <x:v>Separa investigación, seguimiento de acciones y cierre global. Puede permanecer abierto después de normalizada la operación.</x:v>
      </x:c>
      <x:c r="B34" s="4216"/>
      <x:c r="C34" s="4216"/>
      <x:c r="D34" s="4216"/>
      <x:c r="E34" s="4216"/>
      <x:c r="F34" s="4216"/>
      <x:c r="G34" s="4216"/>
      <x:c r="H34" s="4216"/>
      <x:c r="I34" s="4216"/>
    </x:row>
    <x:row r="35">
      <x:c r="A35" s="4216"/>
      <x:c r="B35" s="4216"/>
      <x:c r="C35" s="4216"/>
      <x:c r="D35" s="4216"/>
      <x:c r="E35" s="4216"/>
      <x:c r="F35" s="4216"/>
      <x:c r="G35" s="4216"/>
      <x:c r="H35" s="4216"/>
      <x:c r="I35" s="4216"/>
    </x:row>
    <x:row r="36">
      <x:c r="A36" s="3945"/>
      <x:c r="B36" s="3945"/>
      <x:c r="C36" s="3945"/>
      <x:c r="D36" s="3945"/>
      <x:c r="E36" s="3945"/>
      <x:c r="F36" s="3945"/>
      <x:c r="G36" s="3945"/>
      <x:c r="H36" s="3945"/>
      <x:c r="I36" s="3945"/>
    </x:row>
    <x:row r="37">
      <x:c r="A37" s="4217" t="str">
        <x:v>Estado</x:v>
      </x:c>
      <x:c r="B37" s="4217" t="str">
        <x:v>Tipo</x:v>
      </x:c>
      <x:c r="C37" s="4217" t="str">
        <x:v>Semántica</x:v>
      </x:c>
      <x:c r="D37" s="4217" t="str">
        <x:v>Terminal</x:v>
      </x:c>
      <x:c r="E37" s="3945"/>
      <x:c r="F37" s="3945"/>
      <x:c r="G37" s="3945"/>
      <x:c r="H37" s="3945"/>
      <x:c r="I37" s="3945"/>
    </x:row>
    <x:row r="38" ht="44" customHeight="1">
      <x:c r="A38" s="4218" t="str">
        <x:v>ABIERTO</x:v>
      </x:c>
      <x:c r="B38" s="3947" t="str">
        <x:v>Inicial</x:v>
      </x:c>
      <x:c r="C38" s="3947" t="str">
        <x:v>Caso creado desde EventoHabilita.</x:v>
      </x:c>
      <x:c r="D38" s="3947" t="str">
        <x:v>No</x:v>
      </x:c>
      <x:c r="E38" s="3945"/>
      <x:c r="F38" s="3945"/>
      <x:c r="G38" s="3945"/>
      <x:c r="H38" s="3945"/>
      <x:c r="I38" s="3945"/>
    </x:row>
    <x:row r="39" ht="44" customHeight="1">
      <x:c r="A39" s="4218" t="str">
        <x:v>EN_INVESTIGACION</x:v>
      </x:c>
      <x:c r="B39" s="3947" t="str">
        <x:v>Investigación</x:v>
      </x:c>
      <x:c r="C39" s="3947" t="str">
        <x:v>Investigación activa.</x:v>
      </x:c>
      <x:c r="D39" s="3947" t="str">
        <x:v>No</x:v>
      </x:c>
      <x:c r="E39" s="3945"/>
      <x:c r="F39" s="3945"/>
      <x:c r="G39" s="3945"/>
      <x:c r="H39" s="3945"/>
      <x:c r="I39" s="3945"/>
    </x:row>
    <x:row r="40" ht="44" customHeight="1">
      <x:c r="A40" s="4218" t="str">
        <x:v>SEGUIMIENTO_ACCIONES</x:v>
      </x:c>
      <x:c r="B40" s="3947" t="str">
        <x:v>Mejora</x:v>
      </x:c>
      <x:c r="C40" s="3947" t="str">
        <x:v>Investigación finalizada; existen acciones/compromisos a seguir.</x:v>
      </x:c>
      <x:c r="D40" s="3947" t="str">
        <x:v>No</x:v>
      </x:c>
      <x:c r="E40" s="3945"/>
      <x:c r="F40" s="3945"/>
      <x:c r="G40" s="3945"/>
      <x:c r="H40" s="3945"/>
      <x:c r="I40" s="3945"/>
    </x:row>
    <x:row r="41" ht="44" customHeight="1">
      <x:c r="A41" s="4218" t="str">
        <x:v>LISTO_PARA_CIERRE</x:v>
      </x:c>
      <x:c r="B41" s="3947" t="str">
        <x:v>Pre-terminal</x:v>
      </x:c>
      <x:c r="C41" s="3947" t="str">
        <x:v>Gates de cierre cumplidos según configuración.</x:v>
      </x:c>
      <x:c r="D41" s="3947" t="str">
        <x:v>No</x:v>
      </x:c>
      <x:c r="E41" s="3945"/>
      <x:c r="F41" s="3945"/>
      <x:c r="G41" s="3945"/>
      <x:c r="H41" s="3945"/>
      <x:c r="I41" s="3945"/>
    </x:row>
    <x:row r="42" ht="44" customHeight="1">
      <x:c r="A42" s="4214" t="str">
        <x:v>CERRADO</x:v>
      </x:c>
      <x:c r="B42" s="3947" t="str">
        <x:v>Terminal</x:v>
      </x:c>
      <x:c r="C42" s="3947" t="str">
        <x:v>Caso formalmente cerrado.</x:v>
      </x:c>
      <x:c r="D42" s="4219" t="str">
        <x:v>Sí</x:v>
      </x:c>
      <x:c r="E42" s="3945"/>
      <x:c r="F42" s="3945"/>
      <x:c r="G42" s="3945"/>
      <x:c r="H42" s="3945"/>
      <x:c r="I42" s="3945"/>
    </x:row>
    <x:row r="43">
      <x:c r="A43" s="3945"/>
      <x:c r="B43" s="3945"/>
      <x:c r="C43" s="3945"/>
      <x:c r="D43" s="3945"/>
      <x:c r="E43" s="3945"/>
      <x:c r="F43" s="3945"/>
      <x:c r="G43" s="3945"/>
      <x:c r="H43" s="3945"/>
      <x:c r="I43" s="3945"/>
    </x:row>
    <x:row r="44">
      <x:c r="A44" s="3945"/>
      <x:c r="B44" s="3945"/>
      <x:c r="C44" s="3945"/>
      <x:c r="D44" s="3945"/>
      <x:c r="E44" s="3945"/>
      <x:c r="F44" s="3945"/>
      <x:c r="G44" s="3945"/>
      <x:c r="H44" s="3945"/>
      <x:c r="I44" s="3945"/>
    </x:row>
    <x:row r="45">
      <x:c r="A45" s="4220" t="str">
        <x:v>ID</x:v>
      </x:c>
      <x:c r="B45" s="4220" t="str">
        <x:v>Desde</x:v>
      </x:c>
      <x:c r="C45" s="4220" t="str">
        <x:v>Evento</x:v>
      </x:c>
      <x:c r="D45" s="4220" t="str">
        <x:v>Hacia</x:v>
      </x:c>
      <x:c r="E45" s="4220" t="str">
        <x:v>Gate / condición</x:v>
      </x:c>
      <x:c r="F45" s="4220" t="str">
        <x:v>Actor</x:v>
      </x:c>
      <x:c r="G45" s="4220" t="str">
        <x:v>Efecto</x:v>
      </x:c>
      <x:c r="H45" s="4220" t="str">
        <x:v>Tipo</x:v>
      </x:c>
      <x:c r="I45" s="4220" t="str">
        <x:v>Nota</x:v>
      </x:c>
    </x:row>
    <x:row r="46" ht="58" customHeight="1">
      <x:c r="A46" s="3947" t="str">
        <x:v>T-CH01</x:v>
      </x:c>
      <x:c r="B46" s="3947" t="str">
        <x:v>—</x:v>
      </x:c>
      <x:c r="C46" s="3947" t="str">
        <x:v>ABRIR_CASO</x:v>
      </x:c>
      <x:c r="D46" s="3947" t="str">
        <x:v>ABIERTO</x:v>
      </x:c>
      <x:c r="E46" s="3947" t="str">
        <x:v>EventoHabilita escalado + owner</x:v>
      </x:c>
      <x:c r="F46" s="3947" t="str">
        <x:v>Habilita</x:v>
      </x:c>
      <x:c r="G46" s="3947" t="str">
        <x:v>Crear caso.</x:v>
      </x:c>
      <x:c r="H46" s="4218" t="str">
        <x:v>PERMITIDA</x:v>
      </x:c>
      <x:c r="I46" s="3947" t="str"/>
    </x:row>
    <x:row r="47" ht="58" customHeight="1">
      <x:c r="A47" s="3947" t="str">
        <x:v>T-CH02</x:v>
      </x:c>
      <x:c r="B47" s="3947" t="str">
        <x:v>ABIERTO</x:v>
      </x:c>
      <x:c r="C47" s="3947" t="str">
        <x:v>INICIAR_INVESTIGACION</x:v>
      </x:c>
      <x:c r="D47" s="3947" t="str">
        <x:v>EN_INVESTIGACION</x:v>
      </x:c>
      <x:c r="E47" s="3947" t="str">
        <x:v>Responsable + scope</x:v>
      </x:c>
      <x:c r="F47" s="3947" t="str">
        <x:v>Habilita</x:v>
      </x:c>
      <x:c r="G47" s="3947" t="str">
        <x:v>Iniciar investigación.</x:v>
      </x:c>
      <x:c r="H47" s="4218" t="str">
        <x:v>PERMITIDA</x:v>
      </x:c>
      <x:c r="I47" s="3947" t="str"/>
    </x:row>
    <x:row r="48" ht="58" customHeight="1">
      <x:c r="A48" s="3947" t="str">
        <x:v>T-CH03</x:v>
      </x:c>
      <x:c r="B48" s="3947" t="str">
        <x:v>EN_INVESTIGACION</x:v>
      </x:c>
      <x:c r="C48" s="3947" t="str">
        <x:v>FINALIZAR_INVESTIGACION</x:v>
      </x:c>
      <x:c r="D48" s="3947" t="str">
        <x:v>SEGUIMIENTO_ACCIONES</x:v>
      </x:c>
      <x:c r="E48" s="3947" t="str">
        <x:v>estado_investigacion=FINALIZADA + acciones definidas o decisión de no acciones</x:v>
      </x:c>
      <x:c r="F48" s="3947" t="str">
        <x:v>Habilita</x:v>
      </x:c>
      <x:c r="G48" s="3947" t="str">
        <x:v>Separar investigación de acciones.</x:v>
      </x:c>
      <x:c r="H48" s="4218" t="str">
        <x:v>PERMITIDA</x:v>
      </x:c>
      <x:c r="I48" s="3947" t="str"/>
    </x:row>
    <x:row r="49" ht="58" customHeight="1">
      <x:c r="A49" s="3947" t="str">
        <x:v>T-CH04</x:v>
      </x:c>
      <x:c r="B49" s="3947" t="str">
        <x:v>SEGUIMIENTO_ACCIONES</x:v>
      </x:c>
      <x:c r="C49" s="3947" t="str">
        <x:v>EVALUAR_CIERRE_OK</x:v>
      </x:c>
      <x:c r="D49" s="3947" t="str">
        <x:v>LISTO_PARA_CIERRE</x:v>
      </x:c>
      <x:c r="E49" s="3947" t="str">
        <x:v>Notificaciones requeridas resueltas + no acciones bloqueantes sin verificar</x:v>
      </x:c>
      <x:c r="F49" s="3947" t="str">
        <x:v>Sistema/Habilita</x:v>
      </x:c>
      <x:c r="G49" s="3947" t="str">
        <x:v>Habilitar cierre.</x:v>
      </x:c>
      <x:c r="H49" s="4218" t="str">
        <x:v>PERMITIDA</x:v>
      </x:c>
      <x:c r="I49" s="3947" t="str"/>
    </x:row>
    <x:row r="50" ht="58" customHeight="1">
      <x:c r="A50" s="3947" t="str">
        <x:v>T-CH05</x:v>
      </x:c>
      <x:c r="B50" s="3947" t="str">
        <x:v>LISTO_PARA_CIERRE</x:v>
      </x:c>
      <x:c r="C50" s="3947" t="str">
        <x:v>CERRAR</x:v>
      </x:c>
      <x:c r="D50" s="3947" t="str">
        <x:v>CERRADO</x:v>
      </x:c>
      <x:c r="E50" s="3947" t="str">
        <x:v>Autoridad/gate de cierre</x:v>
      </x:c>
      <x:c r="F50" s="3947" t="str">
        <x:v>Habilita</x:v>
      </x:c>
      <x:c r="G50" s="3947" t="str">
        <x:v>Cerrar formalmente.</x:v>
      </x:c>
      <x:c r="H50" s="4218" t="str">
        <x:v>PERMITIDA</x:v>
      </x:c>
      <x:c r="I50" s="3947" t="str"/>
    </x:row>
    <x:row r="51" ht="58" customHeight="1">
      <x:c r="A51" s="3947" t="str">
        <x:v>T-CH06</x:v>
      </x:c>
      <x:c r="B51" s="3947" t="str">
        <x:v>CERRADO</x:v>
      </x:c>
      <x:c r="C51" s="3947" t="str">
        <x:v>REABRIR_POR_NUEVA_EVIDENCIA</x:v>
      </x:c>
      <x:c r="D51" s="3947" t="str">
        <x:v>EN_INVESTIGACION</x:v>
      </x:c>
      <x:c r="E51" s="3947" t="str">
        <x:v>Nueva evidencia material + autorización</x:v>
      </x:c>
      <x:c r="F51" s="3947" t="str">
        <x:v>Habilita</x:v>
      </x:c>
      <x:c r="G51" s="3947" t="str">
        <x:v>Reabrir con evento auditable.</x:v>
      </x:c>
      <x:c r="H51" s="4219" t="str">
        <x:v>CONDICIONAL</x:v>
      </x:c>
      <x:c r="I51" s="3947" t="str"/>
    </x:row>
    <x:row r="52">
      <x:c r="A52" s="3945"/>
      <x:c r="B52" s="3945"/>
      <x:c r="C52" s="3945"/>
      <x:c r="D52" s="3945"/>
      <x:c r="E52" s="3945"/>
      <x:c r="F52" s="3945"/>
      <x:c r="G52" s="3945"/>
      <x:c r="H52" s="3945"/>
      <x:c r="I52" s="3945"/>
    </x:row>
    <x:row r="53">
      <x:c r="A53" s="3945"/>
      <x:c r="B53" s="3945"/>
      <x:c r="C53" s="3945"/>
      <x:c r="D53" s="3945"/>
      <x:c r="E53" s="3945"/>
      <x:c r="F53" s="3945"/>
      <x:c r="G53" s="3945"/>
      <x:c r="H53" s="3945"/>
      <x:c r="I53" s="3945"/>
    </x:row>
    <x:row r="54">
      <x:c r="A54" s="4221" t="str">
        <x:v>Desde</x:v>
      </x:c>
      <x:c r="B54" s="4221" t="str">
        <x:v>Hacia</x:v>
      </x:c>
      <x:c r="C54" s="4221" t="str">
        <x:v>Transición prohibida</x:v>
      </x:c>
      <x:c r="D54" s="4221" t="str">
        <x:v>Qué hacer en cambio</x:v>
      </x:c>
      <x:c r="E54" s="3945"/>
      <x:c r="F54" s="3945"/>
      <x:c r="G54" s="3945"/>
      <x:c r="H54" s="3945"/>
      <x:c r="I54" s="3945"/>
    </x:row>
    <x:row r="55" ht="52" customHeight="1">
      <x:c r="A55" s="3947" t="str">
        <x:v>ABIERTO</x:v>
      </x:c>
      <x:c r="B55" s="3947" t="str">
        <x:v>CERRADO</x:v>
      </x:c>
      <x:c r="C55" s="3947" t="str">
        <x:v>Cerrar sin investigación/decisión de triage suficiente</x:v>
      </x:c>
      <x:c r="D55" s="3947" t="str">
        <x:v>Debe pasar por gates definidos.</x:v>
      </x:c>
      <x:c r="E55" s="3945"/>
      <x:c r="F55" s="3945"/>
      <x:c r="G55" s="3945"/>
      <x:c r="H55" s="3945"/>
      <x:c r="I55" s="3945"/>
    </x:row>
    <x:row r="56" ht="52" customHeight="1">
      <x:c r="A56" s="3947" t="str">
        <x:v>EN_INVESTIGACION</x:v>
      </x:c>
      <x:c r="B56" s="3947" t="str">
        <x:v>CERRADO</x:v>
      </x:c>
      <x:c r="C56" s="3947" t="str">
        <x:v>Cerrar con investigación abierta</x:v>
      </x:c>
      <x:c r="D56" s="3947" t="str">
        <x:v>Finalizar investigación primero.</x:v>
      </x:c>
      <x:c r="E56" s="3945"/>
      <x:c r="F56" s="3945"/>
      <x:c r="G56" s="3945"/>
      <x:c r="H56" s="3945"/>
      <x:c r="I56" s="3945"/>
    </x:row>
    <x:row r="57" ht="52" customHeight="1">
      <x:c r="A57" s="3947" t="str">
        <x:v>SEGUIMIENTO_ACCIONES</x:v>
      </x:c>
      <x:c r="B57" s="3947" t="str">
        <x:v>CERRADO</x:v>
      </x:c>
      <x:c r="C57" s="3947" t="str">
        <x:v>Cerrar con acciones bloqueantes no verificadas</x:v>
      </x:c>
      <x:c r="D57" s="3947" t="str">
        <x:v>Solo si configuración marca acciones como no bloqueantes.</x:v>
      </x:c>
      <x:c r="E57" s="3945"/>
      <x:c r="F57" s="3945"/>
      <x:c r="G57" s="3945"/>
      <x:c r="H57" s="3945"/>
      <x:c r="I57" s="3945"/>
    </x:row>
    <x:row r="58">
      <x:c r="A58" s="3945"/>
      <x:c r="B58" s="3945"/>
      <x:c r="C58" s="3945"/>
      <x:c r="D58" s="3945"/>
      <x:c r="E58" s="3945"/>
      <x:c r="F58" s="3945"/>
      <x:c r="G58" s="3945"/>
      <x:c r="H58" s="3945"/>
      <x:c r="I58" s="3945"/>
    </x:row>
    <x:row r="59">
      <x:c r="A59" s="3945"/>
      <x:c r="B59" s="3945"/>
      <x:c r="C59" s="3945"/>
      <x:c r="D59" s="3945"/>
      <x:c r="E59" s="3945"/>
      <x:c r="F59" s="3945"/>
      <x:c r="G59" s="3945"/>
      <x:c r="H59" s="3945"/>
      <x:c r="I59" s="3945"/>
    </x:row>
    <x:row r="60">
      <x:c r="A60" s="4222" t="str">
        <x:v>SUBMÁQUINA / DIMENSIÓN PARALELA · AccionCorrectivaHabilita</x:v>
      </x:c>
      <x:c r="B60" s="4222"/>
      <x:c r="C60" s="4222"/>
      <x:c r="D60" s="4222"/>
      <x:c r="E60" s="4222"/>
      <x:c r="F60" s="4222"/>
      <x:c r="G60" s="4222"/>
      <x:c r="H60" s="4222"/>
      <x:c r="I60" s="4222"/>
    </x:row>
    <x:row r="61">
      <x:c r="A61" s="4223" t="str">
        <x:v>PENDIENTE → EN_PROGRESO → IMPLEMENTADA → EN_VERIFICACION → VERIFICADA. CANCELADA solo con causa/autoridad.</x:v>
      </x:c>
      <x:c r="B61" s="4223"/>
      <x:c r="C61" s="4223"/>
      <x:c r="D61" s="4223"/>
      <x:c r="E61" s="4223"/>
      <x:c r="F61" s="4223"/>
      <x:c r="G61" s="4223"/>
      <x:c r="H61" s="4223"/>
      <x:c r="I61" s="4223"/>
    </x:row>
    <x:row r="62">
      <x:c r="A62" s="4223"/>
      <x:c r="B62" s="4223"/>
      <x:c r="C62" s="4223"/>
      <x:c r="D62" s="4223"/>
      <x:c r="E62" s="4223"/>
      <x:c r="F62" s="4223"/>
      <x:c r="G62" s="4223"/>
      <x:c r="H62" s="4223"/>
      <x:c r="I62" s="4223"/>
    </x:row>
    <x:row r="63">
      <x:c r="A63" s="4223"/>
      <x:c r="B63" s="4223"/>
      <x:c r="C63" s="4223"/>
      <x:c r="D63" s="4223"/>
      <x:c r="E63" s="4223"/>
      <x:c r="F63" s="4223"/>
      <x:c r="G63" s="4223"/>
      <x:c r="H63" s="4223"/>
      <x:c r="I63" s="4223"/>
    </x:row>
    <x:row r="64">
      <x:c r="A64" s="3945"/>
      <x:c r="B64" s="3945"/>
      <x:c r="C64" s="3945"/>
      <x:c r="D64" s="3945"/>
      <x:c r="E64" s="3945"/>
      <x:c r="F64" s="3945"/>
      <x:c r="G64" s="3945"/>
      <x:c r="H64" s="3945"/>
      <x:c r="I64" s="3945"/>
    </x:row>
    <x:row r="65">
      <x:c r="A65" s="3945"/>
      <x:c r="B65" s="3945"/>
      <x:c r="C65" s="3945"/>
      <x:c r="D65" s="3945"/>
      <x:c r="E65" s="3945"/>
      <x:c r="F65" s="3945"/>
      <x:c r="G65" s="3945"/>
      <x:c r="H65" s="3945"/>
      <x:c r="I65" s="3945"/>
    </x:row>
  </x:sheetData>
  <x:mergeCells>
    <x:mergeCell ref="A1:I1"/>
    <x:mergeCell ref="A2:I2"/>
    <x:mergeCell ref="A4:I4"/>
    <x:mergeCell ref="A5:I6"/>
    <x:mergeCell ref="A33:I33"/>
    <x:mergeCell ref="A34:I35"/>
    <x:mergeCell ref="A60:I60"/>
    <x:mergeCell ref="A61:I63"/>
  </x:mergeCells>
  <x:pageMargins left="0.7" right="0.7" top="0.75" bottom="0.75" header="0.3" footer="0.3"/>
</x:worksheet>
</file>

<file path=xl/worksheets/sheet56.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27" hidden="0" customWidth="1"/>
    <x:col min="5" max="5" width="42" hidden="0" customWidth="1"/>
    <x:col min="6" max="6" width="30" hidden="0" customWidth="1"/>
    <x:col min="7" max="7" width="30" hidden="0" customWidth="1"/>
    <x:col min="8" max="8" width="16" hidden="0" customWidth="1"/>
    <x:col min="9" max="9" width="36" hidden="0" customWidth="1"/>
  </x:cols>
  <x:sheetData>
    <x:row r="1">
      <x:c r="A1" s="4213" t="str">
        <x:v>STATE MACHINES · CERTIFICACIÓN</x:v>
      </x:c>
      <x:c r="B1" s="4213"/>
      <x:c r="C1" s="4213"/>
      <x:c r="D1" s="4213"/>
      <x:c r="E1" s="4213"/>
      <x:c r="F1" s="4213"/>
      <x:c r="G1" s="4213"/>
      <x:c r="H1" s="4213"/>
      <x:c r="I1" s="4213"/>
    </x:row>
    <x:row r="2">
      <x:c r="A2" s="4214" t="str">
        <x:v>Las transiciones describen comportamiento funcional. El modelo físico podrá implementar constraints, eventos o workflows, pero no cambiar su semántica sin reabrir la baseline.</x:v>
      </x:c>
      <x:c r="B2" s="4214"/>
      <x:c r="C2" s="4214"/>
      <x:c r="D2" s="4214"/>
      <x:c r="E2" s="4214"/>
      <x:c r="F2" s="4214"/>
      <x:c r="G2" s="4214"/>
      <x:c r="H2" s="4214"/>
      <x:c r="I2" s="4214"/>
    </x:row>
    <x:row r="3">
      <x:c r="A3" s="3945"/>
      <x:c r="B3" s="3945"/>
      <x:c r="C3" s="3945"/>
      <x:c r="D3" s="3945"/>
      <x:c r="E3" s="3945"/>
      <x:c r="F3" s="3945"/>
      <x:c r="G3" s="3945"/>
      <x:c r="H3" s="3945"/>
      <x:c r="I3" s="3945"/>
    </x:row>
    <x:row r="4">
      <x:c r="A4" s="4215" t="str">
        <x:v>CERTIFICACIÓN · UnidadComercial</x:v>
      </x:c>
      <x:c r="B4" s="4215"/>
      <x:c r="C4" s="4215"/>
      <x:c r="D4" s="4215"/>
      <x:c r="E4" s="4215"/>
      <x:c r="F4" s="4215"/>
      <x:c r="G4" s="4215"/>
      <x:c r="H4" s="4215"/>
      <x:c r="I4" s="4215"/>
    </x:row>
    <x:row r="5">
      <x:c r="A5" s="4216" t="str">
        <x:v>Estado de certificación separado de la vigencia del lineage. Fuente operacional nunca se edita desde Certificación.</x:v>
      </x:c>
      <x:c r="B5" s="4216"/>
      <x:c r="C5" s="4216"/>
      <x:c r="D5" s="4216"/>
      <x:c r="E5" s="4216"/>
      <x:c r="F5" s="4216"/>
      <x:c r="G5" s="4216"/>
      <x:c r="H5" s="4216"/>
      <x:c r="I5" s="4216"/>
    </x:row>
    <x:row r="6">
      <x:c r="A6" s="4216"/>
      <x:c r="B6" s="4216"/>
      <x:c r="C6" s="4216"/>
      <x:c r="D6" s="4216"/>
      <x:c r="E6" s="4216"/>
      <x:c r="F6" s="4216"/>
      <x:c r="G6" s="4216"/>
      <x:c r="H6" s="4216"/>
      <x:c r="I6" s="4216"/>
    </x:row>
    <x:row r="7">
      <x:c r="A7" s="3945"/>
      <x:c r="B7" s="3945"/>
      <x:c r="C7" s="3945"/>
      <x:c r="D7" s="3945"/>
      <x:c r="E7" s="3945"/>
      <x:c r="F7" s="3945"/>
      <x:c r="G7" s="3945"/>
      <x:c r="H7" s="3945"/>
      <x:c r="I7" s="3945"/>
    </x:row>
    <x:row r="8">
      <x:c r="A8" s="4217" t="str">
        <x:v>Estado</x:v>
      </x:c>
      <x:c r="B8" s="4217" t="str">
        <x:v>Tipo</x:v>
      </x:c>
      <x:c r="C8" s="4217" t="str">
        <x:v>Semántica</x:v>
      </x:c>
      <x:c r="D8" s="4217" t="str">
        <x:v>Terminal</x:v>
      </x:c>
      <x:c r="E8" s="3945"/>
      <x:c r="F8" s="3945"/>
      <x:c r="G8" s="3945"/>
      <x:c r="H8" s="3945"/>
      <x:c r="I8" s="3945"/>
    </x:row>
    <x:row r="9" ht="44" customHeight="1">
      <x:c r="A9" s="4218" t="str">
        <x:v>INCOMPLETA</x:v>
      </x:c>
      <x:c r="B9" s="3947" t="str">
        <x:v>Inicial</x:v>
      </x:c>
      <x:c r="C9" s="3947" t="str">
        <x:v>Falta evidencia, mapping o dato requerido.</x:v>
      </x:c>
      <x:c r="D9" s="3947" t="str">
        <x:v>No</x:v>
      </x:c>
      <x:c r="E9" s="3945"/>
      <x:c r="F9" s="3945"/>
      <x:c r="G9" s="3945"/>
      <x:c r="H9" s="3945"/>
      <x:c r="I9" s="3945"/>
    </x:row>
    <x:row r="10" ht="44" customHeight="1">
      <x:c r="A10" s="4218" t="str">
        <x:v>ELEGIBLE</x:v>
      </x:c>
      <x:c r="B10" s="3947" t="str">
        <x:v>Pre-cert</x:v>
      </x:c>
      <x:c r="C10" s="3947" t="str">
        <x:v>Cumple requisitos para revisión/certificación.</x:v>
      </x:c>
      <x:c r="D10" s="3947" t="str">
        <x:v>No</x:v>
      </x:c>
      <x:c r="E10" s="3945"/>
      <x:c r="F10" s="3945"/>
      <x:c r="G10" s="3945"/>
      <x:c r="H10" s="3945"/>
      <x:c r="I10" s="3945"/>
    </x:row>
    <x:row r="11" ht="44" customHeight="1">
      <x:c r="A11" s="4218" t="str">
        <x:v>EN_REVISION</x:v>
      </x:c>
      <x:c r="B11" s="3947" t="str">
        <x:v>Certificación</x:v>
      </x:c>
      <x:c r="C11" s="3947" t="str">
        <x:v>Está siendo revisada.</x:v>
      </x:c>
      <x:c r="D11" s="3947" t="str">
        <x:v>No</x:v>
      </x:c>
      <x:c r="E11" s="3945"/>
      <x:c r="F11" s="3945"/>
      <x:c r="G11" s="3945"/>
      <x:c r="H11" s="3945"/>
      <x:c r="I11" s="3945"/>
    </x:row>
    <x:row r="12" ht="44" customHeight="1">
      <x:c r="A12" s="4218" t="str">
        <x:v>OBSERVADA</x:v>
      </x:c>
      <x:c r="B12" s="3947" t="str">
        <x:v>Certificación</x:v>
      </x:c>
      <x:c r="C12" s="3947" t="str">
        <x:v>Requiere aclaración/evidencia/ajuste comercial permitido.</x:v>
      </x:c>
      <x:c r="D12" s="3947" t="str">
        <x:v>No</x:v>
      </x:c>
      <x:c r="E12" s="3945"/>
      <x:c r="F12" s="3945"/>
      <x:c r="G12" s="3945"/>
      <x:c r="H12" s="3945"/>
      <x:c r="I12" s="3945"/>
    </x:row>
    <x:row r="13" ht="44" customHeight="1">
      <x:c r="A13" s="4214" t="str">
        <x:v>ACEPTADA</x:v>
      </x:c>
      <x:c r="B13" s="3947" t="str">
        <x:v>Terminal comercial</x:v>
      </x:c>
      <x:c r="C13" s="3947" t="str">
        <x:v>Cliente/proceso la acepta.</x:v>
      </x:c>
      <x:c r="D13" s="4219" t="str">
        <x:v>Sí respecto de esa versión</x:v>
      </x:c>
      <x:c r="E13" s="3945"/>
      <x:c r="F13" s="3945"/>
      <x:c r="G13" s="3945"/>
      <x:c r="H13" s="3945"/>
      <x:c r="I13" s="3945"/>
    </x:row>
    <x:row r="14" ht="44" customHeight="1">
      <x:c r="A14" s="4214" t="str">
        <x:v>RECHAZADA</x:v>
      </x:c>
      <x:c r="B14" s="3947" t="str">
        <x:v>Terminal comercial</x:v>
      </x:c>
      <x:c r="C14" s="3947" t="str">
        <x:v>No aceptada bajo esa versión.</x:v>
      </x:c>
      <x:c r="D14" s="4219" t="str">
        <x:v>Sí</x:v>
      </x:c>
      <x:c r="E14" s="3945"/>
      <x:c r="F14" s="3945"/>
      <x:c r="G14" s="3945"/>
      <x:c r="H14" s="3945"/>
      <x:c r="I14" s="3945"/>
    </x:row>
    <x:row r="15">
      <x:c r="A15" s="3945"/>
      <x:c r="B15" s="3945"/>
      <x:c r="C15" s="3945"/>
      <x:c r="D15" s="3945"/>
      <x:c r="E15" s="3945"/>
      <x:c r="F15" s="3945"/>
      <x:c r="G15" s="3945"/>
      <x:c r="H15" s="3945"/>
      <x:c r="I15" s="3945"/>
    </x:row>
    <x:row r="16">
      <x:c r="A16" s="3945"/>
      <x:c r="B16" s="3945"/>
      <x:c r="C16" s="3945"/>
      <x:c r="D16" s="3945"/>
      <x:c r="E16" s="3945"/>
      <x:c r="F16" s="3945"/>
      <x:c r="G16" s="3945"/>
      <x:c r="H16" s="3945"/>
      <x:c r="I16" s="3945"/>
    </x:row>
    <x:row r="17">
      <x:c r="A17" s="4220" t="str">
        <x:v>ID</x:v>
      </x:c>
      <x:c r="B17" s="4220" t="str">
        <x:v>Desde</x:v>
      </x:c>
      <x:c r="C17" s="4220" t="str">
        <x:v>Evento</x:v>
      </x:c>
      <x:c r="D17" s="4220" t="str">
        <x:v>Hacia</x:v>
      </x:c>
      <x:c r="E17" s="4220" t="str">
        <x:v>Gate / condición</x:v>
      </x:c>
      <x:c r="F17" s="4220" t="str">
        <x:v>Actor</x:v>
      </x:c>
      <x:c r="G17" s="4220" t="str">
        <x:v>Efecto</x:v>
      </x:c>
      <x:c r="H17" s="4220" t="str">
        <x:v>Tipo</x:v>
      </x:c>
      <x:c r="I17" s="4220" t="str">
        <x:v>Nota</x:v>
      </x:c>
    </x:row>
    <x:row r="18" ht="58" customHeight="1">
      <x:c r="A18" s="3947" t="str">
        <x:v>T-UC01</x:v>
      </x:c>
      <x:c r="B18" s="3947" t="str">
        <x:v>—</x:v>
      </x:c>
      <x:c r="C18" s="3947" t="str">
        <x:v>GENERAR_UC</x:v>
      </x:c>
      <x:c r="D18" s="3947" t="str">
        <x:v>INCOMPLETA</x:v>
      </x:c>
      <x:c r="E18" s="3947" t="str">
        <x:v>ReglaGrano aplicada + lineage fuente creado</x:v>
      </x:c>
      <x:c r="F18" s="3947" t="str">
        <x:v>Motor contractual</x:v>
      </x:c>
      <x:c r="G18" s="3947" t="str">
        <x:v>Crear derivado comercial.</x:v>
      </x:c>
      <x:c r="H18" s="4218" t="str">
        <x:v>PERMITIDA</x:v>
      </x:c>
      <x:c r="I18" s="3947" t="str"/>
    </x:row>
    <x:row r="19" ht="58" customHeight="1">
      <x:c r="A19" s="3947" t="str">
        <x:v>T-UC02</x:v>
      </x:c>
      <x:c r="B19" s="3947" t="str">
        <x:v>INCOMPLETA</x:v>
      </x:c>
      <x:c r="C19" s="3947" t="str">
        <x:v>COMPLETAR_REQUISITOS</x:v>
      </x:c>
      <x:c r="D19" s="3947" t="str">
        <x:v>ELEGIBLE</x:v>
      </x:c>
      <x:c r="E19" s="3947" t="str">
        <x:v>Completitud/evidencia/mapping OK</x:v>
      </x:c>
      <x:c r="F19" s="3947" t="str">
        <x:v>Sistema/Backoffice</x:v>
      </x:c>
      <x:c r="G19" s="3947" t="str">
        <x:v>Habilitar revisión.</x:v>
      </x:c>
      <x:c r="H19" s="4218" t="str">
        <x:v>PERMITIDA</x:v>
      </x:c>
      <x:c r="I19" s="3947" t="str"/>
    </x:row>
    <x:row r="20" ht="58" customHeight="1">
      <x:c r="A20" s="3947" t="str">
        <x:v>T-UC03</x:v>
      </x:c>
      <x:c r="B20" s="3947" t="str">
        <x:v>ELEGIBLE</x:v>
      </x:c>
      <x:c r="C20" s="3947" t="str">
        <x:v>INGRESAR_REVISION</x:v>
      </x:c>
      <x:c r="D20" s="3947" t="str">
        <x:v>EN_REVISION</x:v>
      </x:c>
      <x:c r="E20" s="3947" t="str">
        <x:v>Incluida en proceso/paquete o revisión directa</x:v>
      </x:c>
      <x:c r="F20" s="3947" t="str">
        <x:v>Certificación</x:v>
      </x:c>
      <x:c r="G20" s="3947" t="str">
        <x:v>Tomar UC.</x:v>
      </x:c>
      <x:c r="H20" s="4218" t="str">
        <x:v>PERMITIDA</x:v>
      </x:c>
      <x:c r="I20" s="3947" t="str"/>
    </x:row>
    <x:row r="21" ht="58" customHeight="1">
      <x:c r="A21" s="3947" t="str">
        <x:v>T-UC04</x:v>
      </x:c>
      <x:c r="B21" s="3947" t="str">
        <x:v>EN_REVISION</x:v>
      </x:c>
      <x:c r="C21" s="3947" t="str">
        <x:v>OBSERVAR</x:v>
      </x:c>
      <x:c r="D21" s="3947" t="str">
        <x:v>OBSERVADA</x:v>
      </x:c>
      <x:c r="E21" s="3947" t="str">
        <x:v>Motivo estructurado</x:v>
      </x:c>
      <x:c r="F21" s="3947" t="str">
        <x:v>Certificación/Cliente</x:v>
      </x:c>
      <x:c r="G21" s="3947" t="str">
        <x:v>Solicitar resolución.</x:v>
      </x:c>
      <x:c r="H21" s="4218" t="str">
        <x:v>PERMITIDA</x:v>
      </x:c>
      <x:c r="I21" s="3947" t="str"/>
    </x:row>
    <x:row r="22" ht="58" customHeight="1">
      <x:c r="A22" s="3947" t="str">
        <x:v>T-UC05</x:v>
      </x:c>
      <x:c r="B22" s="3947" t="str">
        <x:v>OBSERVADA</x:v>
      </x:c>
      <x:c r="C22" s="3947" t="str">
        <x:v>RESOLVER_OBSERVACION</x:v>
      </x:c>
      <x:c r="D22" s="3947" t="str">
        <x:v>ELEGIBLE</x:v>
      </x:c>
      <x:c r="E22" s="3947" t="str">
        <x:v>Evidencia/ajuste permitido completado</x:v>
      </x:c>
      <x:c r="F22" s="3947" t="str">
        <x:v>Certificación</x:v>
      </x:c>
      <x:c r="G22" s="3947" t="str">
        <x:v>Volver elegible.</x:v>
      </x:c>
      <x:c r="H22" s="4218" t="str">
        <x:v>PERMITIDA</x:v>
      </x:c>
      <x:c r="I22" s="3947" t="str"/>
    </x:row>
    <x:row r="23" ht="58" customHeight="1">
      <x:c r="A23" s="3947" t="str">
        <x:v>T-UC06</x:v>
      </x:c>
      <x:c r="B23" s="3947" t="str">
        <x:v>EN_REVISION</x:v>
      </x:c>
      <x:c r="C23" s="3947" t="str">
        <x:v>ACEPTAR</x:v>
      </x:c>
      <x:c r="D23" s="3947" t="str">
        <x:v>ACEPTADA</x:v>
      </x:c>
      <x:c r="E23" s="3947" t="str">
        <x:v>Conformidad/regla aplicable</x:v>
      </x:c>
      <x:c r="F23" s="3947" t="str">
        <x:v>Cliente/Certificación</x:v>
      </x:c>
      <x:c r="G23" s="3947" t="str">
        <x:v>Aceptar versión.</x:v>
      </x:c>
      <x:c r="H23" s="4218" t="str">
        <x:v>PERMITIDA</x:v>
      </x:c>
      <x:c r="I23" s="3947" t="str"/>
    </x:row>
    <x:row r="24" ht="58" customHeight="1">
      <x:c r="A24" s="3947" t="str">
        <x:v>T-UC07</x:v>
      </x:c>
      <x:c r="B24" s="3947" t="str">
        <x:v>EN_REVISION</x:v>
      </x:c>
      <x:c r="C24" s="3947" t="str">
        <x:v>RECHAZAR</x:v>
      </x:c>
      <x:c r="D24" s="3947" t="str">
        <x:v>RECHAZADA</x:v>
      </x:c>
      <x:c r="E24" s="3947" t="str">
        <x:v>Causa</x:v>
      </x:c>
      <x:c r="F24" s="3947" t="str">
        <x:v>Cliente/Certificación</x:v>
      </x:c>
      <x:c r="G24" s="3947" t="str">
        <x:v>Rechazar versión.</x:v>
      </x:c>
      <x:c r="H24" s="4218" t="str">
        <x:v>PERMITIDA</x:v>
      </x:c>
      <x:c r="I24" s="3947" t="str"/>
    </x:row>
    <x:row r="25">
      <x:c r="A25" s="3945"/>
      <x:c r="B25" s="3945"/>
      <x:c r="C25" s="3945"/>
      <x:c r="D25" s="3945"/>
      <x:c r="E25" s="3945"/>
      <x:c r="F25" s="3945"/>
      <x:c r="G25" s="3945"/>
      <x:c r="H25" s="3945"/>
      <x:c r="I25" s="3945"/>
    </x:row>
    <x:row r="26">
      <x:c r="A26" s="3945"/>
      <x:c r="B26" s="3945"/>
      <x:c r="C26" s="3945"/>
      <x:c r="D26" s="3945"/>
      <x:c r="E26" s="3945"/>
      <x:c r="F26" s="3945"/>
      <x:c r="G26" s="3945"/>
      <x:c r="H26" s="3945"/>
      <x:c r="I26" s="3945"/>
    </x:row>
    <x:row r="27">
      <x:c r="A27" s="4221" t="str">
        <x:v>Desde</x:v>
      </x:c>
      <x:c r="B27" s="4221" t="str">
        <x:v>Hacia</x:v>
      </x:c>
      <x:c r="C27" s="4221" t="str">
        <x:v>Transición prohibida</x:v>
      </x:c>
      <x:c r="D27" s="4221" t="str">
        <x:v>Qué hacer en cambio</x:v>
      </x:c>
      <x:c r="E27" s="3945"/>
      <x:c r="F27" s="3945"/>
      <x:c r="G27" s="3945"/>
      <x:c r="H27" s="3945"/>
      <x:c r="I27" s="3945"/>
    </x:row>
    <x:row r="28" ht="52" customHeight="1">
      <x:c r="A28" s="3947" t="str">
        <x:v>ACEPTADA</x:v>
      </x:c>
      <x:c r="B28" s="3947" t="str">
        <x:v>ELEGIBLE</x:v>
      </x:c>
      <x:c r="C28" s="3947" t="str">
        <x:v>Editar/reabrir misma UC aceptada por cambio en campo</x:v>
      </x:c>
      <x:c r="D28" s="3947" t="str">
        <x:v>Usar supersession: nueva UC/version; anterior permanece.</x:v>
      </x:c>
      <x:c r="E28" s="3945"/>
      <x:c r="F28" s="3945"/>
      <x:c r="G28" s="3945"/>
      <x:c r="H28" s="3945"/>
      <x:c r="I28" s="3945"/>
    </x:row>
    <x:row r="29" ht="52" customHeight="1">
      <x:c r="A29" s="3947" t="str">
        <x:v>RECHAZADA</x:v>
      </x:c>
      <x:c r="B29" s="3947" t="str">
        <x:v>ACEPTADA</x:v>
      </x:c>
      <x:c r="C29" s="3947" t="str">
        <x:v>Cambiar rechazo a aceptación sin nueva revisión/version</x:v>
      </x:c>
      <x:c r="D29" s="3947" t="str">
        <x:v>Nueva versión/revisión explícita.</x:v>
      </x:c>
      <x:c r="E29" s="3945"/>
      <x:c r="F29" s="3945"/>
      <x:c r="G29" s="3945"/>
      <x:c r="H29" s="3945"/>
      <x:c r="I29" s="3945"/>
    </x:row>
    <x:row r="30" ht="52" customHeight="1">
      <x:c r="A30" s="3947" t="str">
        <x:v>INCOMPLETA</x:v>
      </x:c>
      <x:c r="B30" s="3947" t="str">
        <x:v>ACEPTADA</x:v>
      </x:c>
      <x:c r="C30" s="3947" t="str">
        <x:v>Aceptar saltando elegibilidad/revisión</x:v>
      </x:c>
      <x:c r="D30" s="3947" t="str">
        <x:v>Debe satisfacer gates.</x:v>
      </x:c>
      <x:c r="E30" s="3945"/>
      <x:c r="F30" s="3945"/>
      <x:c r="G30" s="3945"/>
      <x:c r="H30" s="3945"/>
      <x:c r="I30" s="3945"/>
    </x:row>
    <x:row r="31">
      <x:c r="A31" s="3945"/>
      <x:c r="B31" s="3945"/>
      <x:c r="C31" s="3945"/>
      <x:c r="D31" s="3945"/>
      <x:c r="E31" s="3945"/>
      <x:c r="F31" s="3945"/>
      <x:c r="G31" s="3945"/>
      <x:c r="H31" s="3945"/>
      <x:c r="I31" s="3945"/>
    </x:row>
    <x:row r="32">
      <x:c r="A32" s="3945"/>
      <x:c r="B32" s="3945"/>
      <x:c r="C32" s="3945"/>
      <x:c r="D32" s="3945"/>
      <x:c r="E32" s="3945"/>
      <x:c r="F32" s="3945"/>
      <x:c r="G32" s="3945"/>
      <x:c r="H32" s="3945"/>
      <x:c r="I32" s="3945"/>
    </x:row>
    <x:row r="33">
      <x:c r="A33" s="4222" t="str">
        <x:v>SUBMÁQUINA / DIMENSIÓN PARALELA · estado_supersession_comercial</x:v>
      </x:c>
      <x:c r="B33" s="4222"/>
      <x:c r="C33" s="4222"/>
      <x:c r="D33" s="4222"/>
      <x:c r="E33" s="4222"/>
      <x:c r="F33" s="4222"/>
      <x:c r="G33" s="4222"/>
      <x:c r="H33" s="4222"/>
      <x:c r="I33" s="4222"/>
    </x:row>
    <x:row r="34">
      <x:c r="A34" s="4223" t="str">
        <x:v>VIGENTE → REQUIERE_RECALCULO → EN_REVISION → SUSTITUIDA/INVALIDADA. Esta dimensión corre en paralelo al estado de certificación.</x:v>
      </x:c>
      <x:c r="B34" s="4223"/>
      <x:c r="C34" s="4223"/>
      <x:c r="D34" s="4223"/>
      <x:c r="E34" s="4223"/>
      <x:c r="F34" s="4223"/>
      <x:c r="G34" s="4223"/>
      <x:c r="H34" s="4223"/>
      <x:c r="I34" s="4223"/>
    </x:row>
    <x:row r="35">
      <x:c r="A35" s="4223"/>
      <x:c r="B35" s="4223"/>
      <x:c r="C35" s="4223"/>
      <x:c r="D35" s="4223"/>
      <x:c r="E35" s="4223"/>
      <x:c r="F35" s="4223"/>
      <x:c r="G35" s="4223"/>
      <x:c r="H35" s="4223"/>
      <x:c r="I35" s="4223"/>
    </x:row>
    <x:row r="36">
      <x:c r="A36" s="4223"/>
      <x:c r="B36" s="4223"/>
      <x:c r="C36" s="4223"/>
      <x:c r="D36" s="4223"/>
      <x:c r="E36" s="4223"/>
      <x:c r="F36" s="4223"/>
      <x:c r="G36" s="4223"/>
      <x:c r="H36" s="4223"/>
      <x:c r="I36" s="4223"/>
    </x:row>
    <x:row r="37">
      <x:c r="A37" s="3945"/>
      <x:c r="B37" s="3945"/>
      <x:c r="C37" s="3945"/>
      <x:c r="D37" s="3945"/>
      <x:c r="E37" s="3945"/>
      <x:c r="F37" s="3945"/>
      <x:c r="G37" s="3945"/>
      <x:c r="H37" s="3945"/>
      <x:c r="I37" s="3945"/>
    </x:row>
    <x:row r="38">
      <x:c r="A38" s="4215" t="str">
        <x:v>CERTIFICACIÓN · PaqueteCertificacion</x:v>
      </x:c>
      <x:c r="B38" s="4215"/>
      <x:c r="C38" s="4215"/>
      <x:c r="D38" s="4215"/>
      <x:c r="E38" s="4215"/>
      <x:c r="F38" s="4215"/>
      <x:c r="G38" s="4215"/>
      <x:c r="H38" s="4215"/>
      <x:c r="I38" s="4215"/>
    </x:row>
    <x:row r="39">
      <x:c r="A39" s="4216" t="str">
        <x:v>Agrupa UC por regla. La composición se versiona; observaciones no borran inclusiones históricas.</x:v>
      </x:c>
      <x:c r="B39" s="4216"/>
      <x:c r="C39" s="4216"/>
      <x:c r="D39" s="4216"/>
      <x:c r="E39" s="4216"/>
      <x:c r="F39" s="4216"/>
      <x:c r="G39" s="4216"/>
      <x:c r="H39" s="4216"/>
      <x:c r="I39" s="4216"/>
    </x:row>
    <x:row r="40">
      <x:c r="A40" s="4216"/>
      <x:c r="B40" s="4216"/>
      <x:c r="C40" s="4216"/>
      <x:c r="D40" s="4216"/>
      <x:c r="E40" s="4216"/>
      <x:c r="F40" s="4216"/>
      <x:c r="G40" s="4216"/>
      <x:c r="H40" s="4216"/>
      <x:c r="I40" s="4216"/>
    </x:row>
    <x:row r="41">
      <x:c r="A41" s="3945"/>
      <x:c r="B41" s="3945"/>
      <x:c r="C41" s="3945"/>
      <x:c r="D41" s="3945"/>
      <x:c r="E41" s="3945"/>
      <x:c r="F41" s="3945"/>
      <x:c r="G41" s="3945"/>
      <x:c r="H41" s="3945"/>
      <x:c r="I41" s="3945"/>
    </x:row>
    <x:row r="42">
      <x:c r="A42" s="4217" t="str">
        <x:v>Estado</x:v>
      </x:c>
      <x:c r="B42" s="4217" t="str">
        <x:v>Tipo</x:v>
      </x:c>
      <x:c r="C42" s="4217" t="str">
        <x:v>Semántica</x:v>
      </x:c>
      <x:c r="D42" s="4217" t="str">
        <x:v>Terminal</x:v>
      </x:c>
      <x:c r="E42" s="3945"/>
      <x:c r="F42" s="3945"/>
      <x:c r="G42" s="3945"/>
      <x:c r="H42" s="3945"/>
      <x:c r="I42" s="3945"/>
    </x:row>
    <x:row r="43" ht="44" customHeight="1">
      <x:c r="A43" s="4218" t="str">
        <x:v>BORRADOR</x:v>
      </x:c>
      <x:c r="B43" s="3947" t="str">
        <x:v>Inicial</x:v>
      </x:c>
      <x:c r="C43" s="3947" t="str">
        <x:v>Paquete en armado.</x:v>
      </x:c>
      <x:c r="D43" s="3947" t="str">
        <x:v>No</x:v>
      </x:c>
      <x:c r="E43" s="3945"/>
      <x:c r="F43" s="3945"/>
      <x:c r="G43" s="3945"/>
      <x:c r="H43" s="3945"/>
      <x:c r="I43" s="3945"/>
    </x:row>
    <x:row r="44" ht="44" customHeight="1">
      <x:c r="A44" s="4218" t="str">
        <x:v>LISTO_PARA_ENVIO</x:v>
      </x:c>
      <x:c r="B44" s="3947" t="str">
        <x:v>Pre-envío</x:v>
      </x:c>
      <x:c r="C44" s="3947" t="str">
        <x:v>Composición válida y reglas de completitud satisfechas.</x:v>
      </x:c>
      <x:c r="D44" s="3947" t="str">
        <x:v>No</x:v>
      </x:c>
      <x:c r="E44" s="3945"/>
      <x:c r="F44" s="3945"/>
      <x:c r="G44" s="3945"/>
      <x:c r="H44" s="3945"/>
      <x:c r="I44" s="3945"/>
    </x:row>
    <x:row r="45" ht="44" customHeight="1">
      <x:c r="A45" s="4218" t="str">
        <x:v>ENVIADO</x:v>
      </x:c>
      <x:c r="B45" s="3947" t="str">
        <x:v>Tránsito</x:v>
      </x:c>
      <x:c r="C45" s="3947" t="str">
        <x:v>Paquete enviado al cliente/circuito.</x:v>
      </x:c>
      <x:c r="D45" s="3947" t="str">
        <x:v>No</x:v>
      </x:c>
      <x:c r="E45" s="3945"/>
      <x:c r="F45" s="3945"/>
      <x:c r="G45" s="3945"/>
      <x:c r="H45" s="3945"/>
      <x:c r="I45" s="3945"/>
    </x:row>
    <x:row r="46" ht="44" customHeight="1">
      <x:c r="A46" s="4218" t="str">
        <x:v>EN_REVISION</x:v>
      </x:c>
      <x:c r="B46" s="3947" t="str">
        <x:v>Certificación</x:v>
      </x:c>
      <x:c r="C46" s="3947" t="str">
        <x:v>Bajo revisión/conformidad.</x:v>
      </x:c>
      <x:c r="D46" s="3947" t="str">
        <x:v>No</x:v>
      </x:c>
      <x:c r="E46" s="3945"/>
      <x:c r="F46" s="3945"/>
      <x:c r="G46" s="3945"/>
      <x:c r="H46" s="3945"/>
      <x:c r="I46" s="3945"/>
    </x:row>
    <x:row r="47" ht="44" customHeight="1">
      <x:c r="A47" s="4218" t="str">
        <x:v>OBSERVADO</x:v>
      </x:c>
      <x:c r="B47" s="3947" t="str">
        <x:v>Certificación</x:v>
      </x:c>
      <x:c r="C47" s="3947" t="str">
        <x:v>Requiere resolución.</x:v>
      </x:c>
      <x:c r="D47" s="3947" t="str">
        <x:v>No</x:v>
      </x:c>
      <x:c r="E47" s="3945"/>
      <x:c r="F47" s="3945"/>
      <x:c r="G47" s="3945"/>
      <x:c r="H47" s="3945"/>
      <x:c r="I47" s="3945"/>
    </x:row>
    <x:row r="48" ht="44" customHeight="1">
      <x:c r="A48" s="4214" t="str">
        <x:v>ACEPTADO_PARCIAL</x:v>
      </x:c>
      <x:c r="B48" s="3947" t="str">
        <x:v>Terminal/condicional</x:v>
      </x:c>
      <x:c r="C48" s="3947" t="str">
        <x:v>Parte de las UC aceptadas y regla permite parcialidad.</x:v>
      </x:c>
      <x:c r="D48" s="4219" t="str">
        <x:v>Sí de esa versión</x:v>
      </x:c>
      <x:c r="E48" s="3945"/>
      <x:c r="F48" s="3945"/>
      <x:c r="G48" s="3945"/>
      <x:c r="H48" s="3945"/>
      <x:c r="I48" s="3945"/>
    </x:row>
    <x:row r="49" ht="44" customHeight="1">
      <x:c r="A49" s="4214" t="str">
        <x:v>ACEPTADO</x:v>
      </x:c>
      <x:c r="B49" s="3947" t="str">
        <x:v>Terminal</x:v>
      </x:c>
      <x:c r="C49" s="3947" t="str">
        <x:v>Paquete aceptado.</x:v>
      </x:c>
      <x:c r="D49" s="4219" t="str">
        <x:v>Sí</x:v>
      </x:c>
      <x:c r="E49" s="3945"/>
      <x:c r="F49" s="3945"/>
      <x:c r="G49" s="3945"/>
      <x:c r="H49" s="3945"/>
      <x:c r="I49" s="3945"/>
    </x:row>
    <x:row r="50" ht="44" customHeight="1">
      <x:c r="A50" s="4214" t="str">
        <x:v>RECHAZADO</x:v>
      </x:c>
      <x:c r="B50" s="3947" t="str">
        <x:v>Terminal</x:v>
      </x:c>
      <x:c r="C50" s="3947" t="str">
        <x:v>Paquete rechazado.</x:v>
      </x:c>
      <x:c r="D50" s="4219" t="str">
        <x:v>Sí</x:v>
      </x:c>
      <x:c r="E50" s="3945"/>
      <x:c r="F50" s="3945"/>
      <x:c r="G50" s="3945"/>
      <x:c r="H50" s="3945"/>
      <x:c r="I50" s="3945"/>
    </x:row>
    <x:row r="51" ht="44" customHeight="1">
      <x:c r="A51" s="4214" t="str">
        <x:v>SUSTITUIDO</x:v>
      </x:c>
      <x:c r="B51" s="3947" t="str">
        <x:v>Terminal versión</x:v>
      </x:c>
      <x:c r="C51" s="3947" t="str">
        <x:v>Nueva versión/paquete reemplaza éste.</x:v>
      </x:c>
      <x:c r="D51" s="4219" t="str">
        <x:v>Sí</x:v>
      </x:c>
      <x:c r="E51" s="3945"/>
      <x:c r="F51" s="3945"/>
      <x:c r="G51" s="3945"/>
      <x:c r="H51" s="3945"/>
      <x:c r="I51" s="3945"/>
    </x:row>
    <x:row r="52">
      <x:c r="A52" s="3945"/>
      <x:c r="B52" s="3945"/>
      <x:c r="C52" s="3945"/>
      <x:c r="D52" s="3945"/>
      <x:c r="E52" s="3945"/>
      <x:c r="F52" s="3945"/>
      <x:c r="G52" s="3945"/>
      <x:c r="H52" s="3945"/>
      <x:c r="I52" s="3945"/>
    </x:row>
    <x:row r="53">
      <x:c r="A53" s="3945"/>
      <x:c r="B53" s="3945"/>
      <x:c r="C53" s="3945"/>
      <x:c r="D53" s="3945"/>
      <x:c r="E53" s="3945"/>
      <x:c r="F53" s="3945"/>
      <x:c r="G53" s="3945"/>
      <x:c r="H53" s="3945"/>
      <x:c r="I53" s="3945"/>
    </x:row>
    <x:row r="54">
      <x:c r="A54" s="4220" t="str">
        <x:v>ID</x:v>
      </x:c>
      <x:c r="B54" s="4220" t="str">
        <x:v>Desde</x:v>
      </x:c>
      <x:c r="C54" s="4220" t="str">
        <x:v>Evento</x:v>
      </x:c>
      <x:c r="D54" s="4220" t="str">
        <x:v>Hacia</x:v>
      </x:c>
      <x:c r="E54" s="4220" t="str">
        <x:v>Gate / condición</x:v>
      </x:c>
      <x:c r="F54" s="4220" t="str">
        <x:v>Actor</x:v>
      </x:c>
      <x:c r="G54" s="4220" t="str">
        <x:v>Efecto</x:v>
      </x:c>
      <x:c r="H54" s="4220" t="str">
        <x:v>Tipo</x:v>
      </x:c>
      <x:c r="I54" s="4220" t="str">
        <x:v>Nota</x:v>
      </x:c>
    </x:row>
    <x:row r="55" ht="58" customHeight="1">
      <x:c r="A55" s="3947" t="str">
        <x:v>T-PC01</x:v>
      </x:c>
      <x:c r="B55" s="3947" t="str">
        <x:v>—</x:v>
      </x:c>
      <x:c r="C55" s="3947" t="str">
        <x:v>CREAR_PAQUETE</x:v>
      </x:c>
      <x:c r="D55" s="3947" t="str">
        <x:v>BORRADOR</x:v>
      </x:c>
      <x:c r="E55" s="3947" t="str">
        <x:v>ReglaAgrupacion + UC candidatas</x:v>
      </x:c>
      <x:c r="F55" s="3947" t="str">
        <x:v>Sistema/Certificación</x:v>
      </x:c>
      <x:c r="G55" s="3947" t="str">
        <x:v>Crear contenedor.</x:v>
      </x:c>
      <x:c r="H55" s="4218" t="str">
        <x:v>PERMITIDA</x:v>
      </x:c>
      <x:c r="I55" s="3947" t="str"/>
    </x:row>
    <x:row r="56" ht="58" customHeight="1">
      <x:c r="A56" s="3947" t="str">
        <x:v>T-PC02</x:v>
      </x:c>
      <x:c r="B56" s="3947" t="str">
        <x:v>BORRADOR</x:v>
      </x:c>
      <x:c r="C56" s="3947" t="str">
        <x:v>VALIDAR_COMPLETITUD</x:v>
      </x:c>
      <x:c r="D56" s="3947" t="str">
        <x:v>LISTO_PARA_ENVIO</x:v>
      </x:c>
      <x:c r="E56" s="3947" t="str">
        <x:v>Todas las UC/inclusiones cumplen reglas del paquete</x:v>
      </x:c>
      <x:c r="F56" s="3947" t="str">
        <x:v>Sistema</x:v>
      </x:c>
      <x:c r="G56" s="3947" t="str">
        <x:v>Habilitar envío.</x:v>
      </x:c>
      <x:c r="H56" s="4218" t="str">
        <x:v>PERMITIDA</x:v>
      </x:c>
      <x:c r="I56" s="3947" t="str"/>
    </x:row>
    <x:row r="57" ht="58" customHeight="1">
      <x:c r="A57" s="3947" t="str">
        <x:v>T-PC03</x:v>
      </x:c>
      <x:c r="B57" s="3947" t="str">
        <x:v>LISTO_PARA_ENVIO</x:v>
      </x:c>
      <x:c r="C57" s="3947" t="str">
        <x:v>ENVIAR</x:v>
      </x:c>
      <x:c r="D57" s="3947" t="str">
        <x:v>ENVIADO</x:v>
      </x:c>
      <x:c r="E57" s="3947" t="str">
        <x:v>Canal/cliente resuelto</x:v>
      </x:c>
      <x:c r="F57" s="3947" t="str">
        <x:v>Certificación</x:v>
      </x:c>
      <x:c r="G57" s="3947" t="str">
        <x:v>Registrar envío.</x:v>
      </x:c>
      <x:c r="H57" s="4218" t="str">
        <x:v>PERMITIDA</x:v>
      </x:c>
      <x:c r="I57" s="3947" t="str"/>
    </x:row>
    <x:row r="58" ht="58" customHeight="1">
      <x:c r="A58" s="3947" t="str">
        <x:v>T-PC04</x:v>
      </x:c>
      <x:c r="B58" s="3947" t="str">
        <x:v>ENVIADO</x:v>
      </x:c>
      <x:c r="C58" s="3947" t="str">
        <x:v>INICIAR_REVISION</x:v>
      </x:c>
      <x:c r="D58" s="3947" t="str">
        <x:v>EN_REVISION</x:v>
      </x:c>
      <x:c r="E58" s="3947" t="str">
        <x:v>Recepción/revisión confirmada</x:v>
      </x:c>
      <x:c r="F58" s="3947" t="str">
        <x:v>Cliente/Certificación</x:v>
      </x:c>
      <x:c r="G58" s="3947" t="str">
        <x:v>Entrar revisión.</x:v>
      </x:c>
      <x:c r="H58" s="4218" t="str">
        <x:v>PERMITIDA</x:v>
      </x:c>
      <x:c r="I58" s="3947" t="str"/>
    </x:row>
    <x:row r="59" ht="58" customHeight="1">
      <x:c r="A59" s="3947" t="str">
        <x:v>T-PC05</x:v>
      </x:c>
      <x:c r="B59" s="3947" t="str">
        <x:v>EN_REVISION</x:v>
      </x:c>
      <x:c r="C59" s="3947" t="str">
        <x:v>OBSERVAR</x:v>
      </x:c>
      <x:c r="D59" s="3947" t="str">
        <x:v>OBSERVADO</x:v>
      </x:c>
      <x:c r="E59" s="3947" t="str">
        <x:v>Observación documentada</x:v>
      </x:c>
      <x:c r="F59" s="3947" t="str">
        <x:v>Cliente/Certificación</x:v>
      </x:c>
      <x:c r="G59" s="3947" t="str">
        <x:v>Bloquear/condicionar.</x:v>
      </x:c>
      <x:c r="H59" s="4218" t="str">
        <x:v>PERMITIDA</x:v>
      </x:c>
      <x:c r="I59" s="3947" t="str"/>
    </x:row>
    <x:row r="60" ht="58" customHeight="1">
      <x:c r="A60" s="3947" t="str">
        <x:v>T-PC06</x:v>
      </x:c>
      <x:c r="B60" s="3947" t="str">
        <x:v>OBSERVADO</x:v>
      </x:c>
      <x:c r="C60" s="3947" t="str">
        <x:v>RESOLVER_Y_REENVIAR</x:v>
      </x:c>
      <x:c r="D60" s="3947" t="str">
        <x:v>ENVIADO</x:v>
      </x:c>
      <x:c r="E60" s="3947" t="str">
        <x:v>Nueva versión/inclusión/evidencia según corresponda</x:v>
      </x:c>
      <x:c r="F60" s="3947" t="str">
        <x:v>Certificación</x:v>
      </x:c>
      <x:c r="G60" s="3947" t="str">
        <x:v>No borrar versión previa.</x:v>
      </x:c>
      <x:c r="H60" s="4218" t="str">
        <x:v>PERMITIDA</x:v>
      </x:c>
      <x:c r="I60" s="3947" t="str"/>
    </x:row>
    <x:row r="61" ht="58" customHeight="1">
      <x:c r="A61" s="3947" t="str">
        <x:v>T-PC07</x:v>
      </x:c>
      <x:c r="B61" s="3947" t="str">
        <x:v>EN_REVISION</x:v>
      </x:c>
      <x:c r="C61" s="3947" t="str">
        <x:v>ACEPTAR_COMPLETO</x:v>
      </x:c>
      <x:c r="D61" s="3947" t="str">
        <x:v>ACEPTADO</x:v>
      </x:c>
      <x:c r="E61" s="3947" t="str">
        <x:v>Todas las UC pertinentes aceptadas</x:v>
      </x:c>
      <x:c r="F61" s="3947" t="str">
        <x:v>Cliente/Certificación</x:v>
      </x:c>
      <x:c r="G61" s="3947" t="str">
        <x:v>Aceptar.</x:v>
      </x:c>
      <x:c r="H61" s="4218" t="str">
        <x:v>PERMITIDA</x:v>
      </x:c>
      <x:c r="I61" s="3947" t="str"/>
    </x:row>
    <x:row r="62" ht="58" customHeight="1">
      <x:c r="A62" s="3947" t="str">
        <x:v>T-PC08</x:v>
      </x:c>
      <x:c r="B62" s="3947" t="str">
        <x:v>EN_REVISION</x:v>
      </x:c>
      <x:c r="C62" s="3947" t="str">
        <x:v>ACEPTAR_PARCIAL</x:v>
      </x:c>
      <x:c r="D62" s="3947" t="str">
        <x:v>ACEPTADO_PARCIAL</x:v>
      </x:c>
      <x:c r="E62" s="3947" t="str">
        <x:v>ReglaParcialidadCertificacion lo permite</x:v>
      </x:c>
      <x:c r="F62" s="3947" t="str">
        <x:v>Cliente/Certificación</x:v>
      </x:c>
      <x:c r="G62" s="3947" t="str">
        <x:v>Aceptar subset explícito.</x:v>
      </x:c>
      <x:c r="H62" s="4219" t="str">
        <x:v>CONDICIONAL</x:v>
      </x:c>
      <x:c r="I62" s="3947" t="str"/>
    </x:row>
    <x:row r="63" ht="58" customHeight="1">
      <x:c r="A63" s="3947" t="str">
        <x:v>T-PC09</x:v>
      </x:c>
      <x:c r="B63" s="3947" t="str">
        <x:v>EN_REVISION</x:v>
      </x:c>
      <x:c r="C63" s="3947" t="str">
        <x:v>RECHAZAR</x:v>
      </x:c>
      <x:c r="D63" s="3947" t="str">
        <x:v>RECHAZADO</x:v>
      </x:c>
      <x:c r="E63" s="3947" t="str">
        <x:v>Causa</x:v>
      </x:c>
      <x:c r="F63" s="3947" t="str">
        <x:v>Cliente/Certificación</x:v>
      </x:c>
      <x:c r="G63" s="3947" t="str">
        <x:v>Rechazar.</x:v>
      </x:c>
      <x:c r="H63" s="4218" t="str">
        <x:v>PERMITIDA</x:v>
      </x:c>
      <x:c r="I63" s="3947" t="str"/>
    </x:row>
    <x:row r="64" ht="58" customHeight="1">
      <x:c r="A64" s="3947" t="str">
        <x:v>T-PC10</x:v>
      </x:c>
      <x:c r="B64" s="3947" t="str">
        <x:v>BORRADOR/LISTO/OBSERVADO</x:v>
      </x:c>
      <x:c r="C64" s="3947" t="str">
        <x:v>SUPERSEDER</x:v>
      </x:c>
      <x:c r="D64" s="3947" t="str">
        <x:v>SUSTITUIDO</x:v>
      </x:c>
      <x:c r="E64" s="3947" t="str">
        <x:v>Nueva versión sustituye composición anterior</x:v>
      </x:c>
      <x:c r="F64" s="3947" t="str">
        <x:v>Sistema/Certificación</x:v>
      </x:c>
      <x:c r="G64" s="3947" t="str">
        <x:v>Preservar histórico.</x:v>
      </x:c>
      <x:c r="H64" s="4218" t="str">
        <x:v>PERMITIDA</x:v>
      </x:c>
      <x:c r="I64" s="3947" t="str"/>
    </x:row>
    <x:row r="65">
      <x:c r="A65" s="3945"/>
      <x:c r="B65" s="3945"/>
      <x:c r="C65" s="3945"/>
      <x:c r="D65" s="3945"/>
      <x:c r="E65" s="3945"/>
      <x:c r="F65" s="3945"/>
      <x:c r="G65" s="3945"/>
      <x:c r="H65" s="3945"/>
      <x:c r="I65" s="3945"/>
    </x:row>
    <x:row r="66">
      <x:c r="A66" s="3945"/>
      <x:c r="B66" s="3945"/>
      <x:c r="C66" s="3945"/>
      <x:c r="D66" s="3945"/>
      <x:c r="E66" s="3945"/>
      <x:c r="F66" s="3945"/>
      <x:c r="G66" s="3945"/>
      <x:c r="H66" s="3945"/>
      <x:c r="I66" s="3945"/>
    </x:row>
    <x:row r="67">
      <x:c r="A67" s="4221" t="str">
        <x:v>Desde</x:v>
      </x:c>
      <x:c r="B67" s="4221" t="str">
        <x:v>Hacia</x:v>
      </x:c>
      <x:c r="C67" s="4221" t="str">
        <x:v>Transición prohibida</x:v>
      </x:c>
      <x:c r="D67" s="4221" t="str">
        <x:v>Qué hacer en cambio</x:v>
      </x:c>
      <x:c r="E67" s="3945"/>
      <x:c r="F67" s="3945"/>
      <x:c r="G67" s="3945"/>
      <x:c r="H67" s="3945"/>
      <x:c r="I67" s="3945"/>
    </x:row>
    <x:row r="68" ht="52" customHeight="1">
      <x:c r="A68" s="3947" t="str">
        <x:v>ACEPTADO</x:v>
      </x:c>
      <x:c r="B68" s="3947" t="str">
        <x:v>BORRADOR</x:v>
      </x:c>
      <x:c r="C68" s="3947" t="str">
        <x:v>Editar paquete aceptado</x:v>
      </x:c>
      <x:c r="D68" s="3947" t="str">
        <x:v>Crear nueva versión/ajuste.</x:v>
      </x:c>
      <x:c r="E68" s="3945"/>
      <x:c r="F68" s="3945"/>
      <x:c r="G68" s="3945"/>
      <x:c r="H68" s="3945"/>
      <x:c r="I68" s="3945"/>
    </x:row>
    <x:row r="69" ht="52" customHeight="1">
      <x:c r="A69" s="3947" t="str">
        <x:v>EN_REVISION</x:v>
      </x:c>
      <x:c r="B69" s="3947" t="str">
        <x:v>ACEPTADO_PARCIAL</x:v>
      </x:c>
      <x:c r="C69" s="3947" t="str">
        <x:v>Aceptar parcial si regla lo prohíbe</x:v>
      </x:c>
      <x:c r="D69" s="3947" t="str">
        <x:v>Debe respetar ReglaParcialidad.</x:v>
      </x:c>
      <x:c r="E69" s="3945"/>
      <x:c r="F69" s="3945"/>
      <x:c r="G69" s="3945"/>
      <x:c r="H69" s="3945"/>
      <x:c r="I69" s="3945"/>
    </x:row>
    <x:row r="70" ht="52" customHeight="1">
      <x:c r="A70" s="3947" t="str">
        <x:v>ENVIADO</x:v>
      </x:c>
      <x:c r="B70" s="3947" t="str">
        <x:v>BORRADOR</x:v>
      </x:c>
      <x:c r="C70" s="3947" t="str">
        <x:v>Volver atrás borrando envío</x:v>
      </x:c>
      <x:c r="D70" s="3947" t="str">
        <x:v>Crear versión nueva o registrar observación.</x:v>
      </x:c>
      <x:c r="E70" s="3945"/>
      <x:c r="F70" s="3945"/>
      <x:c r="G70" s="3945"/>
      <x:c r="H70" s="3945"/>
      <x:c r="I70" s="3945"/>
    </x:row>
    <x:row r="71">
      <x:c r="A71" s="3945"/>
      <x:c r="B71" s="3945"/>
      <x:c r="C71" s="3945"/>
      <x:c r="D71" s="3945"/>
      <x:c r="E71" s="3945"/>
      <x:c r="F71" s="3945"/>
      <x:c r="G71" s="3945"/>
      <x:c r="H71" s="3945"/>
      <x:c r="I71" s="3945"/>
    </x:row>
    <x:row r="72">
      <x:c r="A72" s="3945"/>
      <x:c r="B72" s="3945"/>
      <x:c r="C72" s="3945"/>
      <x:c r="D72" s="3945"/>
      <x:c r="E72" s="3945"/>
      <x:c r="F72" s="3945"/>
      <x:c r="G72" s="3945"/>
      <x:c r="H72" s="3945"/>
      <x:c r="I72" s="3945"/>
    </x:row>
    <x:row r="73">
      <x:c r="A73" s="3945"/>
      <x:c r="B73" s="3945"/>
      <x:c r="C73" s="3945"/>
      <x:c r="D73" s="3945"/>
      <x:c r="E73" s="3945"/>
      <x:c r="F73" s="3945"/>
      <x:c r="G73" s="3945"/>
      <x:c r="H73" s="3945"/>
      <x:c r="I73" s="3945"/>
    </x:row>
  </x:sheetData>
  <x:mergeCells>
    <x:mergeCell ref="A1:I1"/>
    <x:mergeCell ref="A2:I2"/>
    <x:mergeCell ref="A4:I4"/>
    <x:mergeCell ref="A5:I6"/>
    <x:mergeCell ref="A33:I33"/>
    <x:mergeCell ref="A34:I36"/>
    <x:mergeCell ref="A38:I38"/>
    <x:mergeCell ref="A39:I40"/>
  </x:mergeCells>
  <x:pageMargins left="0.7" right="0.7" top="0.75" bottom="0.75" header="0.3" footer="0.3"/>
</x:worksheet>
</file>

<file path=xl/worksheets/sheet57.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27" hidden="0" customWidth="1"/>
    <x:col min="5" max="5" width="42" hidden="0" customWidth="1"/>
    <x:col min="6" max="6" width="30" hidden="0" customWidth="1"/>
    <x:col min="7" max="7" width="30" hidden="0" customWidth="1"/>
    <x:col min="8" max="8" width="16" hidden="0" customWidth="1"/>
    <x:col min="9" max="9" width="36" hidden="0" customWidth="1"/>
  </x:cols>
  <x:sheetData>
    <x:row r="1">
      <x:c r="A1" s="4213" t="str">
        <x:v>STATE MACHINE · FACTURACIÓN / LOTE</x:v>
      </x:c>
      <x:c r="B1" s="4213"/>
      <x:c r="C1" s="4213"/>
      <x:c r="D1" s="4213"/>
      <x:c r="E1" s="4213"/>
      <x:c r="F1" s="4213"/>
      <x:c r="G1" s="4213"/>
      <x:c r="H1" s="4213"/>
      <x:c r="I1" s="4213"/>
    </x:row>
    <x:row r="2">
      <x:c r="A2" s="4214" t="str">
        <x:v>Las transiciones describen comportamiento funcional. El modelo físico podrá implementar constraints, eventos o workflows, pero no cambiar su semántica sin reabrir la baseline.</x:v>
      </x:c>
      <x:c r="B2" s="4214"/>
      <x:c r="C2" s="4214"/>
      <x:c r="D2" s="4214"/>
      <x:c r="E2" s="4214"/>
      <x:c r="F2" s="4214"/>
      <x:c r="G2" s="4214"/>
      <x:c r="H2" s="4214"/>
      <x:c r="I2" s="4214"/>
    </x:row>
    <x:row r="3">
      <x:c r="A3" s="3945"/>
      <x:c r="B3" s="3945"/>
      <x:c r="C3" s="3945"/>
      <x:c r="D3" s="3945"/>
      <x:c r="E3" s="3945"/>
      <x:c r="F3" s="3945"/>
      <x:c r="G3" s="3945"/>
      <x:c r="H3" s="3945"/>
      <x:c r="I3" s="3945"/>
    </x:row>
    <x:row r="4">
      <x:c r="A4" s="4215" t="str">
        <x:v>FACTURACIÓN · LoteFacturacion</x:v>
      </x:c>
      <x:c r="B4" s="4215"/>
      <x:c r="C4" s="4215"/>
      <x:c r="D4" s="4215"/>
      <x:c r="E4" s="4215"/>
      <x:c r="F4" s="4215"/>
      <x:c r="G4" s="4215"/>
      <x:c r="H4" s="4215"/>
      <x:c r="I4" s="4215"/>
    </x:row>
    <x:row r="5">
      <x:c r="A5" s="4216" t="str">
        <x:v>Agrupación administrativa interna. El modelo funcional termina en el boundary ERP; no inventa estados fiscales específicos.</x:v>
      </x:c>
      <x:c r="B5" s="4216"/>
      <x:c r="C5" s="4216"/>
      <x:c r="D5" s="4216"/>
      <x:c r="E5" s="4216"/>
      <x:c r="F5" s="4216"/>
      <x:c r="G5" s="4216"/>
      <x:c r="H5" s="4216"/>
      <x:c r="I5" s="4216"/>
    </x:row>
    <x:row r="6">
      <x:c r="A6" s="4216"/>
      <x:c r="B6" s="4216"/>
      <x:c r="C6" s="4216"/>
      <x:c r="D6" s="4216"/>
      <x:c r="E6" s="4216"/>
      <x:c r="F6" s="4216"/>
      <x:c r="G6" s="4216"/>
      <x:c r="H6" s="4216"/>
      <x:c r="I6" s="4216"/>
    </x:row>
    <x:row r="7">
      <x:c r="A7" s="3945"/>
      <x:c r="B7" s="3945"/>
      <x:c r="C7" s="3945"/>
      <x:c r="D7" s="3945"/>
      <x:c r="E7" s="3945"/>
      <x:c r="F7" s="3945"/>
      <x:c r="G7" s="3945"/>
      <x:c r="H7" s="3945"/>
      <x:c r="I7" s="3945"/>
    </x:row>
    <x:row r="8">
      <x:c r="A8" s="4217" t="str">
        <x:v>Estado</x:v>
      </x:c>
      <x:c r="B8" s="4217" t="str">
        <x:v>Tipo</x:v>
      </x:c>
      <x:c r="C8" s="4217" t="str">
        <x:v>Semántica</x:v>
      </x:c>
      <x:c r="D8" s="4217" t="str">
        <x:v>Terminal</x:v>
      </x:c>
      <x:c r="E8" s="3945"/>
      <x:c r="F8" s="3945"/>
      <x:c r="G8" s="3945"/>
      <x:c r="H8" s="3945"/>
      <x:c r="I8" s="3945"/>
    </x:row>
    <x:row r="9" ht="44" customHeight="1">
      <x:c r="A9" s="4218" t="str">
        <x:v>BORRADOR</x:v>
      </x:c>
      <x:c r="B9" s="3947" t="str">
        <x:v>Inicial</x:v>
      </x:c>
      <x:c r="C9" s="3947" t="str">
        <x:v>Líneas facturables seleccionadas.</x:v>
      </x:c>
      <x:c r="D9" s="3947" t="str">
        <x:v>No</x:v>
      </x:c>
      <x:c r="E9" s="3945"/>
      <x:c r="F9" s="3945"/>
      <x:c r="G9" s="3945"/>
      <x:c r="H9" s="3945"/>
      <x:c r="I9" s="3945"/>
    </x:row>
    <x:row r="10" ht="44" customHeight="1">
      <x:c r="A10" s="4218" t="str">
        <x:v>VALIDADO</x:v>
      </x:c>
      <x:c r="B10" s="3947" t="str">
        <x:v>Pre-ERP</x:v>
      </x:c>
      <x:c r="C10" s="3947" t="str">
        <x:v>Lote cumple reglas internas y no contiene líneas inválidas/sustituidas.</x:v>
      </x:c>
      <x:c r="D10" s="3947" t="str">
        <x:v>No</x:v>
      </x:c>
      <x:c r="E10" s="3945"/>
      <x:c r="F10" s="3945"/>
      <x:c r="G10" s="3945"/>
      <x:c r="H10" s="3945"/>
      <x:c r="I10" s="3945"/>
    </x:row>
    <x:row r="11" ht="44" customHeight="1">
      <x:c r="A11" s="4218" t="str">
        <x:v>ENVIADO_ERP</x:v>
      </x:c>
      <x:c r="B11" s="3947" t="str">
        <x:v>Boundary</x:v>
      </x:c>
      <x:c r="C11" s="3947" t="str">
        <x:v>Solicitud/documento enviado al sistema administrativo.</x:v>
      </x:c>
      <x:c r="D11" s="3947" t="str">
        <x:v>No</x:v>
      </x:c>
      <x:c r="E11" s="3945"/>
      <x:c r="F11" s="3945"/>
      <x:c r="G11" s="3945"/>
      <x:c r="H11" s="3945"/>
      <x:c r="I11" s="3945"/>
    </x:row>
    <x:row r="12" ht="44" customHeight="1">
      <x:c r="A12" s="4214" t="str">
        <x:v>ACEPTADO_ERP</x:v>
      </x:c>
      <x:c r="B12" s="3947" t="str">
        <x:v>Terminal interno</x:v>
      </x:c>
      <x:c r="C12" s="3947" t="str">
        <x:v>ERP confirmó recepción/emisión válida.</x:v>
      </x:c>
      <x:c r="D12" s="4219" t="str">
        <x:v>Sí interno</x:v>
      </x:c>
      <x:c r="E12" s="3945"/>
      <x:c r="F12" s="3945"/>
      <x:c r="G12" s="3945"/>
      <x:c r="H12" s="3945"/>
      <x:c r="I12" s="3945"/>
    </x:row>
    <x:row r="13" ht="44" customHeight="1">
      <x:c r="A13" s="4218" t="str">
        <x:v>ERROR_ERP</x:v>
      </x:c>
      <x:c r="B13" s="3947" t="str">
        <x:v>Excepción</x:v>
      </x:c>
      <x:c r="C13" s="3947" t="str">
        <x:v>ERP rechazó/observó payload.</x:v>
      </x:c>
      <x:c r="D13" s="3947" t="str">
        <x:v>No</x:v>
      </x:c>
      <x:c r="E13" s="3945"/>
      <x:c r="F13" s="3945"/>
      <x:c r="G13" s="3945"/>
      <x:c r="H13" s="3945"/>
      <x:c r="I13" s="3945"/>
    </x:row>
    <x:row r="14" ht="44" customHeight="1">
      <x:c r="A14" s="4214" t="str">
        <x:v>CANCELADO</x:v>
      </x:c>
      <x:c r="B14" s="3947" t="str">
        <x:v>Terminal</x:v>
      </x:c>
      <x:c r="C14" s="3947" t="str">
        <x:v>Lote cancelado antes de aceptación ERP.</x:v>
      </x:c>
      <x:c r="D14" s="4219" t="str">
        <x:v>Sí</x:v>
      </x:c>
      <x:c r="E14" s="3945"/>
      <x:c r="F14" s="3945"/>
      <x:c r="G14" s="3945"/>
      <x:c r="H14" s="3945"/>
      <x:c r="I14" s="3945"/>
    </x:row>
    <x:row r="15">
      <x:c r="A15" s="3945"/>
      <x:c r="B15" s="3945"/>
      <x:c r="C15" s="3945"/>
      <x:c r="D15" s="3945"/>
      <x:c r="E15" s="3945"/>
      <x:c r="F15" s="3945"/>
      <x:c r="G15" s="3945"/>
      <x:c r="H15" s="3945"/>
      <x:c r="I15" s="3945"/>
    </x:row>
    <x:row r="16">
      <x:c r="A16" s="3945"/>
      <x:c r="B16" s="3945"/>
      <x:c r="C16" s="3945"/>
      <x:c r="D16" s="3945"/>
      <x:c r="E16" s="3945"/>
      <x:c r="F16" s="3945"/>
      <x:c r="G16" s="3945"/>
      <x:c r="H16" s="3945"/>
      <x:c r="I16" s="3945"/>
    </x:row>
    <x:row r="17">
      <x:c r="A17" s="4220" t="str">
        <x:v>ID</x:v>
      </x:c>
      <x:c r="B17" s="4220" t="str">
        <x:v>Desde</x:v>
      </x:c>
      <x:c r="C17" s="4220" t="str">
        <x:v>Evento</x:v>
      </x:c>
      <x:c r="D17" s="4220" t="str">
        <x:v>Hacia</x:v>
      </x:c>
      <x:c r="E17" s="4220" t="str">
        <x:v>Gate / condición</x:v>
      </x:c>
      <x:c r="F17" s="4220" t="str">
        <x:v>Actor</x:v>
      </x:c>
      <x:c r="G17" s="4220" t="str">
        <x:v>Efecto</x:v>
      </x:c>
      <x:c r="H17" s="4220" t="str">
        <x:v>Tipo</x:v>
      </x:c>
      <x:c r="I17" s="4220" t="str">
        <x:v>Nota</x:v>
      </x:c>
    </x:row>
    <x:row r="18" ht="58" customHeight="1">
      <x:c r="A18" s="3947" t="str">
        <x:v>T-LF01</x:v>
      </x:c>
      <x:c r="B18" s="3947" t="str">
        <x:v>—</x:v>
      </x:c>
      <x:c r="C18" s="3947" t="str">
        <x:v>CREAR_LOTE</x:v>
      </x:c>
      <x:c r="D18" s="3947" t="str">
        <x:v>BORRADOR</x:v>
      </x:c>
      <x:c r="E18" s="3947" t="str">
        <x:v>ReglaFacturacion + LineasFacturables vigentes</x:v>
      </x:c>
      <x:c r="F18" s="3947" t="str">
        <x:v>Facturación</x:v>
      </x:c>
      <x:c r="G18" s="3947" t="str">
        <x:v>Crear lote.</x:v>
      </x:c>
      <x:c r="H18" s="4218" t="str">
        <x:v>PERMITIDA</x:v>
      </x:c>
      <x:c r="I18" s="3947" t="str"/>
    </x:row>
    <x:row r="19" ht="58" customHeight="1">
      <x:c r="A19" s="3947" t="str">
        <x:v>T-LF02</x:v>
      </x:c>
      <x:c r="B19" s="3947" t="str">
        <x:v>BORRADOR</x:v>
      </x:c>
      <x:c r="C19" s="3947" t="str">
        <x:v>VALIDAR</x:v>
      </x:c>
      <x:c r="D19" s="3947" t="str">
        <x:v>VALIDADO</x:v>
      </x:c>
      <x:c r="E19" s="3947" t="str">
        <x:v>Checks de completitud/duplicidad/vigencia</x:v>
      </x:c>
      <x:c r="F19" s="3947" t="str">
        <x:v>Sistema/Facturación</x:v>
      </x:c>
      <x:c r="G19" s="3947" t="str">
        <x:v>Preparar boundary.</x:v>
      </x:c>
      <x:c r="H19" s="4218" t="str">
        <x:v>PERMITIDA</x:v>
      </x:c>
      <x:c r="I19" s="3947" t="str"/>
    </x:row>
    <x:row r="20" ht="58" customHeight="1">
      <x:c r="A20" s="3947" t="str">
        <x:v>T-LF03</x:v>
      </x:c>
      <x:c r="B20" s="3947" t="str">
        <x:v>VALIDADO</x:v>
      </x:c>
      <x:c r="C20" s="3947" t="str">
        <x:v>ENVIAR_ERP</x:v>
      </x:c>
      <x:c r="D20" s="3947" t="str">
        <x:v>ENVIADO_ERP</x:v>
      </x:c>
      <x:c r="E20" s="3947" t="str">
        <x:v>Adapter disponible + payload válido</x:v>
      </x:c>
      <x:c r="F20" s="3947" t="str">
        <x:v>Sistema</x:v>
      </x:c>
      <x:c r="G20" s="3947" t="str">
        <x:v>Entregar al ERP.</x:v>
      </x:c>
      <x:c r="H20" s="4218" t="str">
        <x:v>PERMITIDA</x:v>
      </x:c>
      <x:c r="I20" s="3947" t="str"/>
    </x:row>
    <x:row r="21" ht="58" customHeight="1">
      <x:c r="A21" s="3947" t="str">
        <x:v>T-LF04</x:v>
      </x:c>
      <x:c r="B21" s="3947" t="str">
        <x:v>ENVIADO_ERP</x:v>
      </x:c>
      <x:c r="C21" s="3947" t="str">
        <x:v>ERP_ACEPTA</x:v>
      </x:c>
      <x:c r="D21" s="3947" t="str">
        <x:v>ACEPTADO_ERP</x:v>
      </x:c>
      <x:c r="E21" s="3947" t="str">
        <x:v>Referencia externa devuelta</x:v>
      </x:c>
      <x:c r="F21" s="3947" t="str">
        <x:v>ERP/Adapter</x:v>
      </x:c>
      <x:c r="G21" s="3947" t="str">
        <x:v>Cerrar lifecycle interno exitoso.</x:v>
      </x:c>
      <x:c r="H21" s="4218" t="str">
        <x:v>PERMITIDA</x:v>
      </x:c>
      <x:c r="I21" s="3947" t="str"/>
    </x:row>
    <x:row r="22" ht="58" customHeight="1">
      <x:c r="A22" s="3947" t="str">
        <x:v>T-LF05</x:v>
      </x:c>
      <x:c r="B22" s="3947" t="str">
        <x:v>ENVIADO_ERP</x:v>
      </x:c>
      <x:c r="C22" s="3947" t="str">
        <x:v>ERP_ERROR</x:v>
      </x:c>
      <x:c r="D22" s="3947" t="str">
        <x:v>ERROR_ERP</x:v>
      </x:c>
      <x:c r="E22" s="3947" t="str">
        <x:v>Error/rechazo estructurado</x:v>
      </x:c>
      <x:c r="F22" s="3947" t="str">
        <x:v>ERP/Adapter</x:v>
      </x:c>
      <x:c r="G22" s="3947" t="str">
        <x:v>Conservar error.</x:v>
      </x:c>
      <x:c r="H22" s="4218" t="str">
        <x:v>PERMITIDA</x:v>
      </x:c>
      <x:c r="I22" s="3947" t="str"/>
    </x:row>
    <x:row r="23" ht="58" customHeight="1">
      <x:c r="A23" s="3947" t="str">
        <x:v>T-LF06</x:v>
      </x:c>
      <x:c r="B23" s="3947" t="str">
        <x:v>ERROR_ERP</x:v>
      </x:c>
      <x:c r="C23" s="3947" t="str">
        <x:v>CORREGIR_REENVIAR</x:v>
      </x:c>
      <x:c r="D23" s="3947" t="str">
        <x:v>ENVIADO_ERP</x:v>
      </x:c>
      <x:c r="E23" s="3947" t="str">
        <x:v>Corrección administrativa permitida</x:v>
      </x:c>
      <x:c r="F23" s="3947" t="str">
        <x:v>Facturación</x:v>
      </x:c>
      <x:c r="G23" s="3947" t="str">
        <x:v>Reintentar con trazabilidad.</x:v>
      </x:c>
      <x:c r="H23" s="4218" t="str">
        <x:v>PERMITIDA</x:v>
      </x:c>
      <x:c r="I23" s="3947" t="str"/>
    </x:row>
    <x:row r="24" ht="58" customHeight="1">
      <x:c r="A24" s="3947" t="str">
        <x:v>T-LF07</x:v>
      </x:c>
      <x:c r="B24" s="3947" t="str">
        <x:v>BORRADOR/VALIDADO</x:v>
      </x:c>
      <x:c r="C24" s="3947" t="str">
        <x:v>CANCELAR</x:v>
      </x:c>
      <x:c r="D24" s="3947" t="str">
        <x:v>CANCELADO</x:v>
      </x:c>
      <x:c r="E24" s="3947" t="str">
        <x:v>Aún no aceptado por ERP</x:v>
      </x:c>
      <x:c r="F24" s="3947" t="str">
        <x:v>Facturación</x:v>
      </x:c>
      <x:c r="G24" s="3947" t="str">
        <x:v>Cancelar lote.</x:v>
      </x:c>
      <x:c r="H24" s="4218" t="str">
        <x:v>PERMITIDA</x:v>
      </x:c>
      <x:c r="I24" s="3947" t="str"/>
    </x:row>
    <x:row r="25">
      <x:c r="A25" s="3945"/>
      <x:c r="B25" s="3945"/>
      <x:c r="C25" s="3945"/>
      <x:c r="D25" s="3945"/>
      <x:c r="E25" s="3945"/>
      <x:c r="F25" s="3945"/>
      <x:c r="G25" s="3945"/>
      <x:c r="H25" s="3945"/>
      <x:c r="I25" s="3945"/>
    </x:row>
    <x:row r="26">
      <x:c r="A26" s="3945"/>
      <x:c r="B26" s="3945"/>
      <x:c r="C26" s="3945"/>
      <x:c r="D26" s="3945"/>
      <x:c r="E26" s="3945"/>
      <x:c r="F26" s="3945"/>
      <x:c r="G26" s="3945"/>
      <x:c r="H26" s="3945"/>
      <x:c r="I26" s="3945"/>
    </x:row>
    <x:row r="27">
      <x:c r="A27" s="4221" t="str">
        <x:v>Desde</x:v>
      </x:c>
      <x:c r="B27" s="4221" t="str">
        <x:v>Hacia</x:v>
      </x:c>
      <x:c r="C27" s="4221" t="str">
        <x:v>Transición prohibida</x:v>
      </x:c>
      <x:c r="D27" s="4221" t="str">
        <x:v>Qué hacer en cambio</x:v>
      </x:c>
      <x:c r="E27" s="3945"/>
      <x:c r="F27" s="3945"/>
      <x:c r="G27" s="3945"/>
      <x:c r="H27" s="3945"/>
      <x:c r="I27" s="3945"/>
    </x:row>
    <x:row r="28" ht="52" customHeight="1">
      <x:c r="A28" s="3947" t="str">
        <x:v>ACEPTADO_ERP</x:v>
      </x:c>
      <x:c r="B28" s="3947" t="str">
        <x:v>BORRADOR</x:v>
      </x:c>
      <x:c r="C28" s="3947" t="str">
        <x:v>Editar/reusar lote aceptado</x:v>
      </x:c>
      <x:c r="D28" s="3947" t="str">
        <x:v>Crear ajuste/reversión mediante proceso administrativo externo.</x:v>
      </x:c>
      <x:c r="E28" s="3945"/>
      <x:c r="F28" s="3945"/>
      <x:c r="G28" s="3945"/>
      <x:c r="H28" s="3945"/>
      <x:c r="I28" s="3945"/>
    </x:row>
    <x:row r="29" ht="52" customHeight="1">
      <x:c r="A29" s="3947" t="str">
        <x:v>ENVIADO_ERP</x:v>
      </x:c>
      <x:c r="B29" s="3947" t="str">
        <x:v>CANCELADO</x:v>
      </x:c>
      <x:c r="C29" s="3947" t="str">
        <x:v>Cancelar unilateralmente después de aceptación potencial</x:v>
      </x:c>
      <x:c r="D29" s="3947" t="str">
        <x:v>Esperar respuesta/usar operación compensatoria.</x:v>
      </x:c>
      <x:c r="E29" s="3945"/>
      <x:c r="F29" s="3945"/>
      <x:c r="G29" s="3945"/>
      <x:c r="H29" s="3945"/>
      <x:c r="I29" s="3945"/>
    </x:row>
    <x:row r="30" ht="52" customHeight="1">
      <x:c r="A30" s="3947" t="str">
        <x:v>BORRADOR</x:v>
      </x:c>
      <x:c r="B30" s="3947" t="str">
        <x:v>ACEPTADO_ERP</x:v>
      </x:c>
      <x:c r="C30" s="3947" t="str">
        <x:v>Saltar validación/envío</x:v>
      </x:c>
      <x:c r="D30" s="3947" t="str">
        <x:v>Debe cruzar boundary explícitamente.</x:v>
      </x:c>
      <x:c r="E30" s="3945"/>
      <x:c r="F30" s="3945"/>
      <x:c r="G30" s="3945"/>
      <x:c r="H30" s="3945"/>
      <x:c r="I30" s="3945"/>
    </x:row>
    <x:row r="31">
      <x:c r="A31" s="3945"/>
      <x:c r="B31" s="3945"/>
      <x:c r="C31" s="3945"/>
      <x:c r="D31" s="3945"/>
      <x:c r="E31" s="3945"/>
      <x:c r="F31" s="3945"/>
      <x:c r="G31" s="3945"/>
      <x:c r="H31" s="3945"/>
      <x:c r="I31" s="3945"/>
    </x:row>
    <x:row r="32">
      <x:c r="A32" s="3945"/>
      <x:c r="B32" s="3945"/>
      <x:c r="C32" s="3945"/>
      <x:c r="D32" s="3945"/>
      <x:c r="E32" s="3945"/>
      <x:c r="F32" s="3945"/>
      <x:c r="G32" s="3945"/>
      <x:c r="H32" s="3945"/>
      <x:c r="I32" s="3945"/>
    </x:row>
    <x:row r="33">
      <x:c r="A33" s="3945"/>
      <x:c r="B33" s="3945"/>
      <x:c r="C33" s="3945"/>
      <x:c r="D33" s="3945"/>
      <x:c r="E33" s="3945"/>
      <x:c r="F33" s="3945"/>
      <x:c r="G33" s="3945"/>
      <x:c r="H33" s="3945"/>
      <x:c r="I33" s="3945"/>
    </x:row>
  </x:sheetData>
  <x:mergeCells>
    <x:mergeCell ref="A1:I1"/>
    <x:mergeCell ref="A2:I2"/>
    <x:mergeCell ref="A4:I4"/>
    <x:mergeCell ref="A5:I6"/>
  </x:mergeCells>
  <x:pageMargins left="0.7" right="0.7" top="0.75" bottom="0.75" header="0.3" footer="0.3"/>
</x:worksheet>
</file>

<file path=xl/worksheets/sheet58.xml><?xml version="1.0" encoding="utf-8"?>
<x:worksheet xmlns:x="http://schemas.openxmlformats.org/spreadsheetml/2006/main">
  <x:sheetFormatPr defaultRowHeight="15"/>
  <x:cols>
    <x:col min="1" max="1" width="10" hidden="0" customWidth="1"/>
    <x:col min="2" max="2" width="22" hidden="0" customWidth="1"/>
    <x:col min="3" max="3" width="22" hidden="0" customWidth="1"/>
    <x:col min="4" max="4" width="24" hidden="0" customWidth="1"/>
    <x:col min="5" max="5" width="38" hidden="0" customWidth="1"/>
    <x:col min="6" max="6" width="44" hidden="0" customWidth="1"/>
    <x:col min="7" max="7" width="18" hidden="0" customWidth="1"/>
  </x:cols>
  <x:sheetData>
    <x:row r="1">
      <x:c r="A1" s="4213" t="str">
        <x:v>TRANSICIONES PROHIBIDAS · GUARDRAILS DE ESTADO</x:v>
      </x:c>
      <x:c r="B1" s="4213"/>
      <x:c r="C1" s="4213"/>
      <x:c r="D1" s="4213"/>
      <x:c r="E1" s="4213"/>
      <x:c r="F1" s="4213"/>
      <x:c r="G1" s="4213"/>
    </x:row>
    <x:row r="2">
      <x:c r="A2" s="4214" t="str">
        <x:v>El software debe impedir estas transiciones directas. La columna 'Camino correcto' indica cómo preservar historia sin romper la máquina.</x:v>
      </x:c>
      <x:c r="B2" s="4214"/>
      <x:c r="C2" s="4214"/>
      <x:c r="D2" s="4214"/>
      <x:c r="E2" s="4214"/>
      <x:c r="F2" s="4214"/>
      <x:c r="G2" s="4214"/>
    </x:row>
    <x:row r="3">
      <x:c r="A3" s="3945"/>
      <x:c r="B3" s="3945"/>
      <x:c r="C3" s="3945"/>
      <x:c r="D3" s="3945"/>
      <x:c r="E3" s="3945"/>
      <x:c r="F3" s="3945"/>
      <x:c r="G3" s="3945"/>
    </x:row>
    <x:row r="4">
      <x:c r="A4" s="4220" t="str">
        <x:v>ID</x:v>
      </x:c>
      <x:c r="B4" s="4220" t="str">
        <x:v>Máquina</x:v>
      </x:c>
      <x:c r="C4" s="4220" t="str">
        <x:v>Desde</x:v>
      </x:c>
      <x:c r="D4" s="4220" t="str">
        <x:v>Hacia</x:v>
      </x:c>
      <x:c r="E4" s="4220" t="str">
        <x:v>Qué está prohibido</x:v>
      </x:c>
      <x:c r="F4" s="4220" t="str">
        <x:v>Camino correcto</x:v>
      </x:c>
      <x:c r="G4" s="4220" t="str">
        <x:v>Severidad</x:v>
      </x:c>
    </x:row>
    <x:row r="5" ht="56" customHeight="1">
      <x:c r="A5" s="3947" t="str">
        <x:v>TPR-001</x:v>
      </x:c>
      <x:c r="B5" s="3947" t="str">
        <x:v>Planificacion</x:v>
      </x:c>
      <x:c r="C5" s="3947" t="str">
        <x:v>CERRADA</x:v>
      </x:c>
      <x:c r="D5" s="3947" t="str">
        <x:v>ACTIVA</x:v>
      </x:c>
      <x:c r="E5" s="3947" t="str">
        <x:v>Reabrir silenciosamente un plan cerrado</x:v>
      </x:c>
      <x:c r="F5" s="3947" t="str">
        <x:v>Crear nueva versión/plan según contexto; conservar cierre histórico.</x:v>
      </x:c>
      <x:c r="G5" s="4225" t="str">
        <x:v>CRÍTICA</x:v>
      </x:c>
    </x:row>
    <x:row r="6" ht="56" customHeight="1">
      <x:c r="A6" s="3947" t="str">
        <x:v>TPR-002</x:v>
      </x:c>
      <x:c r="B6" s="3947" t="str">
        <x:v>Planificacion</x:v>
      </x:c>
      <x:c r="C6" s="3947" t="str">
        <x:v>CANCELADA</x:v>
      </x:c>
      <x:c r="D6" s="3947" t="str">
        <x:v>ACTIVA</x:v>
      </x:c>
      <x:c r="E6" s="3947" t="str">
        <x:v>Reactivar plan cancelado</x:v>
      </x:c>
      <x:c r="F6" s="3947" t="str">
        <x:v>Nueva Planificacion o versión explícita con trazabilidad.</x:v>
      </x:c>
      <x:c r="G6" s="4225" t="str">
        <x:v>CRÍTICA</x:v>
      </x:c>
    </x:row>
    <x:row r="7" ht="56" customHeight="1">
      <x:c r="A7" s="3947" t="str">
        <x:v>TPR-003</x:v>
      </x:c>
      <x:c r="B7" s="3947" t="str">
        <x:v>Planificacion</x:v>
      </x:c>
      <x:c r="C7" s="3947" t="str">
        <x:v>ACTIVA</x:v>
      </x:c>
      <x:c r="D7" s="3947" t="str">
        <x:v>CANCELADA</x:v>
      </x:c>
      <x:c r="E7" s="3947" t="str">
        <x:v>Cancelar si ya existen ejecuciones iniciadas</x:v>
      </x:c>
      <x:c r="F7" s="3947" t="str">
        <x:v>Resolver asignaciones/directivas; no borrar materialización real.</x:v>
      </x:c>
      <x:c r="G7" s="4225" t="str">
        <x:v>CRÍTICA</x:v>
      </x:c>
    </x:row>
    <x:row r="8" ht="56" customHeight="1">
      <x:c r="A8" s="3947" t="str">
        <x:v>TPR-004</x:v>
      </x:c>
      <x:c r="B8" s="3947" t="str">
        <x:v>AsignacionPlanificada</x:v>
      </x:c>
      <x:c r="C8" s="3947" t="str">
        <x:v>DESPACHADA</x:v>
      </x:c>
      <x:c r="D8" s="3947" t="str">
        <x:v>READY</x:v>
      </x:c>
      <x:c r="E8" s="3947" t="str">
        <x:v>Deshacer despacho borrando historia</x:v>
      </x:c>
      <x:c r="F8" s="3947" t="str">
        <x:v>Emitir nueva versión/directiva; el despacho original queda trazado.</x:v>
      </x:c>
      <x:c r="G8" s="4225" t="str">
        <x:v>CRÍTICA</x:v>
      </x:c>
    </x:row>
    <x:row r="9" ht="56" customHeight="1">
      <x:c r="A9" s="3947" t="str">
        <x:v>TPR-005</x:v>
      </x:c>
      <x:c r="B9" s="3947" t="str">
        <x:v>AsignacionPlanificada</x:v>
      </x:c>
      <x:c r="C9" s="3947" t="str">
        <x:v>CUMPLIDA</x:v>
      </x:c>
      <x:c r="D9" s="3947" t="str">
        <x:v>PROGRAMADA</x:v>
      </x:c>
      <x:c r="E9" s="3947" t="str">
        <x:v>Reabrir asignación cumplida</x:v>
      </x:c>
      <x:c r="F9" s="3947" t="str">
        <x:v>Nueva asignación/versión.</x:v>
      </x:c>
      <x:c r="G9" s="4225" t="str">
        <x:v>CRÍTICA</x:v>
      </x:c>
    </x:row>
    <x:row r="10" ht="56" customHeight="1">
      <x:c r="A10" s="3947" t="str">
        <x:v>TPR-006</x:v>
      </x:c>
      <x:c r="B10" s="3947" t="str">
        <x:v>AsignacionPlanificada</x:v>
      </x:c>
      <x:c r="C10" s="3947" t="str">
        <x:v>CANCELADA</x:v>
      </x:c>
      <x:c r="D10" s="3947" t="str">
        <x:v>CUMPLIDA</x:v>
      </x:c>
      <x:c r="E10" s="3947" t="str">
        <x:v>Marcar cancelada como cumplida sin ejecución</x:v>
      </x:c>
      <x:c r="F10" s="3947" t="str">
        <x:v>Solo mediante nueva evidencia y revisión explícita.</x:v>
      </x:c>
      <x:c r="G10" s="4225" t="str">
        <x:v>CRÍTICA</x:v>
      </x:c>
    </x:row>
    <x:row r="11" ht="56" customHeight="1">
      <x:c r="A11" s="3947" t="str">
        <x:v>TPR-007</x:v>
      </x:c>
      <x:c r="B11" s="3947" t="str">
        <x:v>Parte</x:v>
      </x:c>
      <x:c r="C11" s="3947" t="str">
        <x:v>CERRADO_OPERATIVAMENTE</x:v>
      </x:c>
      <x:c r="D11" s="3947" t="str">
        <x:v>EN_EJECUCION</x:v>
      </x:c>
      <x:c r="E11" s="3947" t="str">
        <x:v>Reabrir y editar Parte cerrado</x:v>
      </x:c>
      <x:c r="F11" s="3947" t="str">
        <x:v>Corrección mediante EnmiendaOperativa/nueva ejecución.</x:v>
      </x:c>
      <x:c r="G11" s="4225" t="str">
        <x:v>CRÍTICA</x:v>
      </x:c>
    </x:row>
    <x:row r="12" ht="56" customHeight="1">
      <x:c r="A12" s="3947" t="str">
        <x:v>TPR-008</x:v>
      </x:c>
      <x:c r="B12" s="3947" t="str">
        <x:v>Parte</x:v>
      </x:c>
      <x:c r="C12" s="3947" t="str">
        <x:v>ANULADO</x:v>
      </x:c>
      <x:c r="D12" s="3947" t="str">
        <x:v>EN_EJECUCION</x:v>
      </x:c>
      <x:c r="E12" s="3947" t="str">
        <x:v>Ejecutar Parte anulado</x:v>
      </x:c>
      <x:c r="F12" s="3947" t="str">
        <x:v>Crear Parte válido nuevo.</x:v>
      </x:c>
      <x:c r="G12" s="4225" t="str">
        <x:v>CRÍTICA</x:v>
      </x:c>
    </x:row>
    <x:row r="13" ht="56" customHeight="1">
      <x:c r="A13" s="3947" t="str">
        <x:v>TPR-009</x:v>
      </x:c>
      <x:c r="B13" s="3947" t="str">
        <x:v>Parte</x:v>
      </x:c>
      <x:c r="C13" s="3947" t="str">
        <x:v>PREPARADO</x:v>
      </x:c>
      <x:c r="D13" s="3947" t="str">
        <x:v>CERRADO_OPERATIVAMENTE</x:v>
      </x:c>
      <x:c r="E13" s="3947" t="str">
        <x:v>Cerrar sin resolver UE</x:v>
      </x:c>
      <x:c r="F13" s="3947" t="str">
        <x:v>UE deben quedar cerradas/no realizadas/anuladas explícitamente.</x:v>
      </x:c>
      <x:c r="G13" s="4225" t="str">
        <x:v>CRÍTICA</x:v>
      </x:c>
    </x:row>
    <x:row r="14" ht="56" customHeight="1">
      <x:c r="A14" s="3947" t="str">
        <x:v>TPR-010</x:v>
      </x:c>
      <x:c r="B14" s="3947" t="str">
        <x:v>UnidadEjecucion</x:v>
      </x:c>
      <x:c r="C14" s="3947" t="str">
        <x:v>CERRADA</x:v>
      </x:c>
      <x:c r="D14" s="3947" t="str">
        <x:v>EN_EJECUCION</x:v>
      </x:c>
      <x:c r="E14" s="3947" t="str">
        <x:v>Reabrir UE para editar realidad</x:v>
      </x:c>
      <x:c r="F14" s="3947" t="str">
        <x:v>Usar EnmiendaOperativa o nueva UE.</x:v>
      </x:c>
      <x:c r="G14" s="4225" t="str">
        <x:v>CRÍTICA</x:v>
      </x:c>
    </x:row>
    <x:row r="15" ht="56" customHeight="1">
      <x:c r="A15" s="3947" t="str">
        <x:v>TPR-011</x:v>
      </x:c>
      <x:c r="B15" s="3947" t="str">
        <x:v>UnidadEjecucion</x:v>
      </x:c>
      <x:c r="C15" s="3947" t="str">
        <x:v>NO_REALIZADA</x:v>
      </x:c>
      <x:c r="D15" s="3947" t="str">
        <x:v>CERRADA</x:v>
      </x:c>
      <x:c r="E15" s="3947" t="str">
        <x:v>Inventar ejecución después</x:v>
      </x:c>
      <x:c r="F15" s="3947" t="str">
        <x:v>Nueva evidencia requiere revisión/new UE.</x:v>
      </x:c>
      <x:c r="G15" s="4225" t="str">
        <x:v>CRÍTICA</x:v>
      </x:c>
    </x:row>
    <x:row r="16" ht="56" customHeight="1">
      <x:c r="A16" s="3947" t="str">
        <x:v>TPR-012</x:v>
      </x:c>
      <x:c r="B16" s="3947" t="str">
        <x:v>UnidadEjecucion</x:v>
      </x:c>
      <x:c r="C16" s="3947" t="str">
        <x:v>ANULADA</x:v>
      </x:c>
      <x:c r="D16" s="3947" t="str">
        <x:v>EN_EJECUCION</x:v>
      </x:c>
      <x:c r="E16" s="3947" t="str">
        <x:v>Ejecutar UE anulada</x:v>
      </x:c>
      <x:c r="F16" s="3947" t="str">
        <x:v>Crear nueva UE válida.</x:v>
      </x:c>
      <x:c r="G16" s="4225" t="str">
        <x:v>CRÍTICA</x:v>
      </x:c>
    </x:row>
    <x:row r="17" ht="56" customHeight="1">
      <x:c r="A17" s="3947" t="str">
        <x:v>TPR-013</x:v>
      </x:c>
      <x:c r="B17" s="3947" t="str">
        <x:v>PermisoTrabajo</x:v>
      </x:c>
      <x:c r="C17" s="3947" t="str">
        <x:v>VENCIDO</x:v>
      </x:c>
      <x:c r="D17" s="3947" t="str">
        <x:v>CERRADO</x:v>
      </x:c>
      <x:c r="E17" s="3947" t="str">
        <x:v>Autocerrar por timeout</x:v>
      </x:c>
      <x:c r="F17" s="3947" t="str">
        <x:v>Exige EventoCierreAdministrativoPTW o cierre autorizado.</x:v>
      </x:c>
      <x:c r="G17" s="4225" t="str">
        <x:v>CRÍTICA</x:v>
      </x:c>
    </x:row>
    <x:row r="18" ht="56" customHeight="1">
      <x:c r="A18" s="3947" t="str">
        <x:v>TPR-014</x:v>
      </x:c>
      <x:c r="B18" s="3947" t="str">
        <x:v>PermisoTrabajo</x:v>
      </x:c>
      <x:c r="C18" s="3947" t="str">
        <x:v>RECHAZADO</x:v>
      </x:c>
      <x:c r="D18" s="3947" t="str">
        <x:v>VIGENTE</x:v>
      </x:c>
      <x:c r="E18" s="3947" t="str">
        <x:v>Activar permiso rechazado</x:v>
      </x:c>
      <x:c r="F18" s="3947" t="str">
        <x:v>Crear/revisar nueva solicitud.</x:v>
      </x:c>
      <x:c r="G18" s="4225" t="str">
        <x:v>CRÍTICA</x:v>
      </x:c>
    </x:row>
    <x:row r="19" ht="56" customHeight="1">
      <x:c r="A19" s="3947" t="str">
        <x:v>TPR-015</x:v>
      </x:c>
      <x:c r="B19" s="3947" t="str">
        <x:v>PermisoTrabajo</x:v>
      </x:c>
      <x:c r="C19" s="3947" t="str">
        <x:v>CERRADO</x:v>
      </x:c>
      <x:c r="D19" s="3947" t="str">
        <x:v>VIGENTE</x:v>
      </x:c>
      <x:c r="E19" s="3947" t="str">
        <x:v>Reabrir PTW cerrado</x:v>
      </x:c>
      <x:c r="F19" s="3947" t="str">
        <x:v>Emitir nuevo PTW.</x:v>
      </x:c>
      <x:c r="G19" s="4225" t="str">
        <x:v>CRÍTICA</x:v>
      </x:c>
    </x:row>
    <x:row r="20" ht="56" customHeight="1">
      <x:c r="A20" s="3947" t="str">
        <x:v>TPR-016</x:v>
      </x:c>
      <x:c r="B20" s="3947" t="str">
        <x:v>DirectivaOperativa</x:v>
      </x:c>
      <x:c r="C20" s="3947" t="str">
        <x:v>EMITIDA</x:v>
      </x:c>
      <x:c r="D20" s="3947" t="str">
        <x:v>APLICADA</x:v>
      </x:c>
      <x:c r="E20" s="3947" t="str">
        <x:v>Marcar aplicada sin trazabilidad de recepción/efecto</x:v>
      </x:c>
      <x:c r="F20" s="3947" t="str">
        <x:v>Debe existir evidencia de recepción/aplicación; ACK puede ser implícito solo si regla lo permite.</x:v>
      </x:c>
      <x:c r="G20" s="4225" t="str">
        <x:v>CRÍTICA</x:v>
      </x:c>
    </x:row>
    <x:row r="21" ht="56" customHeight="1">
      <x:c r="A21" s="3947" t="str">
        <x:v>TPR-017</x:v>
      </x:c>
      <x:c r="B21" s="3947" t="str">
        <x:v>DirectivaOperativa</x:v>
      </x:c>
      <x:c r="C21" s="3947" t="str">
        <x:v>APLICADA</x:v>
      </x:c>
      <x:c r="D21" s="3947" t="str">
        <x:v>CANCELADA</x:v>
      </x:c>
      <x:c r="E21" s="3947" t="str">
        <x:v>Cancelar retroactivamente</x:v>
      </x:c>
      <x:c r="F21" s="3947" t="str">
        <x:v>Emitir nueva directiva compensatoria.</x:v>
      </x:c>
      <x:c r="G21" s="4225" t="str">
        <x:v>CRÍTICA</x:v>
      </x:c>
    </x:row>
    <x:row r="22" ht="56" customHeight="1">
      <x:c r="A22" s="3947" t="str">
        <x:v>TPR-018</x:v>
      </x:c>
      <x:c r="B22" s="3947" t="str">
        <x:v>DirectivaOperativa</x:v>
      </x:c>
      <x:c r="C22" s="3947" t="str">
        <x:v>RECHAZADA</x:v>
      </x:c>
      <x:c r="D22" s="3947" t="str">
        <x:v>APLICADA</x:v>
      </x:c>
      <x:c r="E22" s="3947" t="str">
        <x:v>Aplicar la misma directiva rechazada</x:v>
      </x:c>
      <x:c r="F22" s="3947" t="str">
        <x:v>Emitir nueva versión/directiva.</x:v>
      </x:c>
      <x:c r="G22" s="4225" t="str">
        <x:v>CRÍTICA</x:v>
      </x:c>
    </x:row>
    <x:row r="23" ht="56" customHeight="1">
      <x:c r="A23" s="3947" t="str">
        <x:v>TPR-019</x:v>
      </x:c>
      <x:c r="B23" s="3947" t="str">
        <x:v>EventoHabilita</x:v>
      </x:c>
      <x:c r="C23" s="3947" t="str">
        <x:v>REPORTADO</x:v>
      </x:c>
      <x:c r="D23" s="3947" t="str">
        <x:v>CERRADO_SIN_CASO</x:v>
      </x:c>
      <x:c r="E23" s="3947" t="str">
        <x:v>Cerrar sin triage/clasificación mínima</x:v>
      </x:c>
      <x:c r="F23" s="3947" t="str">
        <x:v>Debe existir decisión Habilita.</x:v>
      </x:c>
      <x:c r="G23" s="4225" t="str">
        <x:v>CRÍTICA</x:v>
      </x:c>
    </x:row>
    <x:row r="24" ht="56" customHeight="1">
      <x:c r="A24" s="3947" t="str">
        <x:v>TPR-020</x:v>
      </x:c>
      <x:c r="B24" s="3947" t="str">
        <x:v>EventoHabilita</x:v>
      </x:c>
      <x:c r="C24" s="3947" t="str">
        <x:v>ESCALADO_A_CASO</x:v>
      </x:c>
      <x:c r="D24" s="3947" t="str">
        <x:v>CERRADO_SIN_CASO</x:v>
      </x:c>
      <x:c r="E24" s="3947" t="str">
        <x:v>Cerrar evento ignorando Caso abierto</x:v>
      </x:c>
      <x:c r="F24" s="3947" t="str">
        <x:v>Caso debe resolverse en su máquina.</x:v>
      </x:c>
      <x:c r="G24" s="4225" t="str">
        <x:v>CRÍTICA</x:v>
      </x:c>
    </x:row>
    <x:row r="25" ht="56" customHeight="1">
      <x:c r="A25" s="3947" t="str">
        <x:v>TPR-021</x:v>
      </x:c>
      <x:c r="B25" s="3947" t="str">
        <x:v>EventoHabilita</x:v>
      </x:c>
      <x:c r="C25" s="3947" t="str">
        <x:v>DESCARTADO</x:v>
      </x:c>
      <x:c r="D25" s="3947" t="str">
        <x:v>ESCALADO_A_CASO</x:v>
      </x:c>
      <x:c r="E25" s="3947" t="str">
        <x:v>Reusar evento descartado</x:v>
      </x:c>
      <x:c r="F25" s="3947" t="str">
        <x:v>Reactivar mediante revisión explícita o crear evento válido.</x:v>
      </x:c>
      <x:c r="G25" s="4225" t="str">
        <x:v>CRÍTICA</x:v>
      </x:c>
    </x:row>
    <x:row r="26" ht="56" customHeight="1">
      <x:c r="A26" s="3947" t="str">
        <x:v>TPR-022</x:v>
      </x:c>
      <x:c r="B26" s="3947" t="str">
        <x:v>CasoHabilita</x:v>
      </x:c>
      <x:c r="C26" s="3947" t="str">
        <x:v>ABIERTO</x:v>
      </x:c>
      <x:c r="D26" s="3947" t="str">
        <x:v>CERRADO</x:v>
      </x:c>
      <x:c r="E26" s="3947" t="str">
        <x:v>Cerrar sin investigación/decisión de triage suficiente</x:v>
      </x:c>
      <x:c r="F26" s="3947" t="str">
        <x:v>Debe pasar por gates definidos.</x:v>
      </x:c>
      <x:c r="G26" s="4225" t="str">
        <x:v>CRÍTICA</x:v>
      </x:c>
    </x:row>
    <x:row r="27" ht="56" customHeight="1">
      <x:c r="A27" s="3947" t="str">
        <x:v>TPR-023</x:v>
      </x:c>
      <x:c r="B27" s="3947" t="str">
        <x:v>CasoHabilita</x:v>
      </x:c>
      <x:c r="C27" s="3947" t="str">
        <x:v>EN_INVESTIGACION</x:v>
      </x:c>
      <x:c r="D27" s="3947" t="str">
        <x:v>CERRADO</x:v>
      </x:c>
      <x:c r="E27" s="3947" t="str">
        <x:v>Cerrar con investigación abierta</x:v>
      </x:c>
      <x:c r="F27" s="3947" t="str">
        <x:v>Finalizar investigación primero.</x:v>
      </x:c>
      <x:c r="G27" s="4225" t="str">
        <x:v>CRÍTICA</x:v>
      </x:c>
    </x:row>
    <x:row r="28" ht="56" customHeight="1">
      <x:c r="A28" s="3947" t="str">
        <x:v>TPR-024</x:v>
      </x:c>
      <x:c r="B28" s="3947" t="str">
        <x:v>CasoHabilita</x:v>
      </x:c>
      <x:c r="C28" s="3947" t="str">
        <x:v>SEGUIMIENTO_ACCIONES</x:v>
      </x:c>
      <x:c r="D28" s="3947" t="str">
        <x:v>CERRADO</x:v>
      </x:c>
      <x:c r="E28" s="3947" t="str">
        <x:v>Cerrar con acciones bloqueantes no verificadas</x:v>
      </x:c>
      <x:c r="F28" s="3947" t="str">
        <x:v>Solo si configuración marca acciones como no bloqueantes.</x:v>
      </x:c>
      <x:c r="G28" s="4225" t="str">
        <x:v>CRÍTICA</x:v>
      </x:c>
    </x:row>
    <x:row r="29" ht="56" customHeight="1">
      <x:c r="A29" s="3947" t="str">
        <x:v>TPR-025</x:v>
      </x:c>
      <x:c r="B29" s="3947" t="str">
        <x:v>UnidadComercial</x:v>
      </x:c>
      <x:c r="C29" s="3947" t="str">
        <x:v>ACEPTADA</x:v>
      </x:c>
      <x:c r="D29" s="3947" t="str">
        <x:v>ELEGIBLE</x:v>
      </x:c>
      <x:c r="E29" s="3947" t="str">
        <x:v>Editar/reabrir misma UC aceptada por cambio en campo</x:v>
      </x:c>
      <x:c r="F29" s="3947" t="str">
        <x:v>Usar supersession: nueva UC/version; anterior permanece.</x:v>
      </x:c>
      <x:c r="G29" s="4225" t="str">
        <x:v>CRÍTICA</x:v>
      </x:c>
    </x:row>
    <x:row r="30" ht="56" customHeight="1">
      <x:c r="A30" s="3947" t="str">
        <x:v>TPR-026</x:v>
      </x:c>
      <x:c r="B30" s="3947" t="str">
        <x:v>UnidadComercial</x:v>
      </x:c>
      <x:c r="C30" s="3947" t="str">
        <x:v>RECHAZADA</x:v>
      </x:c>
      <x:c r="D30" s="3947" t="str">
        <x:v>ACEPTADA</x:v>
      </x:c>
      <x:c r="E30" s="3947" t="str">
        <x:v>Cambiar rechazo a aceptación sin nueva revisión/version</x:v>
      </x:c>
      <x:c r="F30" s="3947" t="str">
        <x:v>Nueva versión/revisión explícita.</x:v>
      </x:c>
      <x:c r="G30" s="4225" t="str">
        <x:v>CRÍTICA</x:v>
      </x:c>
    </x:row>
    <x:row r="31" ht="56" customHeight="1">
      <x:c r="A31" s="3947" t="str">
        <x:v>TPR-027</x:v>
      </x:c>
      <x:c r="B31" s="3947" t="str">
        <x:v>UnidadComercial</x:v>
      </x:c>
      <x:c r="C31" s="3947" t="str">
        <x:v>INCOMPLETA</x:v>
      </x:c>
      <x:c r="D31" s="3947" t="str">
        <x:v>ACEPTADA</x:v>
      </x:c>
      <x:c r="E31" s="3947" t="str">
        <x:v>Aceptar saltando elegibilidad/revisión</x:v>
      </x:c>
      <x:c r="F31" s="3947" t="str">
        <x:v>Debe satisfacer gates.</x:v>
      </x:c>
      <x:c r="G31" s="4225" t="str">
        <x:v>CRÍTICA</x:v>
      </x:c>
    </x:row>
    <x:row r="32" ht="56" customHeight="1">
      <x:c r="A32" s="3947" t="str">
        <x:v>TPR-028</x:v>
      </x:c>
      <x:c r="B32" s="3947" t="str">
        <x:v>PaqueteCertificacion</x:v>
      </x:c>
      <x:c r="C32" s="3947" t="str">
        <x:v>ACEPTADO</x:v>
      </x:c>
      <x:c r="D32" s="3947" t="str">
        <x:v>BORRADOR</x:v>
      </x:c>
      <x:c r="E32" s="3947" t="str">
        <x:v>Editar paquete aceptado</x:v>
      </x:c>
      <x:c r="F32" s="3947" t="str">
        <x:v>Crear nueva versión/ajuste.</x:v>
      </x:c>
      <x:c r="G32" s="4225" t="str">
        <x:v>CRÍTICA</x:v>
      </x:c>
    </x:row>
    <x:row r="33" ht="56" customHeight="1">
      <x:c r="A33" s="3947" t="str">
        <x:v>TPR-029</x:v>
      </x:c>
      <x:c r="B33" s="3947" t="str">
        <x:v>PaqueteCertificacion</x:v>
      </x:c>
      <x:c r="C33" s="3947" t="str">
        <x:v>EN_REVISION</x:v>
      </x:c>
      <x:c r="D33" s="3947" t="str">
        <x:v>ACEPTADO_PARCIAL</x:v>
      </x:c>
      <x:c r="E33" s="3947" t="str">
        <x:v>Aceptar parcial si regla lo prohíbe</x:v>
      </x:c>
      <x:c r="F33" s="3947" t="str">
        <x:v>Debe respetar ReglaParcialidad.</x:v>
      </x:c>
      <x:c r="G33" s="4225" t="str">
        <x:v>CRÍTICA</x:v>
      </x:c>
    </x:row>
    <x:row r="34" ht="56" customHeight="1">
      <x:c r="A34" s="3947" t="str">
        <x:v>TPR-030</x:v>
      </x:c>
      <x:c r="B34" s="3947" t="str">
        <x:v>PaqueteCertificacion</x:v>
      </x:c>
      <x:c r="C34" s="3947" t="str">
        <x:v>ENVIADO</x:v>
      </x:c>
      <x:c r="D34" s="3947" t="str">
        <x:v>BORRADOR</x:v>
      </x:c>
      <x:c r="E34" s="3947" t="str">
        <x:v>Volver atrás borrando envío</x:v>
      </x:c>
      <x:c r="F34" s="3947" t="str">
        <x:v>Crear versión nueva o registrar observación.</x:v>
      </x:c>
      <x:c r="G34" s="4225" t="str">
        <x:v>CRÍTICA</x:v>
      </x:c>
    </x:row>
    <x:row r="35" ht="56" customHeight="1">
      <x:c r="A35" s="3947" t="str">
        <x:v>TPR-031</x:v>
      </x:c>
      <x:c r="B35" s="3947" t="str">
        <x:v>LoteFacturacion</x:v>
      </x:c>
      <x:c r="C35" s="3947" t="str">
        <x:v>ACEPTADO_ERP</x:v>
      </x:c>
      <x:c r="D35" s="3947" t="str">
        <x:v>BORRADOR</x:v>
      </x:c>
      <x:c r="E35" s="3947" t="str">
        <x:v>Editar/reusar lote aceptado</x:v>
      </x:c>
      <x:c r="F35" s="3947" t="str">
        <x:v>Crear ajuste/reversión mediante proceso administrativo externo.</x:v>
      </x:c>
      <x:c r="G35" s="4225" t="str">
        <x:v>CRÍTICA</x:v>
      </x:c>
    </x:row>
    <x:row r="36" ht="56" customHeight="1">
      <x:c r="A36" s="3947" t="str">
        <x:v>TPR-032</x:v>
      </x:c>
      <x:c r="B36" s="3947" t="str">
        <x:v>LoteFacturacion</x:v>
      </x:c>
      <x:c r="C36" s="3947" t="str">
        <x:v>ENVIADO_ERP</x:v>
      </x:c>
      <x:c r="D36" s="3947" t="str">
        <x:v>CANCELADO</x:v>
      </x:c>
      <x:c r="E36" s="3947" t="str">
        <x:v>Cancelar unilateralmente después de aceptación potencial</x:v>
      </x:c>
      <x:c r="F36" s="3947" t="str">
        <x:v>Esperar respuesta/usar operación compensatoria.</x:v>
      </x:c>
      <x:c r="G36" s="4225" t="str">
        <x:v>CRÍTICA</x:v>
      </x:c>
    </x:row>
    <x:row r="37" ht="56" customHeight="1">
      <x:c r="A37" s="3947" t="str">
        <x:v>TPR-033</x:v>
      </x:c>
      <x:c r="B37" s="3947" t="str">
        <x:v>LoteFacturacion</x:v>
      </x:c>
      <x:c r="C37" s="3947" t="str">
        <x:v>BORRADOR</x:v>
      </x:c>
      <x:c r="D37" s="3947" t="str">
        <x:v>ACEPTADO_ERP</x:v>
      </x:c>
      <x:c r="E37" s="3947" t="str">
        <x:v>Saltar validación/envío</x:v>
      </x:c>
      <x:c r="F37" s="3947" t="str">
        <x:v>Debe cruzar boundary explícitamente.</x:v>
      </x:c>
      <x:c r="G37" s="4225" t="str">
        <x:v>CRÍTICA</x:v>
      </x:c>
    </x:row>
  </x:sheetData>
  <x:mergeCells>
    <x:mergeCell ref="A1:G1"/>
    <x:mergeCell ref="A2:G2"/>
  </x:mergeCells>
  <x:pageMargins left="0.7" right="0.7" top="0.75" bottom="0.75" header="0.3" footer="0.3"/>
</x:worksheet>
</file>

<file path=xl/worksheets/sheet59.xml><?xml version="1.0" encoding="utf-8"?>
<x:worksheet xmlns:x="http://schemas.openxmlformats.org/spreadsheetml/2006/main">
  <x:sheetFormatPr defaultRowHeight="15"/>
  <x:cols>
    <x:col min="1" max="1" width="10" hidden="0" customWidth="1"/>
    <x:col min="2" max="2" width="20" hidden="0" customWidth="1"/>
    <x:col min="3" max="3" width="9" hidden="0" customWidth="1"/>
    <x:col min="4" max="4" width="18" hidden="0" customWidth="1"/>
    <x:col min="5" max="5" width="24" hidden="0" customWidth="1"/>
    <x:col min="6" max="6" width="24" hidden="0" customWidth="1"/>
    <x:col min="7" max="7" width="26" hidden="0" customWidth="1"/>
    <x:col min="8" max="8" width="46" hidden="0" customWidth="1"/>
    <x:col min="9" max="9" width="44" hidden="0" customWidth="1"/>
    <x:col min="10" max="10" width="22" hidden="0" customWidth="1"/>
    <x:col min="11" max="11" width="34" hidden="0" customWidth="1"/>
    <x:col min="12" max="12" width="18" hidden="0" customWidth="1"/>
    <x:col min="13" max="13" width="28" hidden="0" customWidth="1"/>
    <x:col min="14" max="14" width="26" hidden="0" customWidth="1"/>
    <x:col min="15" max="15" width="44" hidden="0" customWidth="1"/>
  </x:cols>
  <x:sheetData>
    <x:row r="1">
      <x:c r="A1" s="4242" t="str">
        <x:v>MATRIZ MAESTRA DE REGLAS v0.1 · MOTOR LÓGICO VDS</x:v>
      </x:c>
      <x:c r="B1" s="4242"/>
      <x:c r="C1" s="4242"/>
      <x:c r="D1" s="4242"/>
      <x:c r="E1" s="4242"/>
      <x:c r="F1" s="4242"/>
      <x:c r="G1" s="4242"/>
      <x:c r="H1" s="4242"/>
      <x:c r="I1" s="4242"/>
      <x:c r="J1" s="4242"/>
      <x:c r="K1" s="4242"/>
      <x:c r="L1" s="4242"/>
      <x:c r="M1" s="4242"/>
      <x:c r="N1" s="4242"/>
      <x:c r="O1" s="4242"/>
    </x:row>
    <x:row r="2">
      <x:c r="A2" s="4243" t="str">
        <x:v>Cada fila es una regla funcional evaluable. P0 es mayor precedencia. Las reglas comerciales interpretan la realidad; Habilita/estado/invariantes pueden bloquear antes.</x:v>
      </x:c>
      <x:c r="B2" s="4243"/>
      <x:c r="C2" s="4243"/>
      <x:c r="D2" s="4243"/>
      <x:c r="E2" s="4243"/>
      <x:c r="F2" s="4243"/>
      <x:c r="G2" s="4243"/>
      <x:c r="H2" s="4243"/>
      <x:c r="I2" s="4243"/>
      <x:c r="J2" s="4243"/>
      <x:c r="K2" s="4243"/>
      <x:c r="L2" s="4243"/>
      <x:c r="M2" s="4243"/>
      <x:c r="N2" s="4243"/>
      <x:c r="O2" s="4243"/>
    </x:row>
    <x:row r="3">
      <x:c r="A3" s="3945"/>
      <x:c r="B3" s="3945"/>
      <x:c r="C3" s="3945"/>
      <x:c r="D3" s="3945"/>
      <x:c r="E3" s="3945"/>
      <x:c r="F3" s="3945"/>
      <x:c r="G3" s="3945"/>
      <x:c r="H3" s="3945"/>
      <x:c r="I3" s="3945"/>
      <x:c r="J3" s="3945"/>
      <x:c r="K3" s="3945"/>
      <x:c r="L3" s="3945"/>
      <x:c r="M3" s="3945"/>
      <x:c r="N3" s="3945"/>
      <x:c r="O3" s="3945"/>
    </x:row>
    <x:row r="4">
      <x:c r="A4" s="4244" t="str">
        <x:v>Rule ID</x:v>
      </x:c>
      <x:c r="B4" s="4244" t="str">
        <x:v>Dominio</x:v>
      </x:c>
      <x:c r="C4" s="4244" t="str">
        <x:v>Precedencia</x:v>
      </x:c>
      <x:c r="D4" s="4244" t="str">
        <x:v>Clase</x:v>
      </x:c>
      <x:c r="E4" s="4244" t="str">
        <x:v>Sujeto</x:v>
      </x:c>
      <x:c r="F4" s="4244" t="str">
        <x:v>Trigger</x:v>
      </x:c>
      <x:c r="G4" s="4244" t="str">
        <x:v>Estado/contexto</x:v>
      </x:c>
      <x:c r="H4" s="4244" t="str">
        <x:v>Condición</x:v>
      </x:c>
      <x:c r="I4" s="4244" t="str">
        <x:v>Decisión / resultado</x:v>
      </x:c>
      <x:c r="J4" s="4244" t="str">
        <x:v>Estado destino</x:v>
      </x:c>
      <x:c r="K4" s="4244" t="str">
        <x:v>Side effects / objetos</x:v>
      </x:c>
      <x:c r="L4" s="4244" t="str">
        <x:v>Fuerza</x:v>
      </x:c>
      <x:c r="M4" s="4244" t="str">
        <x:v>Scope configuración</x:v>
      </x:c>
      <x:c r="N4" s="4244" t="str">
        <x:v>Autoridad / fuente</x:v>
      </x:c>
      <x:c r="O4" s="4244" t="str">
        <x:v>Rationale / audit note</x:v>
      </x:c>
    </x:row>
    <x:row r="5" ht="78" customHeight="1">
      <x:c r="A5" s="3947" t="str">
        <x:v>RUL-001</x:v>
      </x:c>
      <x:c r="B5" s="3947" t="str">
        <x:v>CONFIG / ROUTING</x:v>
      </x:c>
      <x:c r="C5" s="4245" t="str">
        <x:v>P4</x:v>
      </x:c>
      <x:c r="D5" s="3947" t="str">
        <x:v>ROUTE</x:v>
      </x:c>
      <x:c r="E5" s="3947" t="str">
        <x:v>Parte</x:v>
      </x:c>
      <x:c r="F5" s="3947" t="str">
        <x:v>BEFORE_CREATE</x:v>
      </x:c>
      <x:c r="G5" s="3947" t="str">
        <x:v>—</x:v>
      </x:c>
      <x:c r="H5" s="3947" t="str">
        <x:v>Existe perfil operativo + contexto planificado/real suficiente</x:v>
      </x:c>
      <x:c r="I5" s="3947" t="str">
        <x:v>DERIVAR tipo_parte_id mediante ruleset; no pedir selector libre como camino normal</x:v>
      </x:c>
      <x:c r="J5" s="3947" t="str">
        <x:v>—</x:v>
      </x:c>
      <x:c r="K5" s="3947" t="str">
        <x:v>DecisionTrace + tipo_parte_id</x:v>
      </x:c>
      <x:c r="L5" s="4246" t="str">
        <x:v>REQUIRED</x:v>
      </x:c>
      <x:c r="M5" s="3947" t="str">
        <x:v>Global / TipoParte / servicio</x:v>
      </x:c>
      <x:c r="N5" s="3947" t="str">
        <x:v>Motor de Ruteo</x:v>
      </x:c>
      <x:c r="O5" s="3947" t="str">
        <x:v>La selección manual queda solo como excepción autorizada.</x:v>
      </x:c>
    </x:row>
    <x:row r="6" ht="78" customHeight="1">
      <x:c r="A6" s="3947" t="str">
        <x:v>RUL-002</x:v>
      </x:c>
      <x:c r="B6" s="3947" t="str">
        <x:v>CONFIG / ROUTING</x:v>
      </x:c>
      <x:c r="C6" s="4245" t="str">
        <x:v>P4</x:v>
      </x:c>
      <x:c r="D6" s="3947" t="str">
        <x:v>ROUTE_FALLBACK</x:v>
      </x:c>
      <x:c r="E6" s="3947" t="str">
        <x:v>Parte</x:v>
      </x:c>
      <x:c r="F6" s="3947" t="str">
        <x:v>ROUTING_AMBIGUOUS</x:v>
      </x:c>
      <x:c r="G6" s="3947" t="str">
        <x:v>—</x:v>
      </x:c>
      <x:c r="H6" s="3947" t="str">
        <x:v>Más de un TipoParte es compatible o faltan datos discriminantes</x:v>
      </x:c>
      <x:c r="I6" s="3947" t="str">
        <x:v>PEDIR confirmación mínima o escalar a supervisor; registrar candidatos y motivo</x:v>
      </x:c>
      <x:c r="J6" s="3947" t="str">
        <x:v>—</x:v>
      </x:c>
      <x:c r="K6" s="3947" t="str">
        <x:v>DecisionTrace</x:v>
      </x:c>
      <x:c r="L6" s="4247" t="str">
        <x:v>WARN/BLOCK según riesgo</x:v>
      </x:c>
      <x:c r="M6" s="3947" t="str">
        <x:v>Ruleset de ruteo</x:v>
      </x:c>
      <x:c r="N6" s="3947" t="str">
        <x:v>Motor + supervisor</x:v>
      </x:c>
      <x:c r="O6" s="3947" t="str">
        <x:v>Nunca elegir silenciosamente un TipoParte arbitrario.</x:v>
      </x:c>
    </x:row>
    <x:row r="7" ht="78" customHeight="1">
      <x:c r="A7" s="3947" t="str">
        <x:v>RUL-003</x:v>
      </x:c>
      <x:c r="B7" s="3947" t="str">
        <x:v>CONFIG / IDENTITY</x:v>
      </x:c>
      <x:c r="C7" s="4245" t="str">
        <x:v>P4</x:v>
      </x:c>
      <x:c r="D7" s="3947" t="str">
        <x:v>IDENTITY</x:v>
      </x:c>
      <x:c r="E7" s="3947" t="str">
        <x:v>TP-01</x:v>
      </x:c>
      <x:c r="F7" s="3947" t="str">
        <x:v>CHANGE_CONTEXT</x:v>
      </x:c>
      <x:c r="G7" s="3947" t="str">
        <x:v>PREPARADO / EN_EJECUCION / SUSPENDIDO</x:v>
      </x:c>
      <x:c r="H7" s="3947" t="str">
        <x:v>Mismo work package/objetivo operacional</x:v>
      </x:c>
      <x:c r="I7" s="3947" t="str">
        <x:v>MANTENER mismo TP-01 salvo ReglaCorte configurada aplicable</x:v>
      </x:c>
      <x:c r="J7" s="3947" t="str">
        <x:v>sin cambio</x:v>
      </x:c>
      <x:c r="K7" s="3947" t="str">
        <x:v>EventoOperativo si cambió contexto</x:v>
      </x:c>
      <x:c r="L7" s="4246" t="str">
        <x:v>REQUIRED</x:v>
      </x:c>
      <x:c r="M7" s="3947" t="str">
        <x:v>TipoParte + ContratoServicio</x:v>
      </x:c>
      <x:c r="N7" s="3947" t="str">
        <x:v>ReglaCorteTipoParte</x:v>
      </x:c>
      <x:c r="O7" s="3947" t="str">
        <x:v>Work package gobierna identidad, no turno/recurso/PTW por sí solos.</x:v>
      </x:c>
    </x:row>
    <x:row r="8" ht="78" customHeight="1">
      <x:c r="A8" s="3947" t="str">
        <x:v>RUL-004</x:v>
      </x:c>
      <x:c r="B8" s="3947" t="str">
        <x:v>CONFIG / IDENTITY</x:v>
      </x:c>
      <x:c r="C8" s="4245" t="str">
        <x:v>P4</x:v>
      </x:c>
      <x:c r="D8" s="3947" t="str">
        <x:v>CUT</x:v>
      </x:c>
      <x:c r="E8" s="3947" t="str">
        <x:v>TP-01</x:v>
      </x:c>
      <x:c r="F8" s="3947" t="str">
        <x:v>WORK_PACKAGE_CHANGED</x:v>
      </x:c>
      <x:c r="G8" s="3947" t="str">
        <x:v>PREPARADO / EN_EJECUCION / SUSPENDIDO</x:v>
      </x:c>
      <x:c r="H8" s="3947" t="str">
        <x:v>El objetivo/work package pasa a ser independiente</x:v>
      </x:c>
      <x:c r="I8" s="3947" t="str">
        <x:v>CERRAR/TERMINAR alcance actual según estado y CREAR nuevo TP-01</x:v>
      </x:c>
      <x:c r="J8" s="3947" t="str">
        <x:v>según máquina</x:v>
      </x:c>
      <x:c r="K8" s="3947" t="str">
        <x:v>Nuevo Parte + VinculoPlanEjecucion si aplica</x:v>
      </x:c>
      <x:c r="L8" s="4246" t="str">
        <x:v>REQUIRED</x:v>
      </x:c>
      <x:c r="M8" s="3947" t="str">
        <x:v>TipoParte / servicio</x:v>
      </x:c>
      <x:c r="N8" s="3947" t="str">
        <x:v>ReglaCorteTipoParte</x:v>
      </x:c>
      <x:c r="O8" s="3947" t="str">
        <x:v>Cambio de identidad real, no mero cambio de dato.</x:v>
      </x:c>
    </x:row>
    <x:row r="9" ht="78" customHeight="1">
      <x:c r="A9" s="3947" t="str">
        <x:v>RUL-005</x:v>
      </x:c>
      <x:c r="B9" s="3947" t="str">
        <x:v>CONFIG / IDENTITY</x:v>
      </x:c>
      <x:c r="C9" s="4245" t="str">
        <x:v>P4</x:v>
      </x:c>
      <x:c r="D9" s="3947" t="str">
        <x:v>NO_CUT_DEFAULT</x:v>
      </x:c>
      <x:c r="E9" s="3947" t="str">
        <x:v>TP-01</x:v>
      </x:c>
      <x:c r="F9" s="3947" t="str">
        <x:v>SHIFT_CHANGED</x:v>
      </x:c>
      <x:c r="G9" s="3947" t="str">
        <x:v>EN_EJECUCION / SUSPENDIDO</x:v>
      </x:c>
      <x:c r="H9" s="3947" t="str">
        <x:v>No existe ReglaCorte específica que obligue split</x:v>
      </x:c>
      <x:c r="I9" s="3947" t="str">
        <x:v>MANTENER Parte + generar handover + cerrar/abrir intervalos + revalidar gates</x:v>
      </x:c>
      <x:c r="J9" s="3947" t="str">
        <x:v>sin cambio</x:v>
      </x:c>
      <x:c r="K9" s="3947" t="str">
        <x:v>EventoHandover / asignaciones temporales / reevaluación PTW</x:v>
      </x:c>
      <x:c r="L9" s="4246" t="str">
        <x:v>REQUIRED</x:v>
      </x:c>
      <x:c r="M9" s="3947" t="str">
        <x:v>TipoParte / cliente / servicio</x:v>
      </x:c>
      <x:c r="N9" s="3947" t="str">
        <x:v>Default Baseline 1.0</x:v>
      </x:c>
      <x:c r="O9" s="3947" t="str">
        <x:v>Cambio turno es transición de responsabilidad.</x:v>
      </x:c>
    </x:row>
    <x:row r="10" ht="78" customHeight="1">
      <x:c r="A10" s="3947" t="str">
        <x:v>RUL-006</x:v>
      </x:c>
      <x:c r="B10" s="3947" t="str">
        <x:v>CONFIG / IDENTITY</x:v>
      </x:c>
      <x:c r="C10" s="4245" t="str">
        <x:v>P4</x:v>
      </x:c>
      <x:c r="D10" s="3947" t="str">
        <x:v>NO_CUT_DEFAULT</x:v>
      </x:c>
      <x:c r="E10" s="3947" t="str">
        <x:v>Parte / UE</x:v>
      </x:c>
      <x:c r="F10" s="3947" t="str">
        <x:v>RESOURCE_CHANGED</x:v>
      </x:c>
      <x:c r="G10" s="3947" t="str">
        <x:v>PREPARADO / EN_EJECUCION / SUSPENDIDO</x:v>
      </x:c>
      <x:c r="H10" s="3947" t="str">
        <x:v>El recurso nuevo apoya misma unidad de trabajo</x:v>
      </x:c>
      <x:c r="I10" s="3947" t="str">
        <x:v>NO crear nuevo Parte; actualizar AsignacionRecursoEjecucion</x:v>
      </x:c>
      <x:c r="J10" s="3947" t="str">
        <x:v>sin cambio</x:v>
      </x:c>
      <x:c r="K10" s="3947" t="str">
        <x:v>AsignacionRecursoEjecucion</x:v>
      </x:c>
      <x:c r="L10" s="4246" t="str">
        <x:v>REQUIRED</x:v>
      </x:c>
      <x:c r="M10" s="3947" t="str">
        <x:v>TipoParte / servicio</x:v>
      </x:c>
      <x:c r="N10" s="3947" t="str">
        <x:v>Baseline 1.0</x:v>
      </x:c>
      <x:c r="O10" s="3947" t="str">
        <x:v>Recurso no define identidad.</x:v>
      </x:c>
    </x:row>
    <x:row r="11" ht="78" customHeight="1">
      <x:c r="A11" s="3947" t="str">
        <x:v>RUL-007</x:v>
      </x:c>
      <x:c r="B11" s="3947" t="str">
        <x:v>CONFIG / IDENTITY</x:v>
      </x:c>
      <x:c r="C11" s="4245" t="str">
        <x:v>P4</x:v>
      </x:c>
      <x:c r="D11" s="3947" t="str">
        <x:v>CREATE_CHILD</x:v>
      </x:c>
      <x:c r="E11" s="3947" t="str">
        <x:v>UnidadEjecucion</x:v>
      </x:c>
      <x:c r="F11" s="3947" t="str">
        <x:v>INDEPENDENT_SUBWORK_DETECTED</x:v>
      </x:c>
      <x:c r="G11" s="3947" t="str">
        <x:v>Parte no terminal</x:v>
      </x:c>
      <x:c r="H11" s="3947" t="str">
        <x:v>Mismo work package pero existe subtrabajo autónomo/resultado distinguible</x:v>
      </x:c>
      <x:c r="I11" s="3947" t="str">
        <x:v>CREAR nueva UnidadEjecucion dentro del mismo Parte</x:v>
      </x:c>
      <x:c r="J11" s="3947" t="str">
        <x:v>PENDIENTE</x:v>
      </x:c>
      <x:c r="K11" s="3947" t="str">
        <x:v>UnidadEjecucion</x:v>
      </x:c>
      <x:c r="L11" s="4246" t="str">
        <x:v>REQUIRED</x:v>
      </x:c>
      <x:c r="M11" s="3947" t="str">
        <x:v>TipoParte / servicio</x:v>
      </x:c>
      <x:c r="N11" s="3947" t="str">
        <x:v>Regla de identidad UE</x:v>
      </x:c>
      <x:c r="O11" s="3947" t="str">
        <x:v>No crear TP-01 si work package no cambia.</x:v>
      </x:c>
    </x:row>
    <x:row r="12" ht="78" customHeight="1">
      <x:c r="A12" s="3947" t="str">
        <x:v>RUL-008</x:v>
      </x:c>
      <x:c r="B12" s="3947" t="str">
        <x:v>CONFIG / IDENTITY</x:v>
      </x:c>
      <x:c r="C12" s="4245" t="str">
        <x:v>P4</x:v>
      </x:c>
      <x:c r="D12" s="3947" t="str">
        <x:v>NO_CUT_DEFAULT</x:v>
      </x:c>
      <x:c r="E12" s="3947" t="str">
        <x:v>Parte</x:v>
      </x:c>
      <x:c r="F12" s="3947" t="str">
        <x:v>LOCATION_CHANGED</x:v>
      </x:c>
      <x:c r="G12" s="3947" t="str">
        <x:v>PREPARADO / EN_EJECUCION / SUSPENDIDO</x:v>
      </x:c>
      <x:c r="H12" s="3947" t="str">
        <x:v>TipoParte no define ubicación como driver de corte</x:v>
      </x:c>
      <x:c r="I12" s="3947" t="str">
        <x:v>NO cortar automáticamente; registrar ubicación/transición y evaluar regla específica</x:v>
      </x:c>
      <x:c r="J12" s="3947" t="str">
        <x:v>sin cambio</x:v>
      </x:c>
      <x:c r="K12" s="3947" t="str">
        <x:v>EjecucionUbicacion / TransicionOperativa</x:v>
      </x:c>
      <x:c r="L12" s="4246" t="str">
        <x:v>REQUIRED</x:v>
      </x:c>
      <x:c r="M12" s="3947" t="str">
        <x:v>TipoParte / servicio</x:v>
      </x:c>
      <x:c r="N12" s="3947" t="str">
        <x:v>ReglaCorteTipoParte</x:v>
      </x:c>
      <x:c r="O12" s="3947" t="str">
        <x:v>No existe regla universal de corte por ubicación.</x:v>
      </x:c>
    </x:row>
    <x:row r="13" ht="78" customHeight="1">
      <x:c r="A13" s="3947" t="str">
        <x:v>RUL-009</x:v>
      </x:c>
      <x:c r="B13" s="3947" t="str">
        <x:v>PLANIFICACIÓN</x:v>
      </x:c>
      <x:c r="C13" s="4246" t="str">
        <x:v>P5</x:v>
      </x:c>
      <x:c r="D13" s="3947" t="str">
        <x:v>CREATE</x:v>
      </x:c>
      <x:c r="E13" s="3947" t="str">
        <x:v>Planificacion</x:v>
      </x:c>
      <x:c r="F13" s="3947" t="str">
        <x:v>DEMAND_ACCEPTED</x:v>
      </x:c>
      <x:c r="G13" s="3947" t="str">
        <x:v>—</x:v>
      </x:c>
      <x:c r="H13" s="3947" t="str">
        <x:v>Demanda válida y no duplicada</x:v>
      </x:c>
      <x:c r="I13" s="3947" t="str">
        <x:v>CREAR Planificacion ABIERTA</x:v>
      </x:c>
      <x:c r="J13" s="3947" t="str">
        <x:v>ABIERTA</x:v>
      </x:c>
      <x:c r="K13" s="3947" t="str">
        <x:v>Planificacion</x:v>
      </x:c>
      <x:c r="L13" s="4246" t="str">
        <x:v>REQUIRED</x:v>
      </x:c>
      <x:c r="M13" s="3947" t="str">
        <x:v>Global</x:v>
      </x:c>
      <x:c r="N13" s="3947" t="str">
        <x:v>Planificación</x:v>
      </x:c>
      <x:c r="O13" s="3947" t="str">
        <x:v>Demanda no implica aún ejecución.</x:v>
      </x:c>
    </x:row>
    <x:row r="14" ht="78" customHeight="1">
      <x:c r="A14" s="3947" t="str">
        <x:v>RUL-010</x:v>
      </x:c>
      <x:c r="B14" s="3947" t="str">
        <x:v>PLANIFICACIÓN</x:v>
      </x:c>
      <x:c r="C14" s="4245" t="str">
        <x:v>P2</x:v>
      </x:c>
      <x:c r="D14" s="3947" t="str">
        <x:v>TRANSITION_GUARD</x:v>
      </x:c>
      <x:c r="E14" s="3947" t="str">
        <x:v>PlanificacionVersion</x:v>
      </x:c>
      <x:c r="F14" s="3947" t="str">
        <x:v>APPROVE_VERSION</x:v>
      </x:c>
      <x:c r="G14" s="3947" t="str">
        <x:v>BORRADOR / EN_VALIDACION</x:v>
      </x:c>
      <x:c r="H14" s="3947" t="str">
        <x:v>Asignaciones consistentes + no errores críticos + reglas/catálogos versionados</x:v>
      </x:c>
      <x:c r="I14" s="3947" t="str">
        <x:v>PERMITIR APROBADA; congelar snapshot</x:v>
      </x:c>
      <x:c r="J14" s="3947" t="str">
        <x:v>APROBADA</x:v>
      </x:c>
      <x:c r="K14" s="3947" t="str">
        <x:v>DecisionTrace</x:v>
      </x:c>
      <x:c r="L14" s="4248" t="str">
        <x:v>HARD_GATE</x:v>
      </x:c>
      <x:c r="M14" s="3947" t="str">
        <x:v>Planificación</x:v>
      </x:c>
      <x:c r="N14" s="3947" t="str">
        <x:v>Planificación</x:v>
      </x:c>
      <x:c r="O14" s="3947" t="str">
        <x:v>Versión aprobada no se edita.</x:v>
      </x:c>
    </x:row>
    <x:row r="15" ht="78" customHeight="1">
      <x:c r="A15" s="3947" t="str">
        <x:v>RUL-011</x:v>
      </x:c>
      <x:c r="B15" s="3947" t="str">
        <x:v>PLANIFICACIÓN</x:v>
      </x:c>
      <x:c r="C15" s="4246" t="str">
        <x:v>P5</x:v>
      </x:c>
      <x:c r="D15" s="3947" t="str">
        <x:v>DERIVE</x:v>
      </x:c>
      <x:c r="E15" s="3947" t="str">
        <x:v>UnidadPlanificada</x:v>
      </x:c>
      <x:c r="F15" s="3947" t="str">
        <x:v>BUILD_REQUIREMENTS</x:v>
      </x:c>
      <x:c r="G15" s="3947" t="str">
        <x:v>—</x:v>
      </x:c>
      <x:c r="H15" s="3947" t="str">
        <x:v>Servicio/actividad/contexto conocidos</x:v>
      </x:c>
      <x:c r="I15" s="3947" t="str">
        <x:v>DERIVAR RequerimientoRecurso y RequerimientoCompetencia desde configuración</x:v>
      </x:c>
      <x:c r="J15" s="3947" t="str">
        <x:v>—</x:v>
      </x:c>
      <x:c r="K15" s="3947" t="str">
        <x:v>Requerimientos</x:v>
      </x:c>
      <x:c r="L15" s="4246" t="str">
        <x:v>REQUIRED</x:v>
      </x:c>
      <x:c r="M15" s="3947" t="str">
        <x:v>Servicio / TipoParte previsto</x:v>
      </x:c>
      <x:c r="N15" s="3947" t="str">
        <x:v>Ruleset planificación</x:v>
      </x:c>
      <x:c r="O15" s="3947" t="str">
        <x:v>Planifica capacidad antes de nominar activos concretos.</x:v>
      </x:c>
    </x:row>
    <x:row r="16" ht="78" customHeight="1">
      <x:c r="A16" s="3947" t="str">
        <x:v>RUL-012</x:v>
      </x:c>
      <x:c r="B16" s="3947" t="str">
        <x:v>PLANIFICACIÓN</x:v>
      </x:c>
      <x:c r="C16" s="4246" t="str">
        <x:v>P5</x:v>
      </x:c>
      <x:c r="D16" s="3947" t="str">
        <x:v>MATCH</x:v>
      </x:c>
      <x:c r="E16" s="3947" t="str">
        <x:v>AsignacionPlanificada</x:v>
      </x:c>
      <x:c r="F16" s="3947" t="str">
        <x:v>NOMINATE</x:v>
      </x:c>
      <x:c r="G16" s="3947" t="str">
        <x:v>PROGRAMADA</x:v>
      </x:c>
      <x:c r="H16" s="3947" t="str">
        <x:v>Recurso/persona cumple requisitos, disponibilidad y competencias vigentes</x:v>
      </x:c>
      <x:c r="I16" s="3947" t="str">
        <x:v>PERMITIR nominación</x:v>
      </x:c>
      <x:c r="J16" s="3947" t="str">
        <x:v>PROGRAMADA</x:v>
      </x:c>
      <x:c r="K16" s="3947" t="str">
        <x:v>AsignacionPersonaPlanificada / AsignacionRecursoPlanificada</x:v>
      </x:c>
      <x:c r="L16" s="4248" t="str">
        <x:v>HARD_GATE</x:v>
      </x:c>
      <x:c r="M16" s="3947" t="str">
        <x:v>Plan/servicio</x:v>
      </x:c>
      <x:c r="N16" s="3947" t="str">
        <x:v>Planificación + Habilita</x:v>
      </x:c>
      <x:c r="O16" s="3947" t="str">
        <x:v>No nominar sujeto inelegible.</x:v>
      </x:c>
    </x:row>
    <x:row r="17" ht="78" customHeight="1">
      <x:c r="A17" s="3947" t="str">
        <x:v>RUL-013</x:v>
      </x:c>
      <x:c r="B17" s="3947" t="str">
        <x:v>PLANIFICACIÓN</x:v>
      </x:c>
      <x:c r="C17" s="4247" t="str">
        <x:v>P1</x:v>
      </x:c>
      <x:c r="D17" s="3947" t="str">
        <x:v>READINESS_BLOCK</x:v>
      </x:c>
      <x:c r="E17" s="3947" t="str">
        <x:v>AsignacionPlanificada</x:v>
      </x:c>
      <x:c r="F17" s="3947" t="str">
        <x:v>EVALUATE_READINESS</x:v>
      </x:c>
      <x:c r="G17" s="3947" t="str">
        <x:v>PROGRAMADA</x:v>
      </x:c>
      <x:c r="H17" s="3947" t="str">
        <x:v>Falla requisito Habilita/documental duro</x:v>
      </x:c>
      <x:c r="I17" s="3947" t="str">
        <x:v>RESULTADO NO_READY; bloquear READY</x:v>
      </x:c>
      <x:c r="J17" s="3947" t="str">
        <x:v>PROGRAMADA</x:v>
      </x:c>
      <x:c r="K17" s="3947" t="str">
        <x:v>EvaluacionPlanificacion + causas</x:v>
      </x:c>
      <x:c r="L17" s="4248" t="str">
        <x:v>HARD_BLOCK</x:v>
      </x:c>
      <x:c r="M17" s="3947" t="str">
        <x:v>Reglas Habilita</x:v>
      </x:c>
      <x:c r="N17" s="3947" t="str">
        <x:v>Habilita</x:v>
      </x:c>
      <x:c r="O17" s="3947" t="str">
        <x:v>Hard block domina sobre conveniencia operativa.</x:v>
      </x:c>
    </x:row>
    <x:row r="18" ht="78" customHeight="1">
      <x:c r="A18" s="3947" t="str">
        <x:v>RUL-014</x:v>
      </x:c>
      <x:c r="B18" s="3947" t="str">
        <x:v>PLANIFICACIÓN</x:v>
      </x:c>
      <x:c r="C18" s="4246" t="str">
        <x:v>P5</x:v>
      </x:c>
      <x:c r="D18" s="3947" t="str">
        <x:v>READINESS</x:v>
      </x:c>
      <x:c r="E18" s="3947" t="str">
        <x:v>AsignacionPlanificada</x:v>
      </x:c>
      <x:c r="F18" s="3947" t="str">
        <x:v>EVALUATE_READINESS</x:v>
      </x:c>
      <x:c r="G18" s="3947" t="str">
        <x:v>PROGRAMADA</x:v>
      </x:c>
      <x:c r="H18" s="3947" t="str">
        <x:v>Contrato/contexto mínimo + alcance + capacidad + documental/Habilita aplicable OK</x:v>
      </x:c>
      <x:c r="I18" s="3947" t="str">
        <x:v>RESULTADO READY con evaluado_at y valido_hasta_at</x:v>
      </x:c>
      <x:c r="J18" s="3947" t="str">
        <x:v>READY</x:v>
      </x:c>
      <x:c r="K18" s="3947" t="str">
        <x:v>EvaluacionPlanificacion</x:v>
      </x:c>
      <x:c r="L18" s="4246" t="str">
        <x:v>REQUIRED</x:v>
      </x:c>
      <x:c r="M18" s="3947" t="str">
        <x:v>Servicio / riesgo / contexto</x:v>
      </x:c>
      <x:c r="N18" s="3947" t="str">
        <x:v>Motor Readiness</x:v>
      </x:c>
      <x:c r="O18" s="3947" t="str">
        <x:v>READY siempre temporal.</x:v>
      </x:c>
    </x:row>
    <x:row r="19" ht="78" customHeight="1">
      <x:c r="A19" s="3947" t="str">
        <x:v>RUL-015</x:v>
      </x:c>
      <x:c r="B19" s="3947" t="str">
        <x:v>PLANIFICACIÓN</x:v>
      </x:c>
      <x:c r="C19" s="4246" t="str">
        <x:v>P5</x:v>
      </x:c>
      <x:c r="D19" s="3947" t="str">
        <x:v>INVALIDATE</x:v>
      </x:c>
      <x:c r="E19" s="3947" t="str">
        <x:v>AsignacionPlanificada</x:v>
      </x:c>
      <x:c r="F19" s="3947" t="str">
        <x:v>DEPENDENCY_CHANGED</x:v>
      </x:c>
      <x:c r="G19" s="3947" t="str">
        <x:v>READY / DESPACHADA</x:v>
      </x:c>
      <x:c r="H19" s="3947" t="str">
        <x:v>Cambió documento, disponibilidad, alcance, ventana, persona/recurso, contrato/contexto</x:v>
      </x:c>
      <x:c r="I19" s="3947" t="str">
        <x:v>INVALIDAR evaluación previa; exigir reevaluación</x:v>
      </x:c>
      <x:c r="J19" s="3947" t="str">
        <x:v>PROGRAMADA o flag REEVALUAR</x:v>
      </x:c>
      <x:c r="K19" s="3947" t="str">
        <x:v>EventoInvalidacionReadiness</x:v>
      </x:c>
      <x:c r="L19" s="4246" t="str">
        <x:v>REQUIRED</x:v>
      </x:c>
      <x:c r="M19" s="3947" t="str">
        <x:v>Readiness ruleset</x:v>
      </x:c>
      <x:c r="N19" s="3947" t="str">
        <x:v>Sistema</x:v>
      </x:c>
      <x:c r="O19" s="3947" t="str">
        <x:v>No borrar el READY histórico.</x:v>
      </x:c>
    </x:row>
    <x:row r="20" ht="78" customHeight="1">
      <x:c r="A20" s="3947" t="str">
        <x:v>RUL-016</x:v>
      </x:c>
      <x:c r="B20" s="3947" t="str">
        <x:v>PLANIFICACIÓN</x:v>
      </x:c>
      <x:c r="C20" s="4245" t="str">
        <x:v>P2</x:v>
      </x:c>
      <x:c r="D20" s="3947" t="str">
        <x:v>TRANSITION_GUARD</x:v>
      </x:c>
      <x:c r="E20" s="3947" t="str">
        <x:v>AsignacionPlanificada</x:v>
      </x:c>
      <x:c r="F20" s="3947" t="str">
        <x:v>DISPATCH</x:v>
      </x:c>
      <x:c r="G20" s="3947" t="str">
        <x:v>READY</x:v>
      </x:c>
      <x:c r="H20" s="3947" t="str">
        <x:v>EvaluacionPlanificacion vigente + contexto/bundle construible</x:v>
      </x:c>
      <x:c r="I20" s="3947" t="str">
        <x:v>PERMITIR DESPACHADA</x:v>
      </x:c>
      <x:c r="J20" s="3947" t="str">
        <x:v>DESPACHADA</x:v>
      </x:c>
      <x:c r="K20" s="3947" t="str">
        <x:v>ExecutionContextBundle + DecisionTrace</x:v>
      </x:c>
      <x:c r="L20" s="4248" t="str">
        <x:v>HARD_GATE</x:v>
      </x:c>
      <x:c r="M20" s="3947" t="str">
        <x:v>Planificación</x:v>
      </x:c>
      <x:c r="N20" s="3947" t="str">
        <x:v>Planificación</x:v>
      </x:c>
      <x:c r="O20" s="3947" t="str">
        <x:v>No despachar asignación NO_READY.</x:v>
      </x:c>
    </x:row>
    <x:row r="21" ht="78" customHeight="1">
      <x:c r="A21" s="3947" t="str">
        <x:v>RUL-017</x:v>
      </x:c>
      <x:c r="B21" s="3947" t="str">
        <x:v>PLANIFICACIÓN</x:v>
      </x:c>
      <x:c r="C21" s="4246" t="str">
        <x:v>P5</x:v>
      </x:c>
      <x:c r="D21" s="3947" t="str">
        <x:v>PROJECTION</x:v>
      </x:c>
      <x:c r="E21" s="3947" t="str">
        <x:v>ExecutionContextBundle</x:v>
      </x:c>
      <x:c r="F21" s="3947" t="str">
        <x:v>BUILD_BUNDLE</x:v>
      </x:c>
      <x:c r="G21" s="3947" t="str">
        <x:v>Asignacion DESPACHADA</x:v>
      </x:c>
      <x:c r="H21" s="3947" t="str">
        <x:v>Existe PlanificacionVersion aprobada y catálogo/reglas suficientes</x:v>
      </x:c>
      <x:c r="I21" s="3947" t="str">
        <x:v>GENERAR proyección mínima versionada con context_valid_until_at</x:v>
      </x:c>
      <x:c r="J21" s="3947" t="str">
        <x:v>—</x:v>
      </x:c>
      <x:c r="K21" s="3947" t="str">
        <x:v>ExecutionContextBundle</x:v>
      </x:c>
      <x:c r="L21" s="4246" t="str">
        <x:v>REQUIRED</x:v>
      </x:c>
      <x:c r="M21" s="3947" t="str">
        <x:v>Ruleset/version</x:v>
      </x:c>
      <x:c r="N21" s="3947" t="str">
        <x:v>Backend</x:v>
      </x:c>
      <x:c r="O21" s="3947" t="str">
        <x:v>Bundle es proyección, no fuente de verdad.</x:v>
      </x:c>
    </x:row>
    <x:row r="22" ht="78" customHeight="1">
      <x:c r="A22" s="3947" t="str">
        <x:v>RUL-018</x:v>
      </x:c>
      <x:c r="B22" s="3947" t="str">
        <x:v>PLANIFICACIÓN</x:v>
      </x:c>
      <x:c r="C22" s="4246" t="str">
        <x:v>P5</x:v>
      </x:c>
      <x:c r="D22" s="3947" t="str">
        <x:v>RESULT</x:v>
      </x:c>
      <x:c r="E22" s="3947" t="str">
        <x:v>AsignacionPlanificada</x:v>
      </x:c>
      <x:c r="F22" s="3947" t="str">
        <x:v>EXECUTION_CLOSED</x:v>
      </x:c>
      <x:c r="G22" s="3947" t="str">
        <x:v>DESPACHADA</x:v>
      </x:c>
      <x:c r="H22" s="3947" t="str">
        <x:v>Ejecución vinculada satisface alcance planificado según regla</x:v>
      </x:c>
      <x:c r="I22" s="3947" t="str">
        <x:v>MARCAR CUMPLIDA</x:v>
      </x:c>
      <x:c r="J22" s="3947" t="str">
        <x:v>CUMPLIDA</x:v>
      </x:c>
      <x:c r="K22" s="3947" t="str">
        <x:v>DecisionTrace</x:v>
      </x:c>
      <x:c r="L22" s="4246" t="str">
        <x:v>REQUIRED</x:v>
      </x:c>
      <x:c r="M22" s="3947" t="str">
        <x:v>Plan/servicio</x:v>
      </x:c>
      <x:c r="N22" s="3947" t="str">
        <x:v>Sistema/Planificación</x:v>
      </x:c>
      <x:c r="O22" s="3947" t="str">
        <x:v>Cierre del Parte no implica automáticamente cumplimiento si alcance difiere.</x:v>
      </x:c>
    </x:row>
    <x:row r="23" ht="78" customHeight="1">
      <x:c r="A23" s="3947" t="str">
        <x:v>RUL-019</x:v>
      </x:c>
      <x:c r="B23" s="3947" t="str">
        <x:v>PLANIFICACIÓN</x:v>
      </x:c>
      <x:c r="C23" s="4246" t="str">
        <x:v>P5</x:v>
      </x:c>
      <x:c r="D23" s="3947" t="str">
        <x:v>RESULT</x:v>
      </x:c>
      <x:c r="E23" s="3947" t="str">
        <x:v>AsignacionPlanificada</x:v>
      </x:c>
      <x:c r="F23" s="3947" t="str">
        <x:v>WINDOW_CLOSED_NO_EXECUTION</x:v>
      </x:c>
      <x:c r="G23" s="3947" t="str">
        <x:v>PROGRAMADA / READY / DESPACHADA</x:v>
      </x:c>
      <x:c r="H23" s="3947" t="str">
        <x:v>No hay ejecución efectiva que satisfaga asignación</x:v>
      </x:c>
      <x:c r="I23" s="3947" t="str">
        <x:v>MARCAR NO_REALIZADA con causa</x:v>
      </x:c>
      <x:c r="J23" s="3947" t="str">
        <x:v>NO_REALIZADA</x:v>
      </x:c>
      <x:c r="K23" s="3947" t="str">
        <x:v>EventoOperativo / causa</x:v>
      </x:c>
      <x:c r="L23" s="4246" t="str">
        <x:v>REQUIRED</x:v>
      </x:c>
      <x:c r="M23" s="3947" t="str">
        <x:v>Planificación</x:v>
      </x:c>
      <x:c r="N23" s="3947" t="str">
        <x:v>Planificación</x:v>
      </x:c>
      <x:c r="O23" s="3947" t="str">
        <x:v>Nunca borrar lo planificado no realizado.</x:v>
      </x:c>
    </x:row>
    <x:row r="24" ht="78" customHeight="1">
      <x:c r="A24" s="3947" t="str">
        <x:v>RUL-020</x:v>
      </x:c>
      <x:c r="B24" s="3947" t="str">
        <x:v>PLANIFICACIÓN</x:v>
      </x:c>
      <x:c r="C24" s="4245" t="str">
        <x:v>P3</x:v>
      </x:c>
      <x:c r="D24" s="3947" t="str">
        <x:v>CONTROL</x:v>
      </x:c>
      <x:c r="E24" s="3947" t="str">
        <x:v>AsignacionPlanificada</x:v>
      </x:c>
      <x:c r="F24" s="3947" t="str">
        <x:v>POST_DISPATCH_CHANGE</x:v>
      </x:c>
      <x:c r="G24" s="3947" t="str">
        <x:v>DESPACHADA</x:v>
      </x:c>
      <x:c r="H24" s="3947" t="str">
        <x:v>Plan cambia después del despacho</x:v>
      </x:c>
      <x:c r="I24" s="3947" t="str">
        <x:v>NO mutar snapshot; EMITIR DirectivaOperativa o nueva PlanificacionVersion</x:v>
      </x:c>
      <x:c r="J24" s="3947" t="str">
        <x:v>sin cambio</x:v>
      </x:c>
      <x:c r="K24" s="3947" t="str">
        <x:v>DirectivaOperativa / nueva versión</x:v>
      </x:c>
      <x:c r="L24" s="4246" t="str">
        <x:v>REQUIRED</x:v>
      </x:c>
      <x:c r="M24" s="3947" t="str">
        <x:v>Control Plane</x:v>
      </x:c>
      <x:c r="N24" s="3947" t="str">
        <x:v>Planificación</x:v>
      </x:c>
      <x:c r="O24" s="3947" t="str">
        <x:v>Cambio post-despacho viaja como evento nuevo.</x:v>
      </x:c>
    </x:row>
    <x:row r="25" ht="78" customHeight="1">
      <x:c r="A25" s="3947" t="str">
        <x:v>RUL-021</x:v>
      </x:c>
      <x:c r="B25" s="3947" t="str">
        <x:v>EJECUCIÓN</x:v>
      </x:c>
      <x:c r="C25" s="4245" t="str">
        <x:v>P2</x:v>
      </x:c>
      <x:c r="D25" s="3947" t="str">
        <x:v>CREATE_GUARD</x:v>
      </x:c>
      <x:c r="E25" s="3947" t="str">
        <x:v>Parte</x:v>
      </x:c>
      <x:c r="F25" s="3947" t="str">
        <x:v>CREATE_PART</x:v>
      </x:c>
      <x:c r="G25" s="3947" t="str">
        <x:v>—</x:v>
      </x:c>
      <x:c r="H25" s="3947" t="str">
        <x:v>TipoParte resuelto + identidad/contexto mínimo</x:v>
      </x:c>
      <x:c r="I25" s="3947" t="str">
        <x:v>CREAR Parte PREPARADO</x:v>
      </x:c>
      <x:c r="J25" s="3947" t="str">
        <x:v>PREPARADO</x:v>
      </x:c>
      <x:c r="K25" s="3947" t="str">
        <x:v>Parte + DecisionTrace</x:v>
      </x:c>
      <x:c r="L25" s="4248" t="str">
        <x:v>HARD_GATE</x:v>
      </x:c>
      <x:c r="M25" s="3947" t="str">
        <x:v>TipoParte ruleset</x:v>
      </x:c>
      <x:c r="N25" s="3947" t="str">
        <x:v>Motor</x:v>
      </x:c>
      <x:c r="O25" s="3947" t="str">
        <x:v>No crear Parte huérfano sin tipo.</x:v>
      </x:c>
    </x:row>
    <x:row r="26" ht="78" customHeight="1">
      <x:c r="A26" s="3947" t="str">
        <x:v>RUL-022</x:v>
      </x:c>
      <x:c r="B26" s="3947" t="str">
        <x:v>EJECUCIÓN</x:v>
      </x:c>
      <x:c r="C26" s="4247" t="str">
        <x:v>P1</x:v>
      </x:c>
      <x:c r="D26" s="3947" t="str">
        <x:v>START_BLOCK</x:v>
      </x:c>
      <x:c r="E26" s="3947" t="str">
        <x:v>Parte / UE</x:v>
      </x:c>
      <x:c r="F26" s="3947" t="str">
        <x:v>START_WORK</x:v>
      </x:c>
      <x:c r="G26" s="3947" t="str">
        <x:v>PREPARADO / PENDIENTE</x:v>
      </x:c>
      <x:c r="H26" s="3947" t="str">
        <x:v>Existe hard block Habilita/documental o PTW requerido no VIGENTE</x:v>
      </x:c>
      <x:c r="I26" s="3947" t="str">
        <x:v>BLOQUEAR Start Work</x:v>
      </x:c>
      <x:c r="J26" s="3947" t="str">
        <x:v>sin cambio</x:v>
      </x:c>
      <x:c r="K26" s="3947" t="str">
        <x:v>DecisionTrace + alerta</x:v>
      </x:c>
      <x:c r="L26" s="4248" t="str">
        <x:v>HARD_BLOCK</x:v>
      </x:c>
      <x:c r="M26" s="3947" t="str">
        <x:v>Habilita / PTW</x:v>
      </x:c>
      <x:c r="N26" s="3947" t="str">
        <x:v>Habilita</x:v>
      </x:c>
      <x:c r="O26" s="3947" t="str">
        <x:v>Comercial nunca puede overridear este bloqueo.</x:v>
      </x:c>
    </x:row>
    <x:row r="27" ht="78" customHeight="1">
      <x:c r="A27" s="3947" t="str">
        <x:v>RUL-023</x:v>
      </x:c>
      <x:c r="B27" s="3947" t="str">
        <x:v>EJECUCIÓN</x:v>
      </x:c>
      <x:c r="C27" s="4245" t="str">
        <x:v>P2</x:v>
      </x:c>
      <x:c r="D27" s="3947" t="str">
        <x:v>START_GUARD</x:v>
      </x:c>
      <x:c r="E27" s="3947" t="str">
        <x:v>Parte / UE</x:v>
      </x:c>
      <x:c r="F27" s="3947" t="str">
        <x:v>START_WORK</x:v>
      </x:c>
      <x:c r="G27" s="3947" t="str">
        <x:v>PREPARADO / PENDIENTE</x:v>
      </x:c>
      <x:c r="H27" s="3947" t="str">
        <x:v>Gates Habilita/PTW/documental aplicables OK + contexto operativo suficiente</x:v>
      </x:c>
      <x:c r="I27" s="3947" t="str">
        <x:v>PERMITIR inicio</x:v>
      </x:c>
      <x:c r="J27" s="3947" t="str">
        <x:v>EN_EJECUCION</x:v>
      </x:c>
      <x:c r="K27" s="3947" t="str">
        <x:v>timestamps + intervalos</x:v>
      </x:c>
      <x:c r="L27" s="4248" t="str">
        <x:v>HARD_GATE</x:v>
      </x:c>
      <x:c r="M27" s="3947" t="str">
        <x:v>TipoParte / Habilita</x:v>
      </x:c>
      <x:c r="N27" s="3947" t="str">
        <x:v>Motor de ejecución</x:v>
      </x:c>
      <x:c r="O27" s="3947" t="str">
        <x:v>Inicio real se registra una sola vez por intervalo.</x:v>
      </x:c>
    </x:row>
    <x:row r="28" ht="78" customHeight="1">
      <x:c r="A28" s="3947" t="str">
        <x:v>RUL-024</x:v>
      </x:c>
      <x:c r="B28" s="3947" t="str">
        <x:v>EJECUCIÓN</x:v>
      </x:c>
      <x:c r="C28" s="4246" t="str">
        <x:v>P5</x:v>
      </x:c>
      <x:c r="D28" s="3947" t="str">
        <x:v>AUTO_DERIVE</x:v>
      </x:c>
      <x:c r="E28" s="3947" t="str">
        <x:v>Parte / UE</x:v>
      </x:c>
      <x:c r="F28" s="3947" t="str">
        <x:v>START_WORK</x:v>
      </x:c>
      <x:c r="G28" s="3947" t="str">
        <x:v>PREPARADO / PENDIENTE</x:v>
      </x:c>
      <x:c r="H28" s="3947" t="str">
        <x:v>Contexto activo disponible</x:v>
      </x:c>
      <x:c r="I28" s="3947" t="str">
        <x:v>PRECARGAR usuario, hora, plan/UE, recursos/personas, ubicación candidata y PTW</x:v>
      </x:c>
      <x:c r="J28" s="3947" t="str">
        <x:v>—</x:v>
      </x:c>
      <x:c r="K28" s="3947" t="str">
        <x:v>datos derivados</x:v>
      </x:c>
      <x:c r="L28" s="4246" t="str">
        <x:v>REQUIRED</x:v>
      </x:c>
      <x:c r="M28" s="3947" t="str">
        <x:v>UX/contexto</x:v>
      </x:c>
      <x:c r="N28" s="3947" t="str">
        <x:v>Sistema</x:v>
      </x:c>
      <x:c r="O28" s="3947" t="str">
        <x:v>Minimiza input humano.</x:v>
      </x:c>
    </x:row>
    <x:row r="29" ht="78" customHeight="1">
      <x:c r="A29" s="3947" t="str">
        <x:v>RUL-025</x:v>
      </x:c>
      <x:c r="B29" s="3947" t="str">
        <x:v>EJECUCIÓN</x:v>
      </x:c>
      <x:c r="C29" s="4246" t="str">
        <x:v>P5</x:v>
      </x:c>
      <x:c r="D29" s="3947" t="str">
        <x:v>TEMPORAL</x:v>
      </x:c>
      <x:c r="E29" s="3947" t="str">
        <x:v>AsignacionPersonaEjecucion</x:v>
      </x:c>
      <x:c r="F29" s="3947" t="str">
        <x:v>PERSON_REPLACED</x:v>
      </x:c>
      <x:c r="G29" s="3947" t="str">
        <x:v>UE EN_EJECUCION</x:v>
      </x:c>
      <x:c r="H29" s="3947" t="str">
        <x:v>Persona saliente deja rol y entra reemplazo</x:v>
      </x:c>
      <x:c r="I29" s="3947" t="str">
        <x:v>CERRAR intervalo saliente + CREAR intervalo entrante; no editar pasado</x:v>
      </x:c>
      <x:c r="J29" s="3947" t="str">
        <x:v>sin cambio</x:v>
      </x:c>
      <x:c r="K29" s="3947" t="str">
        <x:v>2 asignaciones temporales</x:v>
      </x:c>
      <x:c r="L29" s="4246" t="str">
        <x:v>REQUIRED</x:v>
      </x:c>
      <x:c r="M29" s="3947" t="str">
        <x:v>Ejecución</x:v>
      </x:c>
      <x:c r="N29" s="3947" t="str">
        <x:v>Sistema/Supervisor</x:v>
      </x:c>
      <x:c r="O29" s="3947" t="str">
        <x:v>Reemplazo trazable.</x:v>
      </x:c>
    </x:row>
    <x:row r="30" ht="78" customHeight="1">
      <x:c r="A30" s="3947" t="str">
        <x:v>RUL-026</x:v>
      </x:c>
      <x:c r="B30" s="3947" t="str">
        <x:v>EJECUCIÓN</x:v>
      </x:c>
      <x:c r="C30" s="4246" t="str">
        <x:v>P5</x:v>
      </x:c>
      <x:c r="D30" s="3947" t="str">
        <x:v>TEMPORAL</x:v>
      </x:c>
      <x:c r="E30" s="3947" t="str">
        <x:v>AsignacionRecursoEjecucion</x:v>
      </x:c>
      <x:c r="F30" s="3947" t="str">
        <x:v>RESOURCE_REPLACED</x:v>
      </x:c>
      <x:c r="G30" s="3947" t="str">
        <x:v>UE EN_EJECUCION</x:v>
      </x:c>
      <x:c r="H30" s="3947" t="str">
        <x:v>Recurso saliente sustituido</x:v>
      </x:c>
      <x:c r="I30" s="3947" t="str">
        <x:v>CERRAR intervalo anterior + CREAR nuevo intervalo</x:v>
      </x:c>
      <x:c r="J30" s="3947" t="str">
        <x:v>sin cambio</x:v>
      </x:c>
      <x:c r="K30" s="3947" t="str">
        <x:v>Asignaciones recurso</x:v>
      </x:c>
      <x:c r="L30" s="4246" t="str">
        <x:v>REQUIRED</x:v>
      </x:c>
      <x:c r="M30" s="3947" t="str">
        <x:v>Ejecución</x:v>
      </x:c>
      <x:c r="N30" s="3947" t="str">
        <x:v>Sistema/Supervisor</x:v>
      </x:c>
      <x:c r="O30" s="3947" t="str">
        <x:v>Historial de uso completo.</x:v>
      </x:c>
    </x:row>
    <x:row r="31" ht="78" customHeight="1">
      <x:c r="A31" s="3947" t="str">
        <x:v>RUL-027</x:v>
      </x:c>
      <x:c r="B31" s="3947" t="str">
        <x:v>EJECUCIÓN</x:v>
      </x:c>
      <x:c r="C31" s="4246" t="str">
        <x:v>P5</x:v>
      </x:c>
      <x:c r="D31" s="3947" t="str">
        <x:v>TEMPORAL_CONFLICT</x:v>
      </x:c>
      <x:c r="E31" s="3947" t="str">
        <x:v>Persona/Recurso</x:v>
      </x:c>
      <x:c r="F31" s="3947" t="str">
        <x:v>ASSIGN_INTERVAL</x:v>
      </x:c>
      <x:c r="G31" s="3947" t="str">
        <x:v>—</x:v>
      </x:c>
      <x:c r="H31" s="3947" t="str">
        <x:v>Intervalo solapa asignación incompatible según ReglaSolapamiento</x:v>
      </x:c>
      <x:c r="I31" s="3947" t="str">
        <x:v>BLOQUEAR o ADVERTIR según regla; registrar ConflictoTemporal</x:v>
      </x:c>
      <x:c r="J31" s="3947" t="str">
        <x:v>—</x:v>
      </x:c>
      <x:c r="K31" s="3947" t="str">
        <x:v>ConflictoTemporal / OverrideGate si aplica</x:v>
      </x:c>
      <x:c r="L31" s="4247" t="str">
        <x:v>BLOCK/WARN</x:v>
      </x:c>
      <x:c r="M31" s="3947" t="str">
        <x:v>TipoRecurso / rol / servicio</x:v>
      </x:c>
      <x:c r="N31" s="3947" t="str">
        <x:v>Sistema</x:v>
      </x:c>
      <x:c r="O31" s="3947" t="str">
        <x:v>No todo recurso de apoyo es exclusivo.</x:v>
      </x:c>
    </x:row>
    <x:row r="32" ht="78" customHeight="1">
      <x:c r="A32" s="3947" t="str">
        <x:v>RUL-028</x:v>
      </x:c>
      <x:c r="B32" s="3947" t="str">
        <x:v>EJECUCIÓN</x:v>
      </x:c>
      <x:c r="C32" s="4246" t="str">
        <x:v>P5</x:v>
      </x:c>
      <x:c r="D32" s="3947" t="str">
        <x:v>TIME_EVENT</x:v>
      </x:c>
      <x:c r="E32" s="3947" t="str">
        <x:v>UE / Parte</x:v>
      </x:c>
      <x:c r="F32" s="3947" t="str">
        <x:v>TIME_CATEGORY_START</x:v>
      </x:c>
      <x:c r="G32" s="3947" t="str">
        <x:v>EN_EJECUCION / SUSPENDIDO</x:v>
      </x:c>
      <x:c r="H32" s="3947" t="str">
        <x:v>Se inicia ejecución/traslado/espera/standby/carga-descarga/etc.</x:v>
      </x:c>
      <x:c r="I32" s="3947" t="str">
        <x:v>ABRIR EventoTiempo correspondiente</x:v>
      </x:c>
      <x:c r="J32" s="3947" t="str">
        <x:v>sin cambio</x:v>
      </x:c>
      <x:c r="K32" s="3947" t="str">
        <x:v>EventoTiempo</x:v>
      </x:c>
      <x:c r="L32" s="4246" t="str">
        <x:v>REQUIRED</x:v>
      </x:c>
      <x:c r="M32" s="3947" t="str">
        <x:v>TipoParte / catálogo tiempo</x:v>
      </x:c>
      <x:c r="N32" s="3947" t="str">
        <x:v>Campo/Sistema</x:v>
      </x:c>
      <x:c r="O32" s="3947" t="str">
        <x:v>Categoría operacional se registra aunque contrato no la pague.</x:v>
      </x:c>
    </x:row>
    <x:row r="33" ht="78" customHeight="1">
      <x:c r="A33" s="3947" t="str">
        <x:v>RUL-029</x:v>
      </x:c>
      <x:c r="B33" s="3947" t="str">
        <x:v>EJECUCIÓN</x:v>
      </x:c>
      <x:c r="C33" s="4246" t="str">
        <x:v>P5</x:v>
      </x:c>
      <x:c r="D33" s="3947" t="str">
        <x:v>TIME_EVENT</x:v>
      </x:c>
      <x:c r="E33" s="3947" t="str">
        <x:v>UE / Parte</x:v>
      </x:c>
      <x:c r="F33" s="3947" t="str">
        <x:v>TIME_CATEGORY_CHANGE</x:v>
      </x:c>
      <x:c r="G33" s="3947" t="str">
        <x:v>EN_EJECUCION / SUSPENDIDO</x:v>
      </x:c>
      <x:c r="H33" s="3947" t="str">
        <x:v>Cambia categoría temporal</x:v>
      </x:c>
      <x:c r="I33" s="3947" t="str">
        <x:v>CERRAR EventoTiempo previo + ABRIR siguiente</x:v>
      </x:c>
      <x:c r="J33" s="3947" t="str">
        <x:v>sin cambio</x:v>
      </x:c>
      <x:c r="K33" s="3947" t="str">
        <x:v>EventosTiempo</x:v>
      </x:c>
      <x:c r="L33" s="4246" t="str">
        <x:v>REQUIRED</x:v>
      </x:c>
      <x:c r="M33" s="3947" t="str">
        <x:v>TipoParte</x:v>
      </x:c>
      <x:c r="N33" s="3947" t="str">
        <x:v>Sistema</x:v>
      </x:c>
      <x:c r="O33" s="3947" t="str">
        <x:v>Sin intervalos superpuestos incompatibles.</x:v>
      </x:c>
    </x:row>
    <x:row r="34" ht="78" customHeight="1">
      <x:c r="A34" s="3947" t="str">
        <x:v>RUL-030</x:v>
      </x:c>
      <x:c r="B34" s="3947" t="str">
        <x:v>EJECUCIÓN</x:v>
      </x:c>
      <x:c r="C34" s="4246" t="str">
        <x:v>P5</x:v>
      </x:c>
      <x:c r="D34" s="3947" t="str">
        <x:v>TRANSITION_TIME</x:v>
      </x:c>
      <x:c r="E34" s="3947" t="str">
        <x:v>TransicionOperativa</x:v>
      </x:c>
      <x:c r="F34" s="3947" t="str">
        <x:v>MOVE_BETWEEN_WORK_PACKAGES</x:v>
      </x:c>
      <x:c r="G34" s="3947" t="str">
        <x:v>—</x:v>
      </x:c>
      <x:c r="H34" s="3947" t="str">
        <x:v>Existe tiempo real entre origen y destino que no pertenece claramente a una UE</x:v>
      </x:c>
      <x:c r="I34" s="3947" t="str">
        <x:v>CREAR TransicionOperativa con origen/destino/personas/recursos</x:v>
      </x:c>
      <x:c r="J34" s="3947" t="str">
        <x:v>—</x:v>
      </x:c>
      <x:c r="K34" s="3947" t="str">
        <x:v>TransicionOperativa</x:v>
      </x:c>
      <x:c r="L34" s="4246" t="str">
        <x:v>REQUIRED</x:v>
      </x:c>
      <x:c r="M34" s="3947" t="str">
        <x:v>Operación</x:v>
      </x:c>
      <x:c r="N34" s="3947" t="str">
        <x:v>Sistema/Campo</x:v>
      </x:c>
      <x:c r="O34" s="3947" t="str">
        <x:v>Evita tiempo huérfano.</x:v>
      </x:c>
    </x:row>
    <x:row r="35" ht="78" customHeight="1">
      <x:c r="A35" s="3947" t="str">
        <x:v>RUL-031</x:v>
      </x:c>
      <x:c r="B35" s="3947" t="str">
        <x:v>EJECUCIÓN</x:v>
      </x:c>
      <x:c r="C35" s="4246" t="str">
        <x:v>P5</x:v>
      </x:c>
      <x:c r="D35" s="3947" t="str">
        <x:v>LOCATION</x:v>
      </x:c>
      <x:c r="E35" s="3947" t="str">
        <x:v>EjecucionUbicacion</x:v>
      </x:c>
      <x:c r="F35" s="3947" t="str">
        <x:v>LOCATION_CONFIRMED</x:v>
      </x:c>
      <x:c r="G35" s="3947" t="str">
        <x:v>UE activa</x:v>
      </x:c>
      <x:c r="H35" s="3947" t="str">
        <x:v>Ubicación derivada/candidata confirmada o corregida</x:v>
      </x:c>
      <x:c r="I35" s="3947" t="str">
        <x:v>REGISTRAR relación de ubicación con rol</x:v>
      </x:c>
      <x:c r="J35" s="3947" t="str">
        <x:v>sin cambio</x:v>
      </x:c>
      <x:c r="K35" s="3947" t="str">
        <x:v>EjecucionUbicacion</x:v>
      </x:c>
      <x:c r="L35" s="4246" t="str">
        <x:v>REQUIRED</x:v>
      </x:c>
      <x:c r="M35" s="3947" t="str">
        <x:v>TipoParte</x:v>
      </x:c>
      <x:c r="N35" s="3947" t="str">
        <x:v>Campo/Sistema</x:v>
      </x:c>
      <x:c r="O35" s="3947" t="str">
        <x:v>No guardar texto libre si existe maestro.</x:v>
      </x:c>
    </x:row>
    <x:row r="36" ht="78" customHeight="1">
      <x:c r="A36" s="3947" t="str">
        <x:v>RUL-032</x:v>
      </x:c>
      <x:c r="B36" s="3947" t="str">
        <x:v>EJECUCIÓN</x:v>
      </x:c>
      <x:c r="C36" s="4246" t="str">
        <x:v>P5</x:v>
      </x:c>
      <x:c r="D36" s="3947" t="str">
        <x:v>MEASUREMENT</x:v>
      </x:c>
      <x:c r="E36" s="3947" t="str">
        <x:v>EjecucionMedicion</x:v>
      </x:c>
      <x:c r="F36" s="3947" t="str">
        <x:v>MEASUREMENT_CAPTURED</x:v>
      </x:c>
      <x:c r="G36" s="3947" t="str">
        <x:v>UE activa/cerrable</x:v>
      </x:c>
      <x:c r="H36" s="3947" t="str">
        <x:v>Métrica aplicable al servicio/tipo de trabajo</x:v>
      </x:c>
      <x:c r="I36" s="3947" t="str">
        <x:v>REGISTRAR medición operacional con unidad/timestamp/fuente</x:v>
      </x:c>
      <x:c r="J36" s="3947" t="str">
        <x:v>sin cambio</x:v>
      </x:c>
      <x:c r="K36" s="3947" t="str">
        <x:v>EjecucionMedicion</x:v>
      </x:c>
      <x:c r="L36" s="4246" t="str">
        <x:v>REQUIRED</x:v>
      </x:c>
      <x:c r="M36" s="3947" t="str">
        <x:v>Servicio / componente</x:v>
      </x:c>
      <x:c r="N36" s="3947" t="str">
        <x:v>Campo/Sistema</x:v>
      </x:c>
      <x:c r="O36" s="3947" t="str">
        <x:v>Medición ≠ cantidad certificable.</x:v>
      </x:c>
    </x:row>
    <x:row r="37" ht="78" customHeight="1">
      <x:c r="A37" s="3947" t="str">
        <x:v>RUL-033</x:v>
      </x:c>
      <x:c r="B37" s="3947" t="str">
        <x:v>EJECUCIÓN</x:v>
      </x:c>
      <x:c r="C37" s="4245" t="str">
        <x:v>P2</x:v>
      </x:c>
      <x:c r="D37" s="3947" t="str">
        <x:v>CLOSE_GUARD</x:v>
      </x:c>
      <x:c r="E37" s="3947" t="str">
        <x:v>UnidadEjecucion</x:v>
      </x:c>
      <x:c r="F37" s="3947" t="str">
        <x:v>CLOSE_UE</x:v>
      </x:c>
      <x:c r="G37" s="3947" t="str">
        <x:v>EN_EJECUCION / SUSPENDIDA</x:v>
      </x:c>
      <x:c r="H37" s="3947" t="str">
        <x:v>Tiempos consistentes + resultado/causa + mediciones obligatorias aplicables</x:v>
      </x:c>
      <x:c r="I37" s="3947" t="str">
        <x:v>PERMITIR CERRADA</x:v>
      </x:c>
      <x:c r="J37" s="3947" t="str">
        <x:v>CERRADA</x:v>
      </x:c>
      <x:c r="K37" s="3947" t="str">
        <x:v>DecisionTrace</x:v>
      </x:c>
      <x:c r="L37" s="4248" t="str">
        <x:v>HARD_GATE</x:v>
      </x:c>
      <x:c r="M37" s="3947" t="str">
        <x:v>TipoParte / componente</x:v>
      </x:c>
      <x:c r="N37" s="3947" t="str">
        <x:v>Motor ejecución</x:v>
      </x:c>
      <x:c r="O37" s="3947" t="str">
        <x:v>No exigir campos que no aplican al tipo.</x:v>
      </x:c>
    </x:row>
    <x:row r="38" ht="78" customHeight="1">
      <x:c r="A38" s="3947" t="str">
        <x:v>RUL-034</x:v>
      </x:c>
      <x:c r="B38" s="3947" t="str">
        <x:v>EJECUCIÓN</x:v>
      </x:c>
      <x:c r="C38" s="4245" t="str">
        <x:v>P2</x:v>
      </x:c>
      <x:c r="D38" s="3947" t="str">
        <x:v>CLOSE_GUARD</x:v>
      </x:c>
      <x:c r="E38" s="3947" t="str">
        <x:v>Parte</x:v>
      </x:c>
      <x:c r="F38" s="3947" t="str">
        <x:v>CLOSE_PART</x:v>
      </x:c>
      <x:c r="G38" s="3947" t="str">
        <x:v>EN_EJECUCION / SUSPENDIDO</x:v>
      </x:c>
      <x:c r="H38" s="3947" t="str">
        <x:v>Todas las UE terminales + no intervalos abiertos + no trabajo activo</x:v>
      </x:c>
      <x:c r="I38" s="3947" t="str">
        <x:v>PERMITIR CERRADO_OPERATIVAMENTE</x:v>
      </x:c>
      <x:c r="J38" s="3947" t="str">
        <x:v>CERRADO_OPERATIVAMENTE</x:v>
      </x:c>
      <x:c r="K38" s="3947" t="str">
        <x:v>DecisionTrace</x:v>
      </x:c>
      <x:c r="L38" s="4248" t="str">
        <x:v>HARD_GATE</x:v>
      </x:c>
      <x:c r="M38" s="3947" t="str">
        <x:v>TipoParte</x:v>
      </x:c>
      <x:c r="N38" s="3947" t="str">
        <x:v>Motor ejecución</x:v>
      </x:c>
      <x:c r="O38" s="3947" t="str">
        <x:v>Cierre operativo no certifica.</x:v>
      </x:c>
    </x:row>
    <x:row r="39" ht="78" customHeight="1">
      <x:c r="A39" s="3947" t="str">
        <x:v>RUL-035</x:v>
      </x:c>
      <x:c r="B39" s="3947" t="str">
        <x:v>EJECUCIÓN</x:v>
      </x:c>
      <x:c r="C39" s="4245" t="str">
        <x:v>P2</x:v>
      </x:c>
      <x:c r="D39" s="3947" t="str">
        <x:v>NO_REOPEN</x:v>
      </x:c>
      <x:c r="E39" s="3947" t="str">
        <x:v>UE / Parte</x:v>
      </x:c>
      <x:c r="F39" s="3947" t="str">
        <x:v>EDIT_AFTER_CLOSE</x:v>
      </x:c>
      <x:c r="G39" s="3947" t="str">
        <x:v>CERRADA / CERRADO_OPERATIVAMENTE</x:v>
      </x:c>
      <x:c r="H39" s="3947" t="str">
        <x:v>Se detecta error real</x:v>
      </x:c>
      <x:c r="I39" s="3947" t="str">
        <x:v>BLOQUEAR edición directa; CREAR EnmiendaOperativa</x:v>
      </x:c>
      <x:c r="J39" s="3947" t="str">
        <x:v>sin cambio</x:v>
      </x:c>
      <x:c r="K39" s="3947" t="str">
        <x:v>EnmiendaOperativa</x:v>
      </x:c>
      <x:c r="L39" s="4248" t="str">
        <x:v>HARD_BLOCK</x:v>
      </x:c>
      <x:c r="M39" s="3947" t="str">
        <x:v>Global</x:v>
      </x:c>
      <x:c r="N39" s="3947" t="str">
        <x:v>Sistema/Supervisor</x:v>
      </x:c>
      <x:c r="O39" s="3947" t="str">
        <x:v>Historia inmutable.</x:v>
      </x:c>
    </x:row>
    <x:row r="40" ht="78" customHeight="1">
      <x:c r="A40" s="3947" t="str">
        <x:v>RUL-036</x:v>
      </x:c>
      <x:c r="B40" s="3947" t="str">
        <x:v>EJECUCIÓN</x:v>
      </x:c>
      <x:c r="C40" s="4246" t="str">
        <x:v>P5</x:v>
      </x:c>
      <x:c r="D40" s="3947" t="str">
        <x:v>EMERGENT_CONTEXT</x:v>
      </x:c>
      <x:c r="E40" s="3947" t="str">
        <x:v>ImputacionEjecucion</x:v>
      </x:c>
      <x:c r="F40" s="3947" t="str">
        <x:v>EMERGENT_WORK</x:v>
      </x:c>
      <x:c r="G40" s="3947" t="str">
        <x:v>UE PENDIENTE / EN_EJECUCION</x:v>
      </x:c>
      <x:c r="H40" s="3947" t="str">
        <x:v>ContratoServicio/CC/Item no pueden resolverse confiablemente</x:v>
      </x:c>
      <x:c r="I40" s="3947" t="str">
        <x:v>MARCAR estado_contexto_contractual=PENDIENTE o AMBIGUO; no inventar valores</x:v>
      </x:c>
      <x:c r="J40" s="3947" t="str">
        <x:v>sin cambio</x:v>
      </x:c>
      <x:c r="K40" s="3947" t="str">
        <x:v>ImputacionEjecucion + DecisionTrace</x:v>
      </x:c>
      <x:c r="L40" s="4246" t="str">
        <x:v>REQUIRED</x:v>
      </x:c>
      <x:c r="M40" s="3947" t="str">
        <x:v>ReglaInicioEmergente</x:v>
      </x:c>
      <x:c r="N40" s="3947" t="str">
        <x:v>Sistema</x:v>
      </x:c>
      <x:c r="O40" s="3947" t="str">
        <x:v>La realidad puede existir sin imputación final.</x:v>
      </x:c>
    </x:row>
    <x:row r="41" ht="78" customHeight="1">
      <x:c r="A41" s="3947" t="str">
        <x:v>RUL-037</x:v>
      </x:c>
      <x:c r="B41" s="3947" t="str">
        <x:v>EJECUCIÓN</x:v>
      </x:c>
      <x:c r="C41" s="4247" t="str">
        <x:v>P1</x:v>
      </x:c>
      <x:c r="D41" s="3947" t="str">
        <x:v>EMERGENT_START</x:v>
      </x:c>
      <x:c r="E41" s="3947" t="str">
        <x:v>UE</x:v>
      </x:c>
      <x:c r="F41" s="3947" t="str">
        <x:v>START_WITH_CONTRACT_PENDING</x:v>
      </x:c>
      <x:c r="G41" s="3947" t="str">
        <x:v>PENDIENTE</x:v>
      </x:c>
      <x:c r="H41" s="3947" t="str">
        <x:v>Habilita gates OK y ReglaInicioEmergente=PERMITIR_AUTORIZADO con autoridad válida</x:v>
      </x:c>
      <x:c r="I41" s="3947" t="str">
        <x:v>PERMITIR Start Work y registrar autorización</x:v>
      </x:c>
      <x:c r="J41" s="3947" t="str">
        <x:v>EN_EJECUCION</x:v>
      </x:c>
      <x:c r="K41" s="3947" t="str">
        <x:v>Override/DecisionTrace</x:v>
      </x:c>
      <x:c r="L41" s="4248" t="str">
        <x:v>HARD_GATE</x:v>
      </x:c>
      <x:c r="M41" s="3947" t="str">
        <x:v>Cliente/servicio/riesgo</x:v>
      </x:c>
      <x:c r="N41" s="3947" t="str">
        <x:v>RolAutorizadorEmergente</x:v>
      </x:c>
      <x:c r="O41" s="3947" t="str">
        <x:v>No es bypass de Habilita.</x:v>
      </x:c>
    </x:row>
    <x:row r="42" ht="78" customHeight="1">
      <x:c r="A42" s="3947" t="str">
        <x:v>RUL-038</x:v>
      </x:c>
      <x:c r="B42" s="3947" t="str">
        <x:v>EJECUCIÓN</x:v>
      </x:c>
      <x:c r="C42" s="4246" t="str">
        <x:v>P6</x:v>
      </x:c>
      <x:c r="D42" s="3947" t="str">
        <x:v>COMMERCIAL_BLOCK</x:v>
      </x:c>
      <x:c r="E42" s="3947" t="str">
        <x:v>ImputacionEjecucion / UC</x:v>
      </x:c>
      <x:c r="F42" s="3947" t="str">
        <x:v>DERIVE_COMMERCIAL</x:v>
      </x:c>
      <x:c r="G42" s="3947" t="str">
        <x:v>UE CERRADA</x:v>
      </x:c>
      <x:c r="H42" s="3947" t="str">
        <x:v>estado_contexto_contractual != RESUELTO</x:v>
      </x:c>
      <x:c r="I42" s="3947" t="str">
        <x:v>BLOQUEAR creación/avance comercial definitivo; enviar a reconciliación</x:v>
      </x:c>
      <x:c r="J42" s="3947" t="str">
        <x:v>sin cambio</x:v>
      </x:c>
      <x:c r="K42" s="3947" t="str">
        <x:v>cola/backoffice resolución</x:v>
      </x:c>
      <x:c r="L42" s="4248" t="str">
        <x:v>HARD_BLOCK comercial</x:v>
      </x:c>
      <x:c r="M42" s="3947" t="str">
        <x:v>ContratoServicio</x:v>
      </x:c>
      <x:c r="N42" s="3947" t="str">
        <x:v>Motor contractual</x:v>
      </x:c>
      <x:c r="O42" s="3947" t="str">
        <x:v>No bloquea historia operacional ya ocurrida.</x:v>
      </x:c>
    </x:row>
    <x:row r="43" ht="78" customHeight="1">
      <x:c r="A43" s="3947" t="str">
        <x:v>RUL-039</x:v>
      </x:c>
      <x:c r="B43" s="3947" t="str">
        <x:v>HABILITA</x:v>
      </x:c>
      <x:c r="C43" s="4247" t="str">
        <x:v>P1</x:v>
      </x:c>
      <x:c r="D43" s="3947" t="str">
        <x:v>HARD_BLOCK</x:v>
      </x:c>
      <x:c r="E43" s="3947" t="str">
        <x:v>EvaluacionHabilitacion</x:v>
      </x:c>
      <x:c r="F43" s="3947" t="str">
        <x:v>EVALUATE</x:v>
      </x:c>
      <x:c r="G43" s="3947" t="str">
        <x:v>—</x:v>
      </x:c>
      <x:c r="H43" s="3947" t="str">
        <x:v>Falta requisito crítico/no overrideable aplicable a persona/recurso/contexto</x:v>
      </x:c>
      <x:c r="I43" s="3947" t="str">
        <x:v>RESULTADO BLOQUEA</x:v>
      </x:c>
      <x:c r="J43" s="3947" t="str">
        <x:v>—</x:v>
      </x:c>
      <x:c r="K43" s="3947" t="str">
        <x:v>EvaluacionHabilitacion</x:v>
      </x:c>
      <x:c r="L43" s="4248" t="str">
        <x:v>HARD_BLOCK</x:v>
      </x:c>
      <x:c r="M43" s="3947" t="str">
        <x:v>RequisitoHabilitacion</x:v>
      </x:c>
      <x:c r="N43" s="3947" t="str">
        <x:v>Habilita</x:v>
      </x:c>
      <x:c r="O43" s="3947" t="str">
        <x:v>Prioridad superior a comercial/UX.</x:v>
      </x:c>
    </x:row>
    <x:row r="44" ht="78" customHeight="1">
      <x:c r="A44" s="3947" t="str">
        <x:v>RUL-040</x:v>
      </x:c>
      <x:c r="B44" s="3947" t="str">
        <x:v>HABILITA</x:v>
      </x:c>
      <x:c r="C44" s="4247" t="str">
        <x:v>P1</x:v>
      </x:c>
      <x:c r="D44" s="3947" t="str">
        <x:v>WARNING</x:v>
      </x:c>
      <x:c r="E44" s="3947" t="str">
        <x:v>EvaluacionHabilitacion</x:v>
      </x:c>
      <x:c r="F44" s="3947" t="str">
        <x:v>EVALUATE</x:v>
      </x:c>
      <x:c r="G44" s="3947" t="str">
        <x:v>—</x:v>
      </x:c>
      <x:c r="H44" s="3947" t="str">
        <x:v>Requisito genera advertencia overrideable</x:v>
      </x:c>
      <x:c r="I44" s="3947" t="str">
        <x:v>RESULTADO ADVIERTE; no continuar sin OverrideGate válido</x:v>
      </x:c>
      <x:c r="J44" s="3947" t="str">
        <x:v>—</x:v>
      </x:c>
      <x:c r="K44" s="3947" t="str">
        <x:v>EvaluacionHabilitacion</x:v>
      </x:c>
      <x:c r="L44" s="4247" t="str">
        <x:v>WARN</x:v>
      </x:c>
      <x:c r="M44" s="3947" t="str">
        <x:v>RequisitoHabilitacion</x:v>
      </x:c>
      <x:c r="N44" s="3947" t="str">
        <x:v>Habilita</x:v>
      </x:c>
      <x:c r="O44" s="3947" t="str">
        <x:v>Warning no equivale a autorización.</x:v>
      </x:c>
    </x:row>
    <x:row r="45" ht="78" customHeight="1">
      <x:c r="A45" s="3947" t="str">
        <x:v>RUL-041</x:v>
      </x:c>
      <x:c r="B45" s="3947" t="str">
        <x:v>HABILITA</x:v>
      </x:c>
      <x:c r="C45" s="4247" t="str">
        <x:v>P1</x:v>
      </x:c>
      <x:c r="D45" s="3947" t="str">
        <x:v>OVERRIDE_GUARD</x:v>
      </x:c>
      <x:c r="E45" s="3947" t="str">
        <x:v>OverrideGate</x:v>
      </x:c>
      <x:c r="F45" s="3947" t="str">
        <x:v>AUTHORIZE_OVERRIDE</x:v>
      </x:c>
      <x:c r="G45" s="3947" t="str">
        <x:v>—</x:v>
      </x:c>
      <x:c r="H45" s="3947" t="str">
        <x:v>Gate está explícitamente marcado overrideable + actor tiene autoridad + motivo/evidencia</x:v>
      </x:c>
      <x:c r="I45" s="3947" t="str">
        <x:v>PERMITIR override y registrar evento append-only</x:v>
      </x:c>
      <x:c r="J45" s="3947" t="str">
        <x:v>—</x:v>
      </x:c>
      <x:c r="K45" s="3947" t="str">
        <x:v>OverrideGate</x:v>
      </x:c>
      <x:c r="L45" s="4248" t="str">
        <x:v>HARD_GATE</x:v>
      </x:c>
      <x:c r="M45" s="3947" t="str">
        <x:v>Regla de gate</x:v>
      </x:c>
      <x:c r="N45" s="3947" t="str">
        <x:v>Rol autorizado</x:v>
      </x:c>
      <x:c r="O45" s="3947" t="str">
        <x:v>Hard block no se convierte en override por conveniencia.</x:v>
      </x:c>
    </x:row>
    <x:row r="46" ht="78" customHeight="1">
      <x:c r="A46" s="3947" t="str">
        <x:v>RUL-042</x:v>
      </x:c>
      <x:c r="B46" s="3947" t="str">
        <x:v>HABILITA</x:v>
      </x:c>
      <x:c r="C46" s="4247" t="str">
        <x:v>P1</x:v>
      </x:c>
      <x:c r="D46" s="3947" t="str">
        <x:v>PTW_REQUIRED</x:v>
      </x:c>
      <x:c r="E46" s="3947" t="str">
        <x:v>PermisoTrabajo</x:v>
      </x:c>
      <x:c r="F46" s="3947" t="str">
        <x:v>PRE_START_CHECK</x:v>
      </x:c>
      <x:c r="G46" s="3947" t="str">
        <x:v>Parte/UE PREPARADO/PENDIENTE</x:v>
      </x:c>
      <x:c r="H46" s="3947" t="str">
        <x:v>Tipo de trabajo/contexto requiere PTW</x:v>
      </x:c>
      <x:c r="I46" s="3947" t="str">
        <x:v>EXIGIR ≥1 PTW aplicable VIGENTE antes de Start Work</x:v>
      </x:c>
      <x:c r="J46" s="3947" t="str">
        <x:v>—</x:v>
      </x:c>
      <x:c r="K46" s="3947" t="str">
        <x:v>DecisionTrace</x:v>
      </x:c>
      <x:c r="L46" s="4248" t="str">
        <x:v>HARD_BLOCK</x:v>
      </x:c>
      <x:c r="M46" s="3947" t="str">
        <x:v>TipoTrabajo / ubicación / riesgo</x:v>
      </x:c>
      <x:c r="N46" s="3947" t="str">
        <x:v>Habilita</x:v>
      </x:c>
      <x:c r="O46" s="3947" t="str">
        <x:v>PTW separado de Parte.</x:v>
      </x:c>
    </x:row>
    <x:row r="47" ht="78" customHeight="1">
      <x:c r="A47" s="3947" t="str">
        <x:v>RUL-043</x:v>
      </x:c>
      <x:c r="B47" s="3947" t="str">
        <x:v>HABILITA</x:v>
      </x:c>
      <x:c r="C47" s="4247" t="str">
        <x:v>P1</x:v>
      </x:c>
      <x:c r="D47" s="3947" t="str">
        <x:v>PTW_ACTIVATE</x:v>
      </x:c>
      <x:c r="E47" s="3947" t="str">
        <x:v>PermisoTrabajo</x:v>
      </x:c>
      <x:c r="F47" s="3947" t="str">
        <x:v>ACTIVATE</x:v>
      </x:c>
      <x:c r="G47" s="3947" t="str">
        <x:v>APROBADO</x:v>
      </x:c>
      <x:c r="H47" s="3947" t="str">
        <x:v>Ventana/contexto real coincide + controles previos válidos</x:v>
      </x:c>
      <x:c r="I47" s="3947" t="str">
        <x:v>PERMITIR VIGENTE</x:v>
      </x:c>
      <x:c r="J47" s="3947" t="str">
        <x:v>VIGENTE</x:v>
      </x:c>
      <x:c r="K47" s="3947" t="str">
        <x:v>DecisionTrace</x:v>
      </x:c>
      <x:c r="L47" s="4248" t="str">
        <x:v>HARD_GATE</x:v>
      </x:c>
      <x:c r="M47" s="3947" t="str">
        <x:v>PTW ruleset</x:v>
      </x:c>
      <x:c r="N47" s="3947" t="str">
        <x:v>Habilita/Supervisor</x:v>
      </x:c>
      <x:c r="O47" s="3947" t="str">
        <x:v>Aprobado no significa vigente automáticamente.</x:v>
      </x:c>
    </x:row>
    <x:row r="48" ht="78" customHeight="1">
      <x:c r="A48" s="3947" t="str">
        <x:v>RUL-044</x:v>
      </x:c>
      <x:c r="B48" s="3947" t="str">
        <x:v>HABILITA</x:v>
      </x:c>
      <x:c r="C48" s="4247" t="str">
        <x:v>P1</x:v>
      </x:c>
      <x:c r="D48" s="3947" t="str">
        <x:v>PTW_SUSPEND</x:v>
      </x:c>
      <x:c r="E48" s="3947" t="str">
        <x:v>PermisoTrabajo</x:v>
      </x:c>
      <x:c r="F48" s="3947" t="str">
        <x:v>CONDITION_CHANGED</x:v>
      </x:c>
      <x:c r="G48" s="3947" t="str">
        <x:v>VIGENTE</x:v>
      </x:c>
      <x:c r="H48" s="3947" t="str">
        <x:v>Condición de seguridad/alcance/handover requiere revalidación</x:v>
      </x:c>
      <x:c r="I48" s="3947" t="str">
        <x:v>SUSPENDER PTW y bloquear trabajo cubierto</x:v>
      </x:c>
      <x:c r="J48" s="3947" t="str">
        <x:v>SUSPENDIDO</x:v>
      </x:c>
      <x:c r="K48" s="3947" t="str">
        <x:v>DirectivaOperativa si aplica</x:v>
      </x:c>
      <x:c r="L48" s="4248" t="str">
        <x:v>HARD_BLOCK</x:v>
      </x:c>
      <x:c r="M48" s="3947" t="str">
        <x:v>PTW ruleset</x:v>
      </x:c>
      <x:c r="N48" s="3947" t="str">
        <x:v>Habilita/Supervisor</x:v>
      </x:c>
      <x:c r="O48" s="3947" t="str">
        <x:v>No cerrar PTW.</x:v>
      </x:c>
    </x:row>
    <x:row r="49" ht="78" customHeight="1">
      <x:c r="A49" s="3947" t="str">
        <x:v>RUL-045</x:v>
      </x:c>
      <x:c r="B49" s="3947" t="str">
        <x:v>HABILITA</x:v>
      </x:c>
      <x:c r="C49" s="4247" t="str">
        <x:v>P1</x:v>
      </x:c>
      <x:c r="D49" s="3947" t="str">
        <x:v>PTW_EXPIRE</x:v>
      </x:c>
      <x:c r="E49" s="3947" t="str">
        <x:v>PermisoTrabajo</x:v>
      </x:c>
      <x:c r="F49" s="3947" t="str">
        <x:v>VALID_UNTIL_PASSED</x:v>
      </x:c>
      <x:c r="G49" s="3947" t="str">
        <x:v>APROBADO / VIGENTE / SUSPENDIDO</x:v>
      </x:c>
      <x:c r="H49" s="3947" t="str">
        <x:v>Superó vigencia</x:v>
      </x:c>
      <x:c r="I49" s="3947" t="str">
        <x:v>MARCAR VENCIDO + bloquear nuevos Start/Restart + alertar</x:v>
      </x:c>
      <x:c r="J49" s="3947" t="str">
        <x:v>VENCIDO</x:v>
      </x:c>
      <x:c r="K49" s="3947" t="str">
        <x:v>Alerta/DecisionTrace</x:v>
      </x:c>
      <x:c r="L49" s="4248" t="str">
        <x:v>HARD_BLOCK</x:v>
      </x:c>
      <x:c r="M49" s="3947" t="str">
        <x:v>PTW</x:v>
      </x:c>
      <x:c r="N49" s="3947" t="str">
        <x:v>Sistema</x:v>
      </x:c>
      <x:c r="O49" s="3947" t="str">
        <x:v>Timeout nunca autocierra.</x:v>
      </x:c>
    </x:row>
    <x:row r="50" ht="78" customHeight="1">
      <x:c r="A50" s="3947" t="str">
        <x:v>RUL-046</x:v>
      </x:c>
      <x:c r="B50" s="3947" t="str">
        <x:v>HABILITA</x:v>
      </x:c>
      <x:c r="C50" s="4247" t="str">
        <x:v>P1</x:v>
      </x:c>
      <x:c r="D50" s="3947" t="str">
        <x:v>PTW_CLOSE</x:v>
      </x:c>
      <x:c r="E50" s="3947" t="str">
        <x:v>PermisoTrabajo</x:v>
      </x:c>
      <x:c r="F50" s="3947" t="str">
        <x:v>CLOSE</x:v>
      </x:c>
      <x:c r="G50" s="3947" t="str">
        <x:v>VIGENTE / SUSPENDIDO</x:v>
      </x:c>
      <x:c r="H50" s="3947" t="str">
        <x:v>Trabajo/alcance terminado + cierre autorizado/firmas requeridas</x:v>
      </x:c>
      <x:c r="I50" s="3947" t="str">
        <x:v>PERMITIR CERRADO</x:v>
      </x:c>
      <x:c r="J50" s="3947" t="str">
        <x:v>CERRADO</x:v>
      </x:c>
      <x:c r="K50" s="3947" t="str">
        <x:v>Evento cierre</x:v>
      </x:c>
      <x:c r="L50" s="4248" t="str">
        <x:v>HARD_GATE</x:v>
      </x:c>
      <x:c r="M50" s="3947" t="str">
        <x:v>PTW</x:v>
      </x:c>
      <x:c r="N50" s="3947" t="str">
        <x:v>Supervisor/Habilita</x:v>
      </x:c>
      <x:c r="O50" s="3947" t="str">
        <x:v>Todos los permisos deben cerrarse formalmente.</x:v>
      </x:c>
    </x:row>
    <x:row r="51" ht="78" customHeight="1">
      <x:c r="A51" s="3947" t="str">
        <x:v>RUL-047</x:v>
      </x:c>
      <x:c r="B51" s="3947" t="str">
        <x:v>HABILITA</x:v>
      </x:c>
      <x:c r="C51" s="4246" t="str">
        <x:v>P7</x:v>
      </x:c>
      <x:c r="D51" s="3947" t="str">
        <x:v>FLASH_REPORT</x:v>
      </x:c>
      <x:c r="E51" s="3947" t="str">
        <x:v>EventoHabilita</x:v>
      </x:c>
      <x:c r="F51" s="3947" t="str">
        <x:v>REPORT_EVENT</x:v>
      </x:c>
      <x:c r="G51" s="3947" t="str">
        <x:v>—</x:v>
      </x:c>
      <x:c r="H51" s="3947" t="str">
        <x:v>Usuario reporta evento/condición</x:v>
      </x:c>
      <x:c r="I51" s="3947" t="str">
        <x:v>AUTODERIVAR contexto activo y solicitar solo inputs mínimos</x:v>
      </x:c>
      <x:c r="J51" s="3947" t="str">
        <x:v>REPORTADO</x:v>
      </x:c>
      <x:c r="K51" s="3947" t="str">
        <x:v>EventoHabilita</x:v>
      </x:c>
      <x:c r="L51" s="4246" t="str">
        <x:v>REQUIRED</x:v>
      </x:c>
      <x:c r="M51" s="3947" t="str">
        <x:v>TipoEventoHabilita</x:v>
      </x:c>
      <x:c r="N51" s="3947" t="str">
        <x:v>Campo/Sistema</x:v>
      </x:c>
      <x:c r="O51" s="3947" t="str">
        <x:v>Objetivo 1–2 min; no pedir root cause.</x:v>
      </x:c>
    </x:row>
    <x:row r="52" ht="78" customHeight="1">
      <x:c r="A52" s="3947" t="str">
        <x:v>RUL-048</x:v>
      </x:c>
      <x:c r="B52" s="3947" t="str">
        <x:v>HABILITA</x:v>
      </x:c>
      <x:c r="C52" s="4246" t="str">
        <x:v>P5</x:v>
      </x:c>
      <x:c r="D52" s="3947" t="str">
        <x:v>TRIAGE</x:v>
      </x:c>
      <x:c r="E52" s="3947" t="str">
        <x:v>EventoHabilita</x:v>
      </x:c>
      <x:c r="F52" s="3947" t="str">
        <x:v>START_TRIAGE</x:v>
      </x:c>
      <x:c r="G52" s="3947" t="str">
        <x:v>REPORTADO</x:v>
      </x:c>
      <x:c r="H52" s="3947" t="str">
        <x:v>Evento no descartado/duplicado</x:v>
      </x:c>
      <x:c r="I52" s="3947" t="str">
        <x:v>MOVER a EN_TRIAGE y asignar responsable/cola</x:v>
      </x:c>
      <x:c r="J52" s="3947" t="str">
        <x:v>EN_TRIAGE</x:v>
      </x:c>
      <x:c r="K52" s="3947" t="str">
        <x:v>DecisionTrace</x:v>
      </x:c>
      <x:c r="L52" s="4246" t="str">
        <x:v>REQUIRED</x:v>
      </x:c>
      <x:c r="M52" s="3947" t="str">
        <x:v>Habilita</x:v>
      </x:c>
      <x:c r="N52" s="3947" t="str">
        <x:v>Habilita</x:v>
      </x:c>
      <x:c r="O52" s="3947" t="str">
        <x:v>Reporte original se conserva.</x:v>
      </x:c>
    </x:row>
    <x:row r="53" ht="78" customHeight="1">
      <x:c r="A53" s="3947" t="str">
        <x:v>RUL-049</x:v>
      </x:c>
      <x:c r="B53" s="3947" t="str">
        <x:v>HABILITA</x:v>
      </x:c>
      <x:c r="C53" s="4246" t="str">
        <x:v>P5</x:v>
      </x:c>
      <x:c r="D53" s="3947" t="str">
        <x:v>CLASSIFY</x:v>
      </x:c>
      <x:c r="E53" s="3947" t="str">
        <x:v>EventoHabilita</x:v>
      </x:c>
      <x:c r="F53" s="3947" t="str">
        <x:v>CLASSIFY</x:v>
      </x:c>
      <x:c r="G53" s="3947" t="str">
        <x:v>EN_TRIAGE</x:v>
      </x:c>
      <x:c r="H53" s="3947" t="str">
        <x:v>Información suficiente para categoría/severidad/contexto</x:v>
      </x:c>
      <x:c r="I53" s="3947" t="str">
        <x:v>CLASIFICAR sin borrar valores iniciales</x:v>
      </x:c>
      <x:c r="J53" s="3947" t="str">
        <x:v>CLASIFICADO</x:v>
      </x:c>
      <x:c r="K53" s="3947" t="str">
        <x:v>versión/clasificación vigente</x:v>
      </x:c>
      <x:c r="L53" s="4246" t="str">
        <x:v>REQUIRED</x:v>
      </x:c>
      <x:c r="M53" s="3947" t="str">
        <x:v>Taxonomía Habilita</x:v>
      </x:c>
      <x:c r="N53" s="3947" t="str">
        <x:v>Habilita</x:v>
      </x:c>
      <x:c r="O53" s="3947" t="str">
        <x:v>Reclasificación futura es evento/version.</x:v>
      </x:c>
    </x:row>
    <x:row r="54" ht="78" customHeight="1">
      <x:c r="A54" s="3947" t="str">
        <x:v>RUL-050</x:v>
      </x:c>
      <x:c r="B54" s="3947" t="str">
        <x:v>HABILITA</x:v>
      </x:c>
      <x:c r="C54" s="4247" t="str">
        <x:v>P1</x:v>
      </x:c>
      <x:c r="D54" s="3947" t="str">
        <x:v>ESCALATE</x:v>
      </x:c>
      <x:c r="E54" s="3947" t="str">
        <x:v>EventoHabilita</x:v>
      </x:c>
      <x:c r="F54" s="3947" t="str">
        <x:v>EVALUATE_ESCALATION</x:v>
      </x:c>
      <x:c r="G54" s="3947" t="str">
        <x:v>CLASIFICADO</x:v>
      </x:c>
      <x:c r="H54" s="3947" t="str">
        <x:v>Aplica ReglaEscalamientoHabilita</x:v>
      </x:c>
      <x:c r="I54" s="3947" t="str">
        <x:v>CREAR EvaluacionEscalamientoHabilita con regla/version + outputs</x:v>
      </x:c>
      <x:c r="J54" s="3947" t="str">
        <x:v>CLASIFICADO</x:v>
      </x:c>
      <x:c r="K54" s="3947" t="str">
        <x:v>EvaluacionEscalamientoHabilita</x:v>
      </x:c>
      <x:c r="L54" s="4246" t="str">
        <x:v>REQUIRED</x:v>
      </x:c>
      <x:c r="M54" s="3947" t="str">
        <x:v>Matriz Habilita</x:v>
      </x:c>
      <x:c r="N54" s="3947" t="str">
        <x:v>Motor Habilita</x:v>
      </x:c>
      <x:c r="O54" s="3947" t="str">
        <x:v>No hardcodear thresholds fuera de configuración.</x:v>
      </x:c>
    </x:row>
    <x:row r="55" ht="78" customHeight="1">
      <x:c r="A55" s="3947" t="str">
        <x:v>RUL-051</x:v>
      </x:c>
      <x:c r="B55" s="3947" t="str">
        <x:v>HABILITA</x:v>
      </x:c>
      <x:c r="C55" s="4247" t="str">
        <x:v>P1</x:v>
      </x:c>
      <x:c r="D55" s="3947" t="str">
        <x:v>UNCONTROLLED_DEFAULT</x:v>
      </x:c>
      <x:c r="E55" s="3947" t="str">
        <x:v>EventoHabilita</x:v>
      </x:c>
      <x:c r="F55" s="3947" t="str">
        <x:v>FLASH_REPORT_OR_TRIAGE</x:v>
      </x:c>
      <x:c r="G55" s="3947" t="str">
        <x:v>REPORTADO / EN_TRIAGE</x:v>
      </x:c>
      <x:c r="H55" s="3947" t="str">
        <x:v>situación_controlada = NO</x:v>
      </x:c>
      <x:c r="I55" s="3947" t="str">
        <x:v>EMITIR/PROPONER suspensión inmediata del trabajo afectado + escalar triage</x:v>
      </x:c>
      <x:c r="J55" s="3947" t="str">
        <x:v>—</x:v>
      </x:c>
      <x:c r="K55" s="3947" t="str">
        <x:v>DirectivaOperativa + evaluación</x:v>
      </x:c>
      <x:c r="L55" s="4248" t="str">
        <x:v>HARD_BLOCK operacional</x:v>
      </x:c>
      <x:c r="M55" s="3947" t="str">
        <x:v>Default baseline / Habilita</x:v>
      </x:c>
      <x:c r="N55" s="3947" t="str">
        <x:v>Habilita</x:v>
      </x:c>
      <x:c r="O55" s="3947" t="str">
        <x:v>Default conservador reabrible por política real.</x:v>
      </x:c>
    </x:row>
    <x:row r="56" ht="78" customHeight="1">
      <x:c r="A56" s="3947" t="str">
        <x:v>RUL-052</x:v>
      </x:c>
      <x:c r="B56" s="3947" t="str">
        <x:v>HABILITA</x:v>
      </x:c>
      <x:c r="C56" s="4247" t="str">
        <x:v>P1</x:v>
      </x:c>
      <x:c r="D56" s="3947" t="str">
        <x:v>OPEN_CASE</x:v>
      </x:c>
      <x:c r="E56" s="3947" t="str">
        <x:v>CasoHabilita</x:v>
      </x:c>
      <x:c r="F56" s="3947" t="str">
        <x:v>ESCALATION_REQUIRES_CASE</x:v>
      </x:c>
      <x:c r="G56" s="3947" t="str">
        <x:v>Evento CLASIFICADO</x:v>
      </x:c>
      <x:c r="H56" s="3947" t="str">
        <x:v>EvaluacionEscalamiento exige investigación/caso</x:v>
      </x:c>
      <x:c r="I56" s="3947" t="str">
        <x:v>CREAR CasoHabilita ABIERTO</x:v>
      </x:c>
      <x:c r="J56" s="3947" t="str">
        <x:v>ABIERTO</x:v>
      </x:c>
      <x:c r="K56" s="3947" t="str">
        <x:v>CasoHabilita</x:v>
      </x:c>
      <x:c r="L56" s="4246" t="str">
        <x:v>REQUIRED</x:v>
      </x:c>
      <x:c r="M56" s="3947" t="str">
        <x:v>ReglaEscalamientoHabilita</x:v>
      </x:c>
      <x:c r="N56" s="3947" t="str">
        <x:v>Motor Habilita</x:v>
      </x:c>
      <x:c r="O56" s="3947" t="str">
        <x:v>Evento queda ESCALADO_A_CASO.</x:v>
      </x:c>
    </x:row>
    <x:row r="57" ht="78" customHeight="1">
      <x:c r="A57" s="3947" t="str">
        <x:v>RUL-053</x:v>
      </x:c>
      <x:c r="B57" s="3947" t="str">
        <x:v>HABILITA</x:v>
      </x:c>
      <x:c r="C57" s="4246" t="str">
        <x:v>P5</x:v>
      </x:c>
      <x:c r="D57" s="3947" t="str">
        <x:v>CASE_CLOSE_GUARD</x:v>
      </x:c>
      <x:c r="E57" s="3947" t="str">
        <x:v>CasoHabilita</x:v>
      </x:c>
      <x:c r="F57" s="3947" t="str">
        <x:v>CLOSE_CASE</x:v>
      </x:c>
      <x:c r="G57" s="3947" t="str">
        <x:v>LISTO_PARA_CIERRE</x:v>
      </x:c>
      <x:c r="H57" s="3947" t="str">
        <x:v>Investigación finalizada + notificaciones requeridas resueltas + no acciones bloqueantes sin verificar</x:v>
      </x:c>
      <x:c r="I57" s="3947" t="str">
        <x:v>PERMITIR CERRADO</x:v>
      </x:c>
      <x:c r="J57" s="3947" t="str">
        <x:v>CERRADO</x:v>
      </x:c>
      <x:c r="K57" s="3947" t="str">
        <x:v>DecisionTrace</x:v>
      </x:c>
      <x:c r="L57" s="4248" t="str">
        <x:v>HARD_GATE</x:v>
      </x:c>
      <x:c r="M57" s="3947" t="str">
        <x:v>Policy Habilita</x:v>
      </x:c>
      <x:c r="N57" s="3947" t="str">
        <x:v>Habilita</x:v>
      </x:c>
      <x:c r="O57" s="3947" t="str">
        <x:v>Acciones no bloqueantes pueden continuar según configuración.</x:v>
      </x:c>
    </x:row>
    <x:row r="58" ht="78" customHeight="1">
      <x:c r="A58" s="3947" t="str">
        <x:v>RUL-054</x:v>
      </x:c>
      <x:c r="B58" s="3947" t="str">
        <x:v>CONTROL PLANE</x:v>
      </x:c>
      <x:c r="C58" s="4245" t="str">
        <x:v>P3</x:v>
      </x:c>
      <x:c r="D58" s="3947" t="str">
        <x:v>EMIT</x:v>
      </x:c>
      <x:c r="E58" s="3947" t="str">
        <x:v>DirectivaOperativa</x:v>
      </x:c>
      <x:c r="F58" s="3947" t="str">
        <x:v>POST_DISPATCH_COMMAND</x:v>
      </x:c>
      <x:c r="G58" s="3947" t="str">
        <x:v>—</x:v>
      </x:c>
      <x:c r="H58" s="3947" t="str">
        <x:v>Existe cambio post-despacho/cancelación/suspensión/reprogramación/repriorización</x:v>
      </x:c>
      <x:c r="I58" s="3947" t="str">
        <x:v>CREAR DirectivaOperativa EMITIDA con target/motivo/versión</x:v>
      </x:c>
      <x:c r="J58" s="3947" t="str">
        <x:v>EMITIDA</x:v>
      </x:c>
      <x:c r="K58" s="3947" t="str">
        <x:v>DirectivaOperativa</x:v>
      </x:c>
      <x:c r="L58" s="4246" t="str">
        <x:v>REQUIRED</x:v>
      </x:c>
      <x:c r="M58" s="3947" t="str">
        <x:v>TipoDirectiva</x:v>
      </x:c>
      <x:c r="N58" s="3947" t="str">
        <x:v>Planificación/Supervisión/Habilita</x:v>
      </x:c>
      <x:c r="O58" s="3947" t="str">
        <x:v>No mutar snapshot.</x:v>
      </x:c>
    </x:row>
    <x:row r="59" ht="78" customHeight="1">
      <x:c r="A59" s="3947" t="str">
        <x:v>RUL-055</x:v>
      </x:c>
      <x:c r="B59" s="3947" t="str">
        <x:v>CONTROL PLANE</x:v>
      </x:c>
      <x:c r="C59" s="4245" t="str">
        <x:v>P3</x:v>
      </x:c>
      <x:c r="D59" s="3947" t="str">
        <x:v>DELIVERY</x:v>
      </x:c>
      <x:c r="E59" s="3947" t="str">
        <x:v>DirectivaOperativa</x:v>
      </x:c>
      <x:c r="F59" s="3947" t="str">
        <x:v>DEVICE_RECEIVES</x:v>
      </x:c>
      <x:c r="G59" s="3947" t="str">
        <x:v>EMITIDA</x:v>
      </x:c>
      <x:c r="H59" s="3947" t="str">
        <x:v>Entrega técnica confirmada</x:v>
      </x:c>
      <x:c r="I59" s="3947" t="str">
        <x:v>MARCAR RECIBIDA</x:v>
      </x:c>
      <x:c r="J59" s="3947" t="str">
        <x:v>RECIBIDA</x:v>
      </x:c>
      <x:c r="K59" s="3947" t="str">
        <x:v>received_at</x:v>
      </x:c>
      <x:c r="L59" s="4246" t="str">
        <x:v>REQUIRED</x:v>
      </x:c>
      <x:c r="M59" s="3947" t="str">
        <x:v>Control Plane</x:v>
      </x:c>
      <x:c r="N59" s="3947" t="str">
        <x:v>Sistema</x:v>
      </x:c>
      <x:c r="O59" s="3947" t="str">
        <x:v>Offline puede demorar transición.</x:v>
      </x:c>
    </x:row>
    <x:row r="60" ht="78" customHeight="1">
      <x:c r="A60" s="3947" t="str">
        <x:v>RUL-056</x:v>
      </x:c>
      <x:c r="B60" s="3947" t="str">
        <x:v>CONTROL PLANE</x:v>
      </x:c>
      <x:c r="C60" s="4245" t="str">
        <x:v>P3</x:v>
      </x:c>
      <x:c r="D60" s="3947" t="str">
        <x:v>ACK</x:v>
      </x:c>
      <x:c r="E60" s="3947" t="str">
        <x:v>DirectivaOperativa</x:v>
      </x:c>
      <x:c r="F60" s="3947" t="str">
        <x:v>ACK</x:v>
      </x:c>
      <x:c r="G60" s="3947" t="str">
        <x:v>RECIBIDA</x:v>
      </x:c>
      <x:c r="H60" s="3947" t="str">
        <x:v>Receptor reconoce instrucción</x:v>
      </x:c>
      <x:c r="I60" s="3947" t="str">
        <x:v>MARCAR RECONOCIDA</x:v>
      </x:c>
      <x:c r="J60" s="3947" t="str">
        <x:v>RECONOCIDA</x:v>
      </x:c>
      <x:c r="K60" s="3947" t="str">
        <x:v>ack_at</x:v>
      </x:c>
      <x:c r="L60" s="4246" t="str">
        <x:v>REQUIRED</x:v>
      </x:c>
      <x:c r="M60" s="3947" t="str">
        <x:v>Control Plane</x:v>
      </x:c>
      <x:c r="N60" s="3947" t="str">
        <x:v>Actor/Sistema</x:v>
      </x:c>
      <x:c r="O60" s="3947" t="str">
        <x:v>ACK no significa aplicada.</x:v>
      </x:c>
    </x:row>
    <x:row r="61" ht="78" customHeight="1">
      <x:c r="A61" s="3947" t="str">
        <x:v>RUL-057</x:v>
      </x:c>
      <x:c r="B61" s="3947" t="str">
        <x:v>CONTROL PLANE</x:v>
      </x:c>
      <x:c r="C61" s="4245" t="str">
        <x:v>P3</x:v>
      </x:c>
      <x:c r="D61" s="3947" t="str">
        <x:v>APPLY</x:v>
      </x:c>
      <x:c r="E61" s="3947" t="str">
        <x:v>DirectivaOperativa</x:v>
      </x:c>
      <x:c r="F61" s="3947" t="str">
        <x:v>EFFECT_EXECUTED</x:v>
      </x:c>
      <x:c r="G61" s="3947" t="str">
        <x:v>RECIBIDA / RECONOCIDA</x:v>
      </x:c>
      <x:c r="H61" s="3947" t="str">
        <x:v>Efecto quedó reflejado en target mediante evento/estado válido</x:v>
      </x:c>
      <x:c r="I61" s="3947" t="str">
        <x:v>MARCAR APLICADA</x:v>
      </x:c>
      <x:c r="J61" s="3947" t="str">
        <x:v>APLICADA</x:v>
      </x:c>
      <x:c r="K61" s="3947" t="str">
        <x:v>applied_at + target effect link</x:v>
      </x:c>
      <x:c r="L61" s="4246" t="str">
        <x:v>REQUIRED</x:v>
      </x:c>
      <x:c r="M61" s="3947" t="str">
        <x:v>Control Plane</x:v>
      </x:c>
      <x:c r="N61" s="3947" t="str">
        <x:v>Sistema</x:v>
      </x:c>
      <x:c r="O61" s="3947" t="str">
        <x:v>Aplicación debe poder auditarse.</x:v>
      </x:c>
    </x:row>
    <x:row r="62" ht="78" customHeight="1">
      <x:c r="A62" s="3947" t="str">
        <x:v>RUL-058</x:v>
      </x:c>
      <x:c r="B62" s="3947" t="str">
        <x:v>CONTROL PLANE</x:v>
      </x:c>
      <x:c r="C62" s="4245" t="str">
        <x:v>P3</x:v>
      </x:c>
      <x:c r="D62" s="3947" t="str">
        <x:v>STALE_COMMAND</x:v>
      </x:c>
      <x:c r="E62" s="3947" t="str">
        <x:v>DirectivaOperativa</x:v>
      </x:c>
      <x:c r="F62" s="3947" t="str">
        <x:v>VALID_UNTIL_PASSED</x:v>
      </x:c>
      <x:c r="G62" s="3947" t="str">
        <x:v>EMITIDA / RECIBIDA / RECONOCIDA</x:v>
      </x:c>
      <x:c r="H62" s="3947" t="str">
        <x:v>Directiva perdió vigencia antes de aplicar</x:v>
      </x:c>
      <x:c r="I62" s="3947" t="str">
        <x:v>MARCAR EXPIRADA y bloquear aplicación</x:v>
      </x:c>
      <x:c r="J62" s="3947" t="str">
        <x:v>EXPIRADA</x:v>
      </x:c>
      <x:c r="K62" s="3947" t="str">
        <x:v>DecisionTrace</x:v>
      </x:c>
      <x:c r="L62" s="4248" t="str">
        <x:v>HARD_BLOCK</x:v>
      </x:c>
      <x:c r="M62" s="3947" t="str">
        <x:v>TipoDirectiva</x:v>
      </x:c>
      <x:c r="N62" s="3947" t="str">
        <x:v>Sistema</x:v>
      </x:c>
      <x:c r="O62" s="3947" t="str">
        <x:v>Nunca aplicar instrucción obsoleta.</x:v>
      </x:c>
    </x:row>
    <x:row r="63" ht="78" customHeight="1">
      <x:c r="A63" s="3947" t="str">
        <x:v>RUL-059</x:v>
      </x:c>
      <x:c r="B63" s="3947" t="str">
        <x:v>CERTIFICACIÓN</x:v>
      </x:c>
      <x:c r="C63" s="4246" t="str">
        <x:v>P6</x:v>
      </x:c>
      <x:c r="D63" s="3947" t="str">
        <x:v>DERIVE</x:v>
      </x:c>
      <x:c r="E63" s="3947" t="str">
        <x:v>UnidadComercial</x:v>
      </x:c>
      <x:c r="F63" s="3947" t="str">
        <x:v>EXECUTION_AVAILABLE</x:v>
      </x:c>
      <x:c r="G63" s="3947" t="str">
        <x:v>UE CERRADA</x:v>
      </x:c>
      <x:c r="H63" s="3947" t="str">
        <x:v>Contexto contractual RESUELTO + ReglaGranoUnidadComercial aplicable</x:v>
      </x:c>
      <x:c r="I63" s="3947" t="str">
        <x:v>DERIVAR una o más UC y crear lineage N:M</x:v>
      </x:c>
      <x:c r="J63" s="3947" t="str">
        <x:v>INCOMPLETA</x:v>
      </x:c>
      <x:c r="K63" s="3947" t="str">
        <x:v>UnidadComercial + UnidadComercialFuenteEjecucion</x:v>
      </x:c>
      <x:c r="L63" s="4246" t="str">
        <x:v>REQUIRED</x:v>
      </x:c>
      <x:c r="M63" s="3947" t="str">
        <x:v>ContratoServicio / Item</x:v>
      </x:c>
      <x:c r="N63" s="3947" t="str">
        <x:v>Motor contractual</x:v>
      </x:c>
      <x:c r="O63" s="3947" t="str">
        <x:v>Parte ≠ UC.</x:v>
      </x:c>
    </x:row>
    <x:row r="64" ht="78" customHeight="1">
      <x:c r="A64" s="3947" t="str">
        <x:v>RUL-060</x:v>
      </x:c>
      <x:c r="B64" s="3947" t="str">
        <x:v>CERTIFICACIÓN</x:v>
      </x:c>
      <x:c r="C64" s="4246" t="str">
        <x:v>P6</x:v>
      </x:c>
      <x:c r="D64" s="3947" t="str">
        <x:v>TIME_TREATMENT</x:v>
      </x:c>
      <x:c r="E64" s="3947" t="str">
        <x:v>UnidadComercial</x:v>
      </x:c>
      <x:c r="F64" s="3947" t="str">
        <x:v>DERIVE_QUANTITY</x:v>
      </x:c>
      <x:c r="G64" s="3947" t="str">
        <x:v>INCOMPLETA</x:v>
      </x:c>
      <x:c r="H64" s="3947" t="str">
        <x:v>Existen EventosTiempo/Transiciones aplicables</x:v>
      </x:c>
      <x:c r="I64" s="3947" t="str">
        <x:v>APLICAR ReglaTratamientoTiempo para mapear tiempo real a certificable/no certificable/otro item</x:v>
      </x:c>
      <x:c r="J64" s="3947" t="str">
        <x:v>INCOMPLETA</x:v>
      </x:c>
      <x:c r="K64" s="3947" t="str">
        <x:v>componentes de cantidad + DecisionTrace</x:v>
      </x:c>
      <x:c r="L64" s="4246" t="str">
        <x:v>REQUIRED</x:v>
      </x:c>
      <x:c r="M64" s="3947" t="str">
        <x:v>ContratoServicio / Item</x:v>
      </x:c>
      <x:c r="N64" s="3947" t="str">
        <x:v>Motor contractual</x:v>
      </x:c>
      <x:c r="O64" s="3947" t="str">
        <x:v>No modificar EventoTiempo.</x:v>
      </x:c>
    </x:row>
    <x:row r="65" ht="78" customHeight="1">
      <x:c r="A65" s="3947" t="str">
        <x:v>RUL-061</x:v>
      </x:c>
      <x:c r="B65" s="3947" t="str">
        <x:v>CERTIFICACIÓN</x:v>
      </x:c>
      <x:c r="C65" s="4246" t="str">
        <x:v>P6</x:v>
      </x:c>
      <x:c r="D65" s="3947" t="str">
        <x:v>MEASUREMENT_TREATMENT</x:v>
      </x:c>
      <x:c r="E65" s="3947" t="str">
        <x:v>UnidadComercial</x:v>
      </x:c>
      <x:c r="F65" s="3947" t="str">
        <x:v>DERIVE_QUANTITY</x:v>
      </x:c>
      <x:c r="G65" s="3947" t="str">
        <x:v>INCOMPLETA</x:v>
      </x:c>
      <x:c r="H65" s="3947" t="str">
        <x:v>Item usa medición operacional</x:v>
      </x:c>
      <x:c r="I65" s="3947" t="str">
        <x:v>APLICAR ReglaMedicionItem sobre EjecucionMedicion/otras fuentes autorizadas</x:v>
      </x:c>
      <x:c r="J65" s="3947" t="str">
        <x:v>INCOMPLETA</x:v>
      </x:c>
      <x:c r="K65" s="3947" t="str">
        <x:v>cantidad derivada</x:v>
      </x:c>
      <x:c r="L65" s="4246" t="str">
        <x:v>REQUIRED</x:v>
      </x:c>
      <x:c r="M65" s="3947" t="str">
        <x:v>ItemContrato</x:v>
      </x:c>
      <x:c r="N65" s="3947" t="str">
        <x:v>Motor contractual</x:v>
      </x:c>
      <x:c r="O65" s="3947" t="str">
        <x:v>Mantener fuente/version.</x:v>
      </x:c>
    </x:row>
    <x:row r="66" ht="78" customHeight="1">
      <x:c r="A66" s="3947" t="str">
        <x:v>RUL-062</x:v>
      </x:c>
      <x:c r="B66" s="3947" t="str">
        <x:v>CERTIFICACIÓN</x:v>
      </x:c>
      <x:c r="C66" s="4246" t="str">
        <x:v>P6</x:v>
      </x:c>
      <x:c r="D66" s="3947" t="str">
        <x:v>ELIGIBILITY</x:v>
      </x:c>
      <x:c r="E66" s="3947" t="str">
        <x:v>UnidadComercial</x:v>
      </x:c>
      <x:c r="F66" s="3947" t="str">
        <x:v>CHECK_COMPLETENESS</x:v>
      </x:c>
      <x:c r="G66" s="3947" t="str">
        <x:v>INCOMPLETA</x:v>
      </x:c>
      <x:c r="H66" s="3947" t="str">
        <x:v>Lineage, item, UM, cantidad y evidencia requerida completos</x:v>
      </x:c>
      <x:c r="I66" s="3947" t="str">
        <x:v>MARCAR ELEGIBLE</x:v>
      </x:c>
      <x:c r="J66" s="3947" t="str">
        <x:v>ELEGIBLE</x:v>
      </x:c>
      <x:c r="K66" s="3947" t="str">
        <x:v>DecisionTrace</x:v>
      </x:c>
      <x:c r="L66" s="4248" t="str">
        <x:v>HARD_GATE comercial</x:v>
      </x:c>
      <x:c r="M66" s="3947" t="str">
        <x:v>ContratoServicio / Item</x:v>
      </x:c>
      <x:c r="N66" s="3947" t="str">
        <x:v>Motor certificación</x:v>
      </x:c>
      <x:c r="O66" s="3947" t="str">
        <x:v>No aceptar incompleta.</x:v>
      </x:c>
    </x:row>
    <x:row r="67" ht="78" customHeight="1">
      <x:c r="A67" s="3947" t="str">
        <x:v>RUL-063</x:v>
      </x:c>
      <x:c r="B67" s="3947" t="str">
        <x:v>CERTIFICACIÓN</x:v>
      </x:c>
      <x:c r="C67" s="4246" t="str">
        <x:v>P6</x:v>
      </x:c>
      <x:c r="D67" s="3947" t="str">
        <x:v>OBSERVE</x:v>
      </x:c>
      <x:c r="E67" s="3947" t="str">
        <x:v>UnidadComercial</x:v>
      </x:c>
      <x:c r="F67" s="3947" t="str">
        <x:v>CLIENT_OBSERVATION</x:v>
      </x:c>
      <x:c r="G67" s="3947" t="str">
        <x:v>EN_REVISION</x:v>
      </x:c>
      <x:c r="H67" s="3947" t="str">
        <x:v>Cliente/certificador detecta incidencia comercial/documental</x:v>
      </x:c>
      <x:c r="I67" s="3947" t="str">
        <x:v>MARCAR OBSERVADA + crear ObservacionCertificacion</x:v>
      </x:c>
      <x:c r="J67" s="3947" t="str">
        <x:v>OBSERVADA</x:v>
      </x:c>
      <x:c r="K67" s="3947" t="str">
        <x:v>ObservacionCertificacion</x:v>
      </x:c>
      <x:c r="L67" s="4246" t="str">
        <x:v>REQUIRED</x:v>
      </x:c>
      <x:c r="M67" s="3947" t="str">
        <x:v>Certificación</x:v>
      </x:c>
      <x:c r="N67" s="3947" t="str">
        <x:v>Cliente/Certificación</x:v>
      </x:c>
      <x:c r="O67" s="3947" t="str">
        <x:v>Observación no edita campo.</x:v>
      </x:c>
    </x:row>
    <x:row r="68" ht="78" customHeight="1">
      <x:c r="A68" s="3947" t="str">
        <x:v>RUL-064</x:v>
      </x:c>
      <x:c r="B68" s="3947" t="str">
        <x:v>CERTIFICACIÓN</x:v>
      </x:c>
      <x:c r="C68" s="4246" t="str">
        <x:v>P6</x:v>
      </x:c>
      <x:c r="D68" s="3947" t="str">
        <x:v>ADJUST</x:v>
      </x:c>
      <x:c r="E68" s="3947" t="str">
        <x:v>AjusteCertificacion</x:v>
      </x:c>
      <x:c r="F68" s="3947" t="str">
        <x:v>COMMERCIAL_DIFFERENCE</x:v>
      </x:c>
      <x:c r="G68" s="3947" t="str">
        <x:v>UC/Paquete en revisión/observado</x:v>
      </x:c>
      <x:c r="H68" s="3947" t="str">
        <x:v>Diferencia es comercial, no error en realidad operacional</x:v>
      </x:c>
      <x:c r="I68" s="3947" t="str">
        <x:v>CREAR AjusteCertificacion autorizado; mantener UE intacta</x:v>
      </x:c>
      <x:c r="J68" s="3947" t="str">
        <x:v>—</x:v>
      </x:c>
      <x:c r="K68" s="3947" t="str">
        <x:v>AjusteCertificacion</x:v>
      </x:c>
      <x:c r="L68" s="4248" t="str">
        <x:v>HARD_GATE</x:v>
      </x:c>
      <x:c r="M68" s="3947" t="str">
        <x:v>Contrato/cliente</x:v>
      </x:c>
      <x:c r="N68" s="3947" t="str">
        <x:v>Certificación</x:v>
      </x:c>
      <x:c r="O68" s="3947" t="str">
        <x:v>Separar verdad operativa de acuerdo comercial.</x:v>
      </x:c>
    </x:row>
    <x:row r="69" ht="78" customHeight="1">
      <x:c r="A69" s="3947" t="str">
        <x:v>RUL-065</x:v>
      </x:c>
      <x:c r="B69" s="3947" t="str">
        <x:v>CERTIFICACIÓN</x:v>
      </x:c>
      <x:c r="C69" s="4248" t="str">
        <x:v>P0</x:v>
      </x:c>
      <x:c r="D69" s="3947" t="str">
        <x:v>LINEAGE_INVALIDATE</x:v>
      </x:c>
      <x:c r="E69" s="3947" t="str">
        <x:v>UnidadComercial</x:v>
      </x:c>
      <x:c r="F69" s="3947" t="str">
        <x:v>SOURCE_EXECUTION_AMENDED</x:v>
      </x:c>
      <x:c r="G69" s="3947" t="str">
        <x:v>cualquier estado no invalidado</x:v>
      </x:c>
      <x:c r="H69" s="3947" t="str">
        <x:v>Alguna fuente_ejecucion_version queda superada por EnmiendaOperativa</x:v>
      </x:c>
      <x:c r="I69" s="3947" t="str">
        <x:v>MARCAR supersession=REQUIERE_RECALCULO; bloquear nueva facturación</x:v>
      </x:c>
      <x:c r="J69" s="3947" t="str">
        <x:v>estado certificación histórico sin reescribir</x:v>
      </x:c>
      <x:c r="K69" s="3947" t="str">
        <x:v>DecisionTrace</x:v>
      </x:c>
      <x:c r="L69" s="4248" t="str">
        <x:v>HARD_BLOCK</x:v>
      </x:c>
      <x:c r="M69" s="3947" t="str">
        <x:v>Global</x:v>
      </x:c>
      <x:c r="N69" s="3947" t="str">
        <x:v>Sistema</x:v>
      </x:c>
      <x:c r="O69" s="3947" t="str">
        <x:v>Aceptación histórica permanece; vigencia cambia.</x:v>
      </x:c>
    </x:row>
    <x:row r="70" ht="78" customHeight="1">
      <x:c r="A70" s="3947" t="str">
        <x:v>RUL-066</x:v>
      </x:c>
      <x:c r="B70" s="3947" t="str">
        <x:v>CERTIFICACIÓN</x:v>
      </x:c>
      <x:c r="C70" s="4246" t="str">
        <x:v>P6</x:v>
      </x:c>
      <x:c r="D70" s="3947" t="str">
        <x:v>SUPERSEDE</x:v>
      </x:c>
      <x:c r="E70" s="3947" t="str">
        <x:v>UnidadComercial</x:v>
      </x:c>
      <x:c r="F70" s="3947" t="str">
        <x:v>RECALCULATE_AFTER_AMENDMENT</x:v>
      </x:c>
      <x:c r="G70" s="3947" t="str">
        <x:v>REQUIERE_RECALCULO / EN_REVISION supersession</x:v>
      </x:c>
      <x:c r="H70" s="3947" t="str">
        <x:v>Nueva derivación válida disponible</x:v>
      </x:c>
      <x:c r="I70" s="3947" t="str">
        <x:v>CREAR UC nueva que sustituye_a UC previa</x:v>
      </x:c>
      <x:c r="J70" s="3947" t="str">
        <x:v>INCOMPLETA/ELEGIBLE</x:v>
      </x:c>
      <x:c r="K70" s="3947" t="str">
        <x:v>Nueva UC + lineage + self-reference</x:v>
      </x:c>
      <x:c r="L70" s="4246" t="str">
        <x:v>REQUIRED</x:v>
      </x:c>
      <x:c r="M70" s="3947" t="str">
        <x:v>ContratoServicio</x:v>
      </x:c>
      <x:c r="N70" s="3947" t="str">
        <x:v>Motor contractual</x:v>
      </x:c>
      <x:c r="O70" s="3947" t="str">
        <x:v>Nunca update/delete UC previa.</x:v>
      </x:c>
    </x:row>
    <x:row r="71" ht="78" customHeight="1">
      <x:c r="A71" s="3947" t="str">
        <x:v>RUL-067</x:v>
      </x:c>
      <x:c r="B71" s="3947" t="str">
        <x:v>CERTIFICACIÓN</x:v>
      </x:c>
      <x:c r="C71" s="4246" t="str">
        <x:v>P6</x:v>
      </x:c>
      <x:c r="D71" s="3947" t="str">
        <x:v>PACKAGE</x:v>
      </x:c>
      <x:c r="E71" s="3947" t="str">
        <x:v>PaqueteCertificacion</x:v>
      </x:c>
      <x:c r="F71" s="3947" t="str">
        <x:v>GROUP_ELIGIBLE_UC</x:v>
      </x:c>
      <x:c r="G71" s="3947" t="str">
        <x:v>—</x:v>
      </x:c>
      <x:c r="H71" s="3947" t="str">
        <x:v>ReglaAgrupacionCertificacion agrupa UC elegibles/vigentes</x:v>
      </x:c>
      <x:c r="I71" s="3947" t="str">
        <x:v>CREAR/ACTUALIZAR versión de Paquete mediante bridge versionado</x:v>
      </x:c>
      <x:c r="J71" s="3947" t="str">
        <x:v>BORRADOR</x:v>
      </x:c>
      <x:c r="K71" s="3947" t="str">
        <x:v>Paquete + inclusiones</x:v>
      </x:c>
      <x:c r="L71" s="4246" t="str">
        <x:v>REQUIRED</x:v>
      </x:c>
      <x:c r="M71" s="3947" t="str">
        <x:v>ContratoServicio</x:v>
      </x:c>
      <x:c r="N71" s="3947" t="str">
        <x:v>Motor certificación</x:v>
      </x:c>
      <x:c r="O71" s="3947" t="str">
        <x:v>Paquete puede cruzar Partes.</x:v>
      </x:c>
    </x:row>
    <x:row r="72" ht="78" customHeight="1">
      <x:c r="A72" s="3947" t="str">
        <x:v>RUL-068</x:v>
      </x:c>
      <x:c r="B72" s="3947" t="str">
        <x:v>CERTIFICACIÓN</x:v>
      </x:c>
      <x:c r="C72" s="4246" t="str">
        <x:v>P6</x:v>
      </x:c>
      <x:c r="D72" s="3947" t="str">
        <x:v>PARTIALITY</x:v>
      </x:c>
      <x:c r="E72" s="3947" t="str">
        <x:v>PaqueteCertificacion</x:v>
      </x:c>
      <x:c r="F72" s="3947" t="str">
        <x:v>CLIENT_PARTIAL_ACCEPT</x:v>
      </x:c>
      <x:c r="G72" s="3947" t="str">
        <x:v>EN_REVISION</x:v>
      </x:c>
      <x:c r="H72" s="3947" t="str">
        <x:v>ReglaParcialidadCertificacion permite parcialidad</x:v>
      </x:c>
      <x:c r="I72" s="3947" t="str">
        <x:v>PERMITIR ACEPTADO_PARCIAL y registrar subset explícito</x:v>
      </x:c>
      <x:c r="J72" s="3947" t="str">
        <x:v>ACEPTADO_PARCIAL</x:v>
      </x:c>
      <x:c r="K72" s="3947" t="str">
        <x:v>ConformidadCliente / inclusiones efectivas</x:v>
      </x:c>
      <x:c r="L72" s="4248" t="str">
        <x:v>HARD_GATE comercial</x:v>
      </x:c>
      <x:c r="M72" s="3947" t="str">
        <x:v>ContratoServicio / cliente</x:v>
      </x:c>
      <x:c r="N72" s="3947" t="str">
        <x:v>Motor certificación</x:v>
      </x:c>
      <x:c r="O72" s="3947" t="str">
        <x:v>Si regla no lo permite, bloquear.</x:v>
      </x:c>
    </x:row>
    <x:row r="73" ht="78" customHeight="1">
      <x:c r="A73" s="3947" t="str">
        <x:v>RUL-069</x:v>
      </x:c>
      <x:c r="B73" s="3947" t="str">
        <x:v>CERTIFICACIÓN</x:v>
      </x:c>
      <x:c r="C73" s="4246" t="str">
        <x:v>P6</x:v>
      </x:c>
      <x:c r="D73" s="3947" t="str">
        <x:v>ACCEPT</x:v>
      </x:c>
      <x:c r="E73" s="3947" t="str">
        <x:v>UnidadComercial / Paquete</x:v>
      </x:c>
      <x:c r="F73" s="3947" t="str">
        <x:v>ACCEPT</x:v>
      </x:c>
      <x:c r="G73" s="3947" t="str">
        <x:v>EN_REVISION</x:v>
      </x:c>
      <x:c r="H73" s="3947" t="str">
        <x:v>Conformidad/requisitos aplicables satisfechos</x:v>
      </x:c>
      <x:c r="I73" s="3947" t="str">
        <x:v>MARCAR ACEPTADA/ACEPTADO</x:v>
      </x:c>
      <x:c r="J73" s="3947" t="str">
        <x:v>ACEPTADA / ACEPTADO</x:v>
      </x:c>
      <x:c r="K73" s="3947" t="str">
        <x:v>ConformidadCliente</x:v>
      </x:c>
      <x:c r="L73" s="4248" t="str">
        <x:v>HARD_GATE comercial</x:v>
      </x:c>
      <x:c r="M73" s="3947" t="str">
        <x:v>Cliente/contrato</x:v>
      </x:c>
      <x:c r="N73" s="3947" t="str">
        <x:v>Cliente/Certificación</x:v>
      </x:c>
      <x:c r="O73" s="3947" t="str">
        <x:v>No implica Factura emitida.</x:v>
      </x:c>
    </x:row>
    <x:row r="74" ht="78" customHeight="1">
      <x:c r="A74" s="3947" t="str">
        <x:v>RUL-070</x:v>
      </x:c>
      <x:c r="B74" s="3947" t="str">
        <x:v>FACTURACIÓN</x:v>
      </x:c>
      <x:c r="C74" s="4246" t="str">
        <x:v>P6</x:v>
      </x:c>
      <x:c r="D74" s="3947" t="str">
        <x:v>BILLABLE</x:v>
      </x:c>
      <x:c r="E74" s="3947" t="str">
        <x:v>LineaFacturable</x:v>
      </x:c>
      <x:c r="F74" s="3947" t="str">
        <x:v>BUILD_LINE</x:v>
      </x:c>
      <x:c r="G74" s="3947" t="str">
        <x:v>UC ACEPTADA</x:v>
      </x:c>
      <x:c r="H74" s="3947" t="str">
        <x:v>UC vigente (no sustituida/inválida) + reglas de facturación satisfechas</x:v>
      </x:c>
      <x:c r="I74" s="3947" t="str">
        <x:v>CREAR LineaFacturable</x:v>
      </x:c>
      <x:c r="J74" s="3947" t="str">
        <x:v>—</x:v>
      </x:c>
      <x:c r="K74" s="3947" t="str">
        <x:v>LineaFacturable</x:v>
      </x:c>
      <x:c r="L74" s="4246" t="str">
        <x:v>REQUIRED</x:v>
      </x:c>
      <x:c r="M74" s="3947" t="str">
        <x:v>ReglaFacturacion</x:v>
      </x:c>
      <x:c r="N74" s="3947" t="str">
        <x:v>Facturación</x:v>
      </x:c>
      <x:c r="O74" s="3947" t="str">
        <x:v>No volver a evidencia cruda para recalcular.</x:v>
      </x:c>
    </x:row>
    <x:row r="75" ht="78" customHeight="1">
      <x:c r="A75" s="3947" t="str">
        <x:v>RUL-071</x:v>
      </x:c>
      <x:c r="B75" s="3947" t="str">
        <x:v>FACTURACIÓN</x:v>
      </x:c>
      <x:c r="C75" s="4246" t="str">
        <x:v>P6</x:v>
      </x:c>
      <x:c r="D75" s="3947" t="str">
        <x:v>LOT</x:v>
      </x:c>
      <x:c r="E75" s="3947" t="str">
        <x:v>LoteFacturacion</x:v>
      </x:c>
      <x:c r="F75" s="3947" t="str">
        <x:v>GROUP_LINES</x:v>
      </x:c>
      <x:c r="G75" s="3947" t="str">
        <x:v>—</x:v>
      </x:c>
      <x:c r="H75" s="3947" t="str">
        <x:v>Líneas vigentes compatibles según ReglaFacturacion</x:v>
      </x:c>
      <x:c r="I75" s="3947" t="str">
        <x:v>CREAR LoteFacturacion BORRADOR</x:v>
      </x:c>
      <x:c r="J75" s="3947" t="str">
        <x:v>BORRADOR</x:v>
      </x:c>
      <x:c r="K75" s="3947" t="str">
        <x:v>LoteFacturacion</x:v>
      </x:c>
      <x:c r="L75" s="4246" t="str">
        <x:v>REQUIRED</x:v>
      </x:c>
      <x:c r="M75" s="3947" t="str">
        <x:v>ReglaFacturacion</x:v>
      </x:c>
      <x:c r="N75" s="3947" t="str">
        <x:v>Facturación</x:v>
      </x:c>
      <x:c r="O75" s="3947" t="str">
        <x:v>PaqueteCertificacion ≠ LoteFacturacion.</x:v>
      </x:c>
    </x:row>
    <x:row r="76" ht="78" customHeight="1">
      <x:c r="A76" s="3947" t="str">
        <x:v>RUL-072</x:v>
      </x:c>
      <x:c r="B76" s="3947" t="str">
        <x:v>FACTURACIÓN</x:v>
      </x:c>
      <x:c r="C76" s="4245" t="str">
        <x:v>P2</x:v>
      </x:c>
      <x:c r="D76" s="3947" t="str">
        <x:v>ERP_BOUNDARY</x:v>
      </x:c>
      <x:c r="E76" s="3947" t="str">
        <x:v>LoteFacturacion</x:v>
      </x:c>
      <x:c r="F76" s="3947" t="str">
        <x:v>SEND_ERP</x:v>
      </x:c>
      <x:c r="G76" s="3947" t="str">
        <x:v>VALIDADO</x:v>
      </x:c>
      <x:c r="H76" s="3947" t="str">
        <x:v>Adapter disponible + payload válido + líneas siguen vigentes</x:v>
      </x:c>
      <x:c r="I76" s="3947" t="str">
        <x:v>PERMITIR ENVIADO_ERP; registrar referencia/idempotency</x:v>
      </x:c>
      <x:c r="J76" s="3947" t="str">
        <x:v>ENVIADO_ERP</x:v>
      </x:c>
      <x:c r="K76" s="3947" t="str">
        <x:v>DecisionTrace</x:v>
      </x:c>
      <x:c r="L76" s="4248" t="str">
        <x:v>HARD_GATE</x:v>
      </x:c>
      <x:c r="M76" s="3947" t="str">
        <x:v>Adapter/ERP</x:v>
      </x:c>
      <x:c r="N76" s="3947" t="str">
        <x:v>Facturación/Sistema</x:v>
      </x:c>
      <x:c r="O76" s="3947" t="str">
        <x:v>Modelo no inventa documento fiscal.</x:v>
      </x:c>
    </x:row>
    <x:row r="77" ht="78" customHeight="1">
      <x:c r="A77" s="3947" t="str">
        <x:v>RUL-073</x:v>
      </x:c>
      <x:c r="B77" s="3947" t="str">
        <x:v>TRACE / CORRECCIÓN</x:v>
      </x:c>
      <x:c r="C77" s="4248" t="str">
        <x:v>P0</x:v>
      </x:c>
      <x:c r="D77" s="3947" t="str">
        <x:v>AMEND</x:v>
      </x:c>
      <x:c r="E77" s="3947" t="str">
        <x:v>Objeto operacional</x:v>
      </x:c>
      <x:c r="F77" s="3947" t="str">
        <x:v>REAL_ERROR_DISCOVERED</x:v>
      </x:c>
      <x:c r="G77" s="3947" t="str">
        <x:v>objeto cerrado/versionado</x:v>
      </x:c>
      <x:c r="H77" s="3947" t="str">
        <x:v>Error afecta verdad operacional real</x:v>
      </x:c>
      <x:c r="I77" s="3947" t="str">
        <x:v>CREAR EnmiendaOperativa con old/new/motivo/evidencia/actor; nunca editar silenciosamente</x:v>
      </x:c>
      <x:c r="J77" s="3947" t="str">
        <x:v>sin cambio del original</x:v>
      </x:c>
      <x:c r="K77" s="3947" t="str">
        <x:v>EnmiendaOperativa + nueva versión efectiva</x:v>
      </x:c>
      <x:c r="L77" s="4248" t="str">
        <x:v>HARD_RULE</x:v>
      </x:c>
      <x:c r="M77" s="3947" t="str">
        <x:v>Global</x:v>
      </x:c>
      <x:c r="N77" s="3947" t="str">
        <x:v>Supervisor autorizado</x:v>
      </x:c>
      <x:c r="O77" s="3947" t="str">
        <x:v>Error comercial va por AjusteCertificacion, no aquí.</x:v>
      </x:c>
    </x:row>
    <x:row r="78" ht="78" customHeight="1">
      <x:c r="A78" s="3947" t="str">
        <x:v>RUL-074</x:v>
      </x:c>
      <x:c r="B78" s="3947" t="str">
        <x:v>TRACE / AUDIT</x:v>
      </x:c>
      <x:c r="C78" s="4248" t="str">
        <x:v>P0</x:v>
      </x:c>
      <x:c r="D78" s="3947" t="str">
        <x:v>AUDIT</x:v>
      </x:c>
      <x:c r="E78" s="3947" t="str">
        <x:v>Rule Engine</x:v>
      </x:c>
      <x:c r="F78" s="3947" t="str">
        <x:v>ANY_DECISION</x:v>
      </x:c>
      <x:c r="G78" s="3947" t="str">
        <x:v>cualquier</x:v>
      </x:c>
      <x:c r="H78" s="3947" t="str">
        <x:v>Regla produce block/warn/transition/create/derive/override relevante</x:v>
      </x:c>
      <x:c r="I78" s="3947" t="str">
        <x:v>PERSISTIR DecisionTrace con inputs normalizados, ruleset/version, reglas evaluadas/aplicadas, resultado, override y actor</x:v>
      </x:c>
      <x:c r="J78" s="3947" t="str">
        <x:v>—</x:v>
      </x:c>
      <x:c r="K78" s="3947" t="str">
        <x:v>DecisionTrace</x:v>
      </x:c>
      <x:c r="L78" s="4246" t="str">
        <x:v>REQUIRED</x:v>
      </x:c>
      <x:c r="M78" s="3947" t="str">
        <x:v>Global</x:v>
      </x:c>
      <x:c r="N78" s="3947" t="str">
        <x:v>Motor</x:v>
      </x:c>
      <x:c r="O78" s="3947" t="str">
        <x:v>Permite explicar cualquier decisión futura del sistema.</x:v>
      </x:c>
    </x:row>
  </x:sheetData>
  <x:mergeCells>
    <x:mergeCell ref="A1:O1"/>
    <x:mergeCell ref="A2:O2"/>
  </x:mergeCells>
  <x:pageMargins left="0.7" right="0.7" top="0.75" bottom="0.75" header="0.3" footer="0.3"/>
</x:worksheet>
</file>

<file path=xl/worksheets/sheet60.xml><?xml version="1.0" encoding="utf-8"?>
<x:worksheet xmlns:x="http://schemas.openxmlformats.org/spreadsheetml/2006/main">
  <x:sheetFormatPr defaultRowHeight="15"/>
  <x:cols>
    <x:col min="1" max="1" width="9" hidden="0" customWidth="1"/>
    <x:col min="2" max="2" width="30" hidden="0" customWidth="1"/>
    <x:col min="3" max="3" width="44" hidden="0" customWidth="1"/>
    <x:col min="4" max="4" width="42" hidden="0" customWidth="1"/>
    <x:col min="5" max="5" width="34" hidden="0" customWidth="1"/>
    <x:col min="6" max="6" width="28" hidden="0" customWidth="1"/>
    <x:col min="7" max="7" width="18" hidden="0" customWidth="1"/>
  </x:cols>
  <x:sheetData>
    <x:row r="1">
      <x:c r="A1" s="4254" t="str">
        <x:v>PRECEDENCIA Y RESOLUCIÓN DE CONFLICTOS · RULE ENGINE</x:v>
      </x:c>
      <x:c r="B1" s="4254"/>
      <x:c r="C1" s="4254"/>
      <x:c r="D1" s="4254"/>
      <x:c r="E1" s="4254"/>
      <x:c r="F1" s="4254"/>
      <x:c r="G1" s="4254"/>
    </x:row>
    <x:row r="2">
      <x:c r="A2" s="4255" t="str">
        <x:v>La precedencia evita que una regla comercial, de UX o de conveniencia contradiga seguridad, historia o una máquina de estado. Menor número = mayor autoridad lógica.</x:v>
      </x:c>
      <x:c r="B2" s="4255"/>
      <x:c r="C2" s="4255"/>
      <x:c r="D2" s="4255"/>
      <x:c r="E2" s="4255"/>
      <x:c r="F2" s="4255"/>
      <x:c r="G2" s="4255"/>
    </x:row>
    <x:row r="3">
      <x:c r="A3" s="1277"/>
      <x:c r="B3" s="1277"/>
      <x:c r="C3" s="1277"/>
      <x:c r="D3" s="1277"/>
      <x:c r="E3" s="1277"/>
      <x:c r="F3" s="1277"/>
      <x:c r="G3" s="1277"/>
    </x:row>
    <x:row r="4">
      <x:c r="A4" s="4256" t="str">
        <x:v>Nivel</x:v>
      </x:c>
      <x:c r="B4" s="4256" t="str">
        <x:v>Familia</x:v>
      </x:c>
      <x:c r="C4" s="4256" t="str">
        <x:v>Qué protege</x:v>
      </x:c>
      <x:c r="D4" s="4256" t="str">
        <x:v>Ejemplos</x:v>
      </x:c>
      <x:c r="E4" s="4256" t="str">
        <x:v>Puede ser overrideada</x:v>
      </x:c>
      <x:c r="F4" s="4256" t="str">
        <x:v>Quién/configuración</x:v>
      </x:c>
      <x:c r="G4" s="4256" t="str">
        <x:v>Estado</x:v>
      </x:c>
    </x:row>
    <x:row r="5" ht="62" customHeight="1">
      <x:c r="A5" s="4257" t="str">
        <x:v>P0</x:v>
      </x:c>
      <x:c r="B5" s="1327" t="str">
        <x:v>INVARIANTES / HISTORIA / LINEAGE</x:v>
      </x:c>
      <x:c r="C5" s="1327" t="str">
        <x:v>Identidad histórica, append-only, supersession, separación de verdades.</x:v>
      </x:c>
      <x:c r="D5" s="1327" t="str">
        <x:v>No editar Parte cerrado; invalidar UC si cambia fuente; DecisionTrace.</x:v>
      </x:c>
      <x:c r="E5" s="1327" t="str">
        <x:v>NO mediante regla inferior.</x:v>
      </x:c>
      <x:c r="F5" s="1327" t="str">
        <x:v>Arquitectura / baseline</x:v>
      </x:c>
      <x:c r="G5" s="1327" t="str">
        <x:v>FROZEN</x:v>
      </x:c>
    </x:row>
    <x:row r="6" ht="62" customHeight="1">
      <x:c r="A6" s="4257" t="str">
        <x:v>P1</x:v>
      </x:c>
      <x:c r="B6" s="1327" t="str">
        <x:v>HABILITA / HARD GATES</x:v>
      </x:c>
      <x:c r="C6" s="1327" t="str">
        <x:v>Seguridad, habilitación documental, PTW y emergencias no controladas.</x:v>
      </x:c>
      <x:c r="D6" s="1327" t="str">
        <x:v>Hard block; PTW vigente; override solo si la propia regla lo permite.</x:v>
      </x:c>
      <x:c r="E6" s="1327" t="str">
        <x:v>Solo si la misma regla define excepción + autoridad.</x:v>
      </x:c>
      <x:c r="F6" s="1327" t="str">
        <x:v>Habilita / procedimiento</x:v>
      </x:c>
      <x:c r="G6" s="1327" t="str">
        <x:v>FROZEN estructura</x:v>
      </x:c>
    </x:row>
    <x:row r="7" ht="62" customHeight="1">
      <x:c r="A7" s="4258" t="str">
        <x:v>P2</x:v>
      </x:c>
      <x:c r="B7" s="1327" t="str">
        <x:v>MÁQUINAS DE ESTADO</x:v>
      </x:c>
      <x:c r="C7" s="1327" t="str">
        <x:v>Transiciones válidas y estados terminales.</x:v>
      </x:c>
      <x:c r="D7" s="1327" t="str">
        <x:v>No reabrir UE cerrada; validar cierre; ERP boundary.</x:v>
      </x:c>
      <x:c r="E7" s="1327" t="str">
        <x:v>NO por conveniencia.</x:v>
      </x:c>
      <x:c r="F7" s="1327" t="str">
        <x:v>State machine baseline</x:v>
      </x:c>
      <x:c r="G7" s="1327" t="str">
        <x:v>FROZEN</x:v>
      </x:c>
    </x:row>
    <x:row r="8" ht="62" customHeight="1">
      <x:c r="A8" s="4258" t="str">
        <x:v>P3</x:v>
      </x:c>
      <x:c r="B8" s="1327" t="str">
        <x:v>CONTROL PLANE</x:v>
      </x:c>
      <x:c r="C8" s="1327" t="str">
        <x:v>Instrucciones explícitas post-despacho.</x:v>
      </x:c>
      <x:c r="D8" s="1327" t="str">
        <x:v>Suspender/cancelar/reprogramar mediante DirectivaOperativa.</x:v>
      </x:c>
      <x:c r="E8" s="1327" t="str">
        <x:v>Puede ser sustituida por nueva directiva válida, no por regla inferior.</x:v>
      </x:c>
      <x:c r="F8" s="1327" t="str">
        <x:v>Planificación/Supervisión/Habilita</x:v>
      </x:c>
      <x:c r="G8" s="1327" t="str">
        <x:v>FROZEN</x:v>
      </x:c>
    </x:row>
    <x:row r="9" ht="62" customHeight="1">
      <x:c r="A9" s="4259" t="str">
        <x:v>P4</x:v>
      </x:c>
      <x:c r="B9" s="1327" t="str">
        <x:v>IDENTIDAD / ROUTING</x:v>
      </x:c>
      <x:c r="C9" s="1327" t="str">
        <x:v>Qué objeto existe y cuándo se corta/continúa.</x:v>
      </x:c>
      <x:c r="D9" s="1327" t="str">
        <x:v>TipoParte; work package; nueva UE vs nuevo Parte.</x:v>
      </x:c>
      <x:c r="E9" s="1327" t="str">
        <x:v>Configurable dentro del mismo nivel.</x:v>
      </x:c>
      <x:c r="F9" s="1327" t="str">
        <x:v>TipoParte / servicio / cliente</x:v>
      </x:c>
      <x:c r="G9" s="1327" t="str">
        <x:v>FROZEN estructura</x:v>
      </x:c>
    </x:row>
    <x:row r="10" ht="62" customHeight="1">
      <x:c r="A10" s="4259" t="str">
        <x:v>P5</x:v>
      </x:c>
      <x:c r="B10" s="1327" t="str">
        <x:v>OPERACIÓN / TEMPORAL / READINESS</x:v>
      </x:c>
      <x:c r="C10" s="1327" t="str">
        <x:v>Cómo se registra la realidad y la preparación.</x:v>
      </x:c>
      <x:c r="D10" s="1327" t="str">
        <x:v>Readiness, tiempos, ubicación, asignaciones, triage operativo.</x:v>
      </x:c>
      <x:c r="E10" s="1327" t="str">
        <x:v>Sí mediante configuración más específica del mismo nivel.</x:v>
      </x:c>
      <x:c r="F10" s="1327" t="str">
        <x:v>Operaciones</x:v>
      </x:c>
      <x:c r="G10" s="1327" t="str">
        <x:v>FROZEN estructura</x:v>
      </x:c>
    </x:row>
    <x:row r="11" ht="62" customHeight="1">
      <x:c r="A11" s="4260" t="str">
        <x:v>P6</x:v>
      </x:c>
      <x:c r="B11" s="1327" t="str">
        <x:v>CONTRATO / CERTIFICACIÓN / FACTURACIÓN</x:v>
      </x:c>
      <x:c r="C11" s="1327" t="str">
        <x:v>Cómo se interpreta comercialmente la realidad.</x:v>
      </x:c>
      <x:c r="D11" s="1327" t="str">
        <x:v>Grano UC, tratamiento tiempo, parcialidad, facturación.</x:v>
      </x:c>
      <x:c r="E11" s="1327" t="str">
        <x:v>Sí por contrato/version/configuración específica.</x:v>
      </x:c>
      <x:c r="F11" s="1327" t="str">
        <x:v>ContratoServicio / Item / cliente</x:v>
      </x:c>
      <x:c r="G11" s="1327" t="str">
        <x:v>CONFIGURABLE</x:v>
      </x:c>
    </x:row>
    <x:row r="12" ht="62" customHeight="1">
      <x:c r="A12" s="4260" t="str">
        <x:v>P7</x:v>
      </x:c>
      <x:c r="B12" s="1327" t="str">
        <x:v>UX / AUTOMATIZACIÓN</x:v>
      </x:c>
      <x:c r="C12" s="1327" t="str">
        <x:v>Qué se autoderiva, precarga o confirma.</x:v>
      </x:c>
      <x:c r="D12" s="1327" t="str">
        <x:v>Flash Report, datos precargados, defaults de captura.</x:v>
      </x:c>
      <x:c r="E12" s="1327" t="str">
        <x:v>Sí; nunca puede romper P0-P6.</x:v>
      </x:c>
      <x:c r="F12" s="1327" t="str">
        <x:v>Producto / ruleset de UX</x:v>
      </x:c>
      <x:c r="G12" s="1327" t="str">
        <x:v>CONFIGURABLE</x:v>
      </x:c>
    </x:row>
    <x:row r="13" ht="62" customHeight="1">
      <x:c r="A13" s="4260" t="str">
        <x:v>P8</x:v>
      </x:c>
      <x:c r="B13" s="1327" t="str">
        <x:v>ADVISORY / ANALYTICS</x:v>
      </x:c>
      <x:c r="C13" s="1327" t="str">
        <x:v>Recomendaciones que no cambian verdad ni estado por sí solas.</x:v>
      </x:c>
      <x:c r="D13" s="1327" t="str">
        <x:v>Alertas, sugerencias, scoring futuro.</x:v>
      </x:c>
      <x:c r="E13" s="1327" t="str">
        <x:v>Sí / ignorables.</x:v>
      </x:c>
      <x:c r="F13" s="1327" t="str">
        <x:v>Analítica / IA futura</x:v>
      </x:c>
      <x:c r="G13" s="1327" t="str">
        <x:v>FUERA DEL CORE</x:v>
      </x:c>
    </x:row>
    <x:row r="14">
      <x:c r="A14" s="1277"/>
      <x:c r="B14" s="1277"/>
      <x:c r="C14" s="1277"/>
      <x:c r="D14" s="1277"/>
      <x:c r="E14" s="1277"/>
      <x:c r="F14" s="1277"/>
      <x:c r="G14" s="1277"/>
    </x:row>
    <x:row r="15">
      <x:c r="A15" s="1277"/>
      <x:c r="B15" s="1277"/>
      <x:c r="C15" s="1277"/>
      <x:c r="D15" s="1277"/>
      <x:c r="E15" s="1277"/>
      <x:c r="F15" s="1277"/>
      <x:c r="G15" s="1277"/>
    </x:row>
    <x:row r="16">
      <x:c r="A16" s="4261" t="str">
        <x:v>ALGORITMO DETERMINISTA CUANDO DOS REGLAS APLICAN</x:v>
      </x:c>
      <x:c r="B16" s="4261"/>
      <x:c r="C16" s="4261"/>
      <x:c r="D16" s="4261"/>
      <x:c r="E16" s="4261"/>
      <x:c r="F16" s="4261"/>
      <x:c r="G16" s="4261"/>
    </x:row>
    <x:row r="17" ht="54" customHeight="1">
      <x:c r="A17" s="4259" t="str">
        <x:v>1</x:v>
      </x:c>
      <x:c r="B17" s="4259" t="str">
        <x:v>PRECEDENCIA</x:v>
      </x:c>
      <x:c r="C17" s="1327" t="str">
        <x:v>Gana el menor P. Una regla P6 jamás habilita algo bloqueado por P1.</x:v>
      </x:c>
      <x:c r="D17" s="1327" t="str">
        <x:v>Obligatorio</x:v>
      </x:c>
      <x:c r="E17" s="1327" t="str">
        <x:v>—</x:v>
      </x:c>
      <x:c r="F17" s="1327" t="str">
        <x:v>—</x:v>
      </x:c>
      <x:c r="G17" s="1327" t="str"/>
    </x:row>
    <x:row r="18" ht="54" customHeight="1">
      <x:c r="A18" s="4259" t="str">
        <x:v>2</x:v>
      </x:c>
      <x:c r="B18" s="4259" t="str">
        <x:v>VIGENCIA TEMPORAL</x:v>
      </x:c>
      <x:c r="C18" s="1327" t="str">
        <x:v>Usar la versión efectiva al timestamp del hecho/decisión, no la configuración actual.</x:v>
      </x:c>
      <x:c r="D18" s="1327" t="str">
        <x:v>Obligatorio</x:v>
      </x:c>
      <x:c r="E18" s="1327" t="str">
        <x:v>—</x:v>
      </x:c>
      <x:c r="F18" s="1327" t="str">
        <x:v>—</x:v>
      </x:c>
      <x:c r="G18" s="1327" t="str"/>
    </x:row>
    <x:row r="19" ht="54" customHeight="1">
      <x:c r="A19" s="4259" t="str">
        <x:v>3</x:v>
      </x:c>
      <x:c r="B19" s="4259" t="str">
        <x:v>ESPECIFICIDAD DE SCOPE</x:v>
      </x:c>
      <x:c r="C19" s="1327" t="str">
        <x:v>A igual precedencia: Item/ContratoServicio/cliente específico &gt; servicio/TipoParte &gt; global.</x:v>
      </x:c>
      <x:c r="D19" s="1327" t="str">
        <x:v>Obligatorio</x:v>
      </x:c>
      <x:c r="E19" s="1327" t="str">
        <x:v>—</x:v>
      </x:c>
      <x:c r="F19" s="1327" t="str">
        <x:v>—</x:v>
      </x:c>
      <x:c r="G19" s="1327" t="str"/>
    </x:row>
    <x:row r="20" ht="54" customHeight="1">
      <x:c r="A20" s="4259" t="str">
        <x:v>4</x:v>
      </x:c>
      <x:c r="B20" s="4259" t="str">
        <x:v>MATCH DE CONTEXTO</x:v>
      </x:c>
      <x:c r="C20" s="1327" t="str">
        <x:v>Regla con estado/trigger/contexto exacto &gt; regla broad/default.</x:v>
      </x:c>
      <x:c r="D20" s="1327" t="str">
        <x:v>Obligatorio</x:v>
      </x:c>
      <x:c r="E20" s="1327" t="str">
        <x:v>—</x:v>
      </x:c>
      <x:c r="F20" s="1327" t="str">
        <x:v>—</x:v>
      </x:c>
      <x:c r="G20" s="1327" t="str"/>
    </x:row>
    <x:row r="21" ht="54" customHeight="1">
      <x:c r="A21" s="4259" t="str">
        <x:v>5</x:v>
      </x:c>
      <x:c r="B21" s="4259" t="str">
        <x:v>CONFIGURACIÓN EXPLÍCITA</x:v>
      </x:c>
      <x:c r="C21" s="1327" t="str">
        <x:v>Regla configurada/validada &gt; default contract-agnostic, si ambas están permitidas por la misma precedencia.</x:v>
      </x:c>
      <x:c r="D21" s="1327" t="str">
        <x:v>Obligatorio</x:v>
      </x:c>
      <x:c r="E21" s="1327" t="str">
        <x:v>—</x:v>
      </x:c>
      <x:c r="F21" s="1327" t="str">
        <x:v>—</x:v>
      </x:c>
      <x:c r="G21" s="1327" t="str"/>
    </x:row>
    <x:row r="22" ht="54" customHeight="1">
      <x:c r="A22" s="4259" t="str">
        <x:v>6</x:v>
      </x:c>
      <x:c r="B22" s="4259" t="str">
        <x:v>DENY VS ALLOW EN MISMO NIVEL</x:v>
      </x:c>
      <x:c r="C22" s="1327" t="str">
        <x:v>Si dos reglas igualmente específicas producen decisiones incompatibles y no hay prioridad explícita: FAIL CLOSED / BLOQUEAR Y ESCALAR.</x:v>
      </x:c>
      <x:c r="D22" s="1327" t="str">
        <x:v>Obligatorio</x:v>
      </x:c>
      <x:c r="E22" s="1327" t="str">
        <x:v>—</x:v>
      </x:c>
      <x:c r="F22" s="1327" t="str">
        <x:v>—</x:v>
      </x:c>
      <x:c r="G22" s="1327" t="str"/>
    </x:row>
    <x:row r="23" ht="54" customHeight="1">
      <x:c r="A23" s="4259" t="str">
        <x:v>7</x:v>
      </x:c>
      <x:c r="B23" s="4259" t="str">
        <x:v>OVERRIDE</x:v>
      </x:c>
      <x:c r="C23" s="1327" t="str">
        <x:v>Un override no 'vence' una regla superior: solo satisface una excepción que esa misma regla declaró overrideable.</x:v>
      </x:c>
      <x:c r="D23" s="1327" t="str">
        <x:v>Obligatorio</x:v>
      </x:c>
      <x:c r="E23" s="1327" t="str">
        <x:v>—</x:v>
      </x:c>
      <x:c r="F23" s="1327" t="str">
        <x:v>—</x:v>
      </x:c>
      <x:c r="G23" s="1327" t="str"/>
    </x:row>
    <x:row r="24" ht="54" customHeight="1">
      <x:c r="A24" s="4259" t="str">
        <x:v>8</x:v>
      </x:c>
      <x:c r="B24" s="4259" t="str">
        <x:v>TRACE</x:v>
      </x:c>
      <x:c r="C24" s="1327" t="str">
        <x:v>Persistir reglas candidatas, descartadas por precedencia, regla ganadora, resultado y actor.</x:v>
      </x:c>
      <x:c r="D24" s="1327" t="str">
        <x:v>Obligatorio</x:v>
      </x:c>
      <x:c r="E24" s="1327" t="str">
        <x:v>DecisionTrace</x:v>
      </x:c>
      <x:c r="F24" s="1327" t="str">
        <x:v>—</x:v>
      </x:c>
      <x:c r="G24" s="1327" t="str"/>
    </x:row>
    <x:row r="25">
      <x:c r="A25" s="1277"/>
      <x:c r="B25" s="1277"/>
      <x:c r="C25" s="1277"/>
      <x:c r="D25" s="1277"/>
      <x:c r="E25" s="1277"/>
      <x:c r="F25" s="1277"/>
      <x:c r="G25" s="1277"/>
    </x:row>
    <x:row r="26">
      <x:c r="A26" s="1277"/>
      <x:c r="B26" s="1277"/>
      <x:c r="C26" s="1277"/>
      <x:c r="D26" s="1277"/>
      <x:c r="E26" s="1277"/>
      <x:c r="F26" s="1277"/>
      <x:c r="G26" s="1277"/>
    </x:row>
    <x:row r="27">
      <x:c r="A27" s="4261" t="str">
        <x:v>ANTIPATRONES QUE EL MOTOR DEBE IMPEDIR</x:v>
      </x:c>
      <x:c r="B27" s="4261"/>
      <x:c r="C27" s="4261"/>
      <x:c r="D27" s="4261"/>
      <x:c r="E27" s="4261"/>
      <x:c r="F27" s="4261"/>
      <x:c r="G27" s="4261"/>
    </x:row>
    <x:row r="28" ht="56" customHeight="1">
      <x:c r="A28" s="1327" t="str">
        <x:v>AP-01</x:v>
      </x:c>
      <x:c r="B28" s="1327" t="str">
        <x:v>Commercial overrides Habilita</x:v>
      </x:c>
      <x:c r="C28" s="1327" t="str">
        <x:v>“El contrato paga, entonces dejá iniciar sin PTW.”</x:v>
      </x:c>
      <x:c r="D28" s="4257" t="str">
        <x:v>PROHIBIDO</x:v>
      </x:c>
      <x:c r="E28" s="1327" t="str">
        <x:v>P1 domina P6</x:v>
      </x:c>
      <x:c r="F28" s="1327" t="str"/>
      <x:c r="G28" s="1327" t="str"/>
    </x:row>
    <x:row r="29" ht="56" customHeight="1">
      <x:c r="A29" s="1327" t="str">
        <x:v>AP-02</x:v>
      </x:c>
      <x:c r="B29" s="1327" t="str">
        <x:v>Current rules rewrite history</x:v>
      </x:c>
      <x:c r="C29" s="1327" t="str">
        <x:v>Recalcular una decisión de ayer con reglas de hoy y reemplazar el resultado histórico.</x:v>
      </x:c>
      <x:c r="D29" s="4257" t="str">
        <x:v>PROHIBIDO</x:v>
      </x:c>
      <x:c r="E29" s="1327" t="str">
        <x:v>Usar versión efectiva + nueva decisión</x:v>
      </x:c>
      <x:c r="F29" s="1327" t="str"/>
      <x:c r="G29" s="1327" t="str"/>
    </x:row>
    <x:row r="30" ht="56" customHeight="1">
      <x:c r="A30" s="1327" t="str">
        <x:v>AP-03</x:v>
      </x:c>
      <x:c r="B30" s="1327" t="str">
        <x:v>UI default creates truth</x:v>
      </x:c>
      <x:c r="C30" s="1327" t="str">
        <x:v>Un campo precargado no confirmado se vuelve realidad aunque contexto sea ambiguo.</x:v>
      </x:c>
      <x:c r="D30" s="4257" t="str">
        <x:v>PROHIBIDO</x:v>
      </x:c>
      <x:c r="E30" s="1327" t="str">
        <x:v>Derivado debe tener confianza/origen/confirmación según regla</x:v>
      </x:c>
      <x:c r="F30" s="1327" t="str"/>
      <x:c r="G30" s="1327" t="str"/>
    </x:row>
    <x:row r="31" ht="56" customHeight="1">
      <x:c r="A31" s="1327" t="str">
        <x:v>AP-04</x:v>
      </x:c>
      <x:c r="B31" s="1327" t="str">
        <x:v>Warning = permission</x:v>
      </x:c>
      <x:c r="C31" s="1327" t="str">
        <x:v>Mostrar warning y continuar automáticamente.</x:v>
      </x:c>
      <x:c r="D31" s="4257" t="str">
        <x:v>PROHIBIDO</x:v>
      </x:c>
      <x:c r="E31" s="1327" t="str">
        <x:v>OverrideGate si la regla lo admite</x:v>
      </x:c>
      <x:c r="F31" s="1327" t="str"/>
      <x:c r="G31" s="1327" t="str"/>
    </x:row>
    <x:row r="32" ht="56" customHeight="1">
      <x:c r="A32" s="1327" t="str">
        <x:v>AP-05</x:v>
      </x:c>
      <x:c r="B32" s="1327" t="str">
        <x:v>One giant rule</x:v>
      </x:c>
      <x:c r="C32" s="1327" t="str">
        <x:v>Una regla mezcla ruteo, safety, corte y comercial en una condición enorme.</x:v>
      </x:c>
      <x:c r="D32" s="4257" t="str">
        <x:v>PROHIBIDO</x:v>
      </x:c>
      <x:c r="E32" s="1327" t="str">
        <x:v>Separar por dominio/precedencia y dejar trace causal</x:v>
      </x:c>
      <x:c r="F32" s="1327" t="str"/>
      <x:c r="G32" s="1327" t="str"/>
    </x:row>
    <x:row r="33" ht="56" customHeight="1">
      <x:c r="A33" s="1327" t="str">
        <x:v>AP-06</x:v>
      </x:c>
      <x:c r="B33" s="1327" t="str">
        <x:v>Silent fallback</x:v>
      </x:c>
      <x:c r="C33" s="1327" t="str">
        <x:v>Si falta contrato/CC/Item, usar códigos comodín.</x:v>
      </x:c>
      <x:c r="D33" s="4257" t="str">
        <x:v>PROHIBIDO</x:v>
      </x:c>
      <x:c r="E33" s="1327" t="str">
        <x:v>estado_contexto_contractual=PENDIENTE/AMBIGUO</x:v>
      </x:c>
      <x:c r="F33" s="1327" t="str"/>
      <x:c r="G33" s="1327" t="str"/>
    </x:row>
  </x:sheetData>
  <x:mergeCells>
    <x:mergeCell ref="A1:G1"/>
    <x:mergeCell ref="A2:G2"/>
    <x:mergeCell ref="A16:G16"/>
    <x:mergeCell ref="A27:G27"/>
  </x:mergeCells>
  <x:pageMargins left="0.7" right="0.7" top="0.75" bottom="0.75" header="0.3" footer="0.3"/>
</x:worksheet>
</file>

<file path=xl/worksheets/sheet61.xml><?xml version="1.0" encoding="utf-8"?>
<x:worksheet xmlns:x="http://schemas.openxmlformats.org/spreadsheetml/2006/main">
  <x:sheetFormatPr defaultRowHeight="15"/>
  <x:cols>
    <x:col min="1" max="1" width="10" hidden="0" customWidth="1"/>
    <x:col min="2" max="2" width="18" hidden="0" customWidth="1"/>
    <x:col min="3" max="3" width="9" hidden="0" customWidth="1"/>
    <x:col min="4" max="4" width="18" hidden="0" customWidth="1"/>
    <x:col min="5" max="5" width="23" hidden="0" customWidth="1"/>
    <x:col min="6" max="6" width="23" hidden="0" customWidth="1"/>
    <x:col min="7" max="7" width="25" hidden="0" customWidth="1"/>
    <x:col min="8" max="8" width="44" hidden="0" customWidth="1"/>
    <x:col min="9" max="9" width="42" hidden="0" customWidth="1"/>
    <x:col min="10" max="10" width="22" hidden="0" customWidth="1"/>
    <x:col min="11" max="11" width="30" hidden="0" customWidth="1"/>
    <x:col min="12" max="12" width="18" hidden="0" customWidth="1"/>
    <x:col min="13" max="13" width="26" hidden="0" customWidth="1"/>
  </x:cols>
  <x:sheetData>
    <x:row r="1">
      <x:c r="A1" s="4242" t="str">
        <x:v>REGLAS · PLANIFICACIÓN / READINESS</x:v>
      </x:c>
      <x:c r="B1" s="4242"/>
      <x:c r="C1" s="4242"/>
      <x:c r="D1" s="4242"/>
      <x:c r="E1" s="4242"/>
      <x:c r="F1" s="4242"/>
      <x:c r="G1" s="4242"/>
      <x:c r="H1" s="4242"/>
      <x:c r="I1" s="4242"/>
      <x:c r="J1" s="4242"/>
      <x:c r="K1" s="4242"/>
      <x:c r="L1" s="4242"/>
      <x:c r="M1" s="4242"/>
    </x:row>
    <x:row r="2">
      <x:c r="A2" s="4243" t="str">
        <x:v>20 reglas. Vista operativa derivada de 57_Matriz_Maestra_Reglas; la fuente canónica es la matriz maestra.</x:v>
      </x:c>
      <x:c r="B2" s="4243"/>
      <x:c r="C2" s="4243"/>
      <x:c r="D2" s="4243"/>
      <x:c r="E2" s="4243"/>
      <x:c r="F2" s="4243"/>
      <x:c r="G2" s="4243"/>
      <x:c r="H2" s="4243"/>
      <x:c r="I2" s="4243"/>
      <x:c r="J2" s="4243"/>
      <x:c r="K2" s="4243"/>
      <x:c r="L2" s="4243"/>
      <x:c r="M2" s="4243"/>
    </x:row>
    <x:row r="3">
      <x:c r="A3" s="3945"/>
      <x:c r="B3" s="3945"/>
      <x:c r="C3" s="3945"/>
      <x:c r="D3" s="3945"/>
      <x:c r="E3" s="3945"/>
      <x:c r="F3" s="3945"/>
      <x:c r="G3" s="3945"/>
      <x:c r="H3" s="3945"/>
      <x:c r="I3" s="3945"/>
      <x:c r="J3" s="3945"/>
      <x:c r="K3" s="3945"/>
      <x:c r="L3" s="3945"/>
      <x:c r="M3" s="3945"/>
    </x:row>
    <x:row r="4">
      <x:c r="A4" s="4244" t="str">
        <x:v>Rule ID</x:v>
      </x:c>
      <x:c r="B4" s="4244" t="str">
        <x:v>Dominio</x:v>
      </x:c>
      <x:c r="C4" s="4244" t="str">
        <x:v>Prec.</x:v>
      </x:c>
      <x:c r="D4" s="4244" t="str">
        <x:v>Clase</x:v>
      </x:c>
      <x:c r="E4" s="4244" t="str">
        <x:v>Sujeto</x:v>
      </x:c>
      <x:c r="F4" s="4244" t="str">
        <x:v>Trigger</x:v>
      </x:c>
      <x:c r="G4" s="4244" t="str">
        <x:v>Estado/contexto</x:v>
      </x:c>
      <x:c r="H4" s="4244" t="str">
        <x:v>Condición</x:v>
      </x:c>
      <x:c r="I4" s="4244" t="str">
        <x:v>Decisión</x:v>
      </x:c>
      <x:c r="J4" s="4244" t="str">
        <x:v>Destino</x:v>
      </x:c>
      <x:c r="K4" s="4244" t="str">
        <x:v>Side effects</x:v>
      </x:c>
      <x:c r="L4" s="4244" t="str">
        <x:v>Fuerza</x:v>
      </x:c>
      <x:c r="M4" s="4244" t="str">
        <x:v>Scope</x:v>
      </x:c>
    </x:row>
    <x:row r="5" ht="74" customHeight="1">
      <x:c r="A5" s="3947" t="str">
        <x:v>RUL-001</x:v>
      </x:c>
      <x:c r="B5" s="3947" t="str">
        <x:v>CONFIG / ROUTING</x:v>
      </x:c>
      <x:c r="C5" s="4245" t="str">
        <x:v>P4</x:v>
      </x:c>
      <x:c r="D5" s="3947" t="str">
        <x:v>ROUTE</x:v>
      </x:c>
      <x:c r="E5" s="3947" t="str">
        <x:v>Parte</x:v>
      </x:c>
      <x:c r="F5" s="3947" t="str">
        <x:v>BEFORE_CREATE</x:v>
      </x:c>
      <x:c r="G5" s="3947" t="str">
        <x:v>—</x:v>
      </x:c>
      <x:c r="H5" s="3947" t="str">
        <x:v>Existe perfil operativo + contexto planificado/real suficiente</x:v>
      </x:c>
      <x:c r="I5" s="3947" t="str">
        <x:v>DERIVAR tipo_parte_id mediante ruleset; no pedir selector libre como camino normal</x:v>
      </x:c>
      <x:c r="J5" s="3947" t="str">
        <x:v>—</x:v>
      </x:c>
      <x:c r="K5" s="3947" t="str">
        <x:v>DecisionTrace + tipo_parte_id</x:v>
      </x:c>
      <x:c r="L5" s="4246" t="str">
        <x:v>REQUIRED</x:v>
      </x:c>
      <x:c r="M5" s="3947" t="str">
        <x:v>Global / TipoParte / servicio</x:v>
      </x:c>
    </x:row>
    <x:row r="6" ht="74" customHeight="1">
      <x:c r="A6" s="3947" t="str">
        <x:v>RUL-002</x:v>
      </x:c>
      <x:c r="B6" s="3947" t="str">
        <x:v>CONFIG / ROUTING</x:v>
      </x:c>
      <x:c r="C6" s="4245" t="str">
        <x:v>P4</x:v>
      </x:c>
      <x:c r="D6" s="3947" t="str">
        <x:v>ROUTE_FALLBACK</x:v>
      </x:c>
      <x:c r="E6" s="3947" t="str">
        <x:v>Parte</x:v>
      </x:c>
      <x:c r="F6" s="3947" t="str">
        <x:v>ROUTING_AMBIGUOUS</x:v>
      </x:c>
      <x:c r="G6" s="3947" t="str">
        <x:v>—</x:v>
      </x:c>
      <x:c r="H6" s="3947" t="str">
        <x:v>Más de un TipoParte es compatible o faltan datos discriminantes</x:v>
      </x:c>
      <x:c r="I6" s="3947" t="str">
        <x:v>PEDIR confirmación mínima o escalar a supervisor; registrar candidatos y motivo</x:v>
      </x:c>
      <x:c r="J6" s="3947" t="str">
        <x:v>—</x:v>
      </x:c>
      <x:c r="K6" s="3947" t="str">
        <x:v>DecisionTrace</x:v>
      </x:c>
      <x:c r="L6" s="4247" t="str">
        <x:v>WARN/BLOCK según riesgo</x:v>
      </x:c>
      <x:c r="M6" s="3947" t="str">
        <x:v>Ruleset de ruteo</x:v>
      </x:c>
    </x:row>
    <x:row r="7" ht="74" customHeight="1">
      <x:c r="A7" s="3947" t="str">
        <x:v>RUL-003</x:v>
      </x:c>
      <x:c r="B7" s="3947" t="str">
        <x:v>CONFIG / IDENTITY</x:v>
      </x:c>
      <x:c r="C7" s="4245" t="str">
        <x:v>P4</x:v>
      </x:c>
      <x:c r="D7" s="3947" t="str">
        <x:v>IDENTITY</x:v>
      </x:c>
      <x:c r="E7" s="3947" t="str">
        <x:v>TP-01</x:v>
      </x:c>
      <x:c r="F7" s="3947" t="str">
        <x:v>CHANGE_CONTEXT</x:v>
      </x:c>
      <x:c r="G7" s="3947" t="str">
        <x:v>PREPARADO / EN_EJECUCION / SUSPENDIDO</x:v>
      </x:c>
      <x:c r="H7" s="3947" t="str">
        <x:v>Mismo work package/objetivo operacional</x:v>
      </x:c>
      <x:c r="I7" s="3947" t="str">
        <x:v>MANTENER mismo TP-01 salvo ReglaCorte configurada aplicable</x:v>
      </x:c>
      <x:c r="J7" s="3947" t="str">
        <x:v>sin cambio</x:v>
      </x:c>
      <x:c r="K7" s="3947" t="str">
        <x:v>EventoOperativo si cambió contexto</x:v>
      </x:c>
      <x:c r="L7" s="4246" t="str">
        <x:v>REQUIRED</x:v>
      </x:c>
      <x:c r="M7" s="3947" t="str">
        <x:v>TipoParte + ContratoServicio</x:v>
      </x:c>
    </x:row>
    <x:row r="8" ht="74" customHeight="1">
      <x:c r="A8" s="3947" t="str">
        <x:v>RUL-004</x:v>
      </x:c>
      <x:c r="B8" s="3947" t="str">
        <x:v>CONFIG / IDENTITY</x:v>
      </x:c>
      <x:c r="C8" s="4245" t="str">
        <x:v>P4</x:v>
      </x:c>
      <x:c r="D8" s="3947" t="str">
        <x:v>CUT</x:v>
      </x:c>
      <x:c r="E8" s="3947" t="str">
        <x:v>TP-01</x:v>
      </x:c>
      <x:c r="F8" s="3947" t="str">
        <x:v>WORK_PACKAGE_CHANGED</x:v>
      </x:c>
      <x:c r="G8" s="3947" t="str">
        <x:v>PREPARADO / EN_EJECUCION / SUSPENDIDO</x:v>
      </x:c>
      <x:c r="H8" s="3947" t="str">
        <x:v>El objetivo/work package pasa a ser independiente</x:v>
      </x:c>
      <x:c r="I8" s="3947" t="str">
        <x:v>CERRAR/TERMINAR alcance actual según estado y CREAR nuevo TP-01</x:v>
      </x:c>
      <x:c r="J8" s="3947" t="str">
        <x:v>según máquina</x:v>
      </x:c>
      <x:c r="K8" s="3947" t="str">
        <x:v>Nuevo Parte + VinculoPlanEjecucion si aplica</x:v>
      </x:c>
      <x:c r="L8" s="4246" t="str">
        <x:v>REQUIRED</x:v>
      </x:c>
      <x:c r="M8" s="3947" t="str">
        <x:v>TipoParte / servicio</x:v>
      </x:c>
    </x:row>
    <x:row r="9" ht="74" customHeight="1">
      <x:c r="A9" s="3947" t="str">
        <x:v>RUL-005</x:v>
      </x:c>
      <x:c r="B9" s="3947" t="str">
        <x:v>CONFIG / IDENTITY</x:v>
      </x:c>
      <x:c r="C9" s="4245" t="str">
        <x:v>P4</x:v>
      </x:c>
      <x:c r="D9" s="3947" t="str">
        <x:v>NO_CUT_DEFAULT</x:v>
      </x:c>
      <x:c r="E9" s="3947" t="str">
        <x:v>TP-01</x:v>
      </x:c>
      <x:c r="F9" s="3947" t="str">
        <x:v>SHIFT_CHANGED</x:v>
      </x:c>
      <x:c r="G9" s="3947" t="str">
        <x:v>EN_EJECUCION / SUSPENDIDO</x:v>
      </x:c>
      <x:c r="H9" s="3947" t="str">
        <x:v>No existe ReglaCorte específica que obligue split</x:v>
      </x:c>
      <x:c r="I9" s="3947" t="str">
        <x:v>MANTENER Parte + generar handover + cerrar/abrir intervalos + revalidar gates</x:v>
      </x:c>
      <x:c r="J9" s="3947" t="str">
        <x:v>sin cambio</x:v>
      </x:c>
      <x:c r="K9" s="3947" t="str">
        <x:v>EventoHandover / asignaciones temporales / reevaluación PTW</x:v>
      </x:c>
      <x:c r="L9" s="4246" t="str">
        <x:v>REQUIRED</x:v>
      </x:c>
      <x:c r="M9" s="3947" t="str">
        <x:v>TipoParte / cliente / servicio</x:v>
      </x:c>
    </x:row>
    <x:row r="10" ht="74" customHeight="1">
      <x:c r="A10" s="3947" t="str">
        <x:v>RUL-006</x:v>
      </x:c>
      <x:c r="B10" s="3947" t="str">
        <x:v>CONFIG / IDENTITY</x:v>
      </x:c>
      <x:c r="C10" s="4245" t="str">
        <x:v>P4</x:v>
      </x:c>
      <x:c r="D10" s="3947" t="str">
        <x:v>NO_CUT_DEFAULT</x:v>
      </x:c>
      <x:c r="E10" s="3947" t="str">
        <x:v>Parte / UE</x:v>
      </x:c>
      <x:c r="F10" s="3947" t="str">
        <x:v>RESOURCE_CHANGED</x:v>
      </x:c>
      <x:c r="G10" s="3947" t="str">
        <x:v>PREPARADO / EN_EJECUCION / SUSPENDIDO</x:v>
      </x:c>
      <x:c r="H10" s="3947" t="str">
        <x:v>El recurso nuevo apoya misma unidad de trabajo</x:v>
      </x:c>
      <x:c r="I10" s="3947" t="str">
        <x:v>NO crear nuevo Parte; actualizar AsignacionRecursoEjecucion</x:v>
      </x:c>
      <x:c r="J10" s="3947" t="str">
        <x:v>sin cambio</x:v>
      </x:c>
      <x:c r="K10" s="3947" t="str">
        <x:v>AsignacionRecursoEjecucion</x:v>
      </x:c>
      <x:c r="L10" s="4246" t="str">
        <x:v>REQUIRED</x:v>
      </x:c>
      <x:c r="M10" s="3947" t="str">
        <x:v>TipoParte / servicio</x:v>
      </x:c>
    </x:row>
    <x:row r="11" ht="74" customHeight="1">
      <x:c r="A11" s="3947" t="str">
        <x:v>RUL-007</x:v>
      </x:c>
      <x:c r="B11" s="3947" t="str">
        <x:v>CONFIG / IDENTITY</x:v>
      </x:c>
      <x:c r="C11" s="4245" t="str">
        <x:v>P4</x:v>
      </x:c>
      <x:c r="D11" s="3947" t="str">
        <x:v>CREATE_CHILD</x:v>
      </x:c>
      <x:c r="E11" s="3947" t="str">
        <x:v>UnidadEjecucion</x:v>
      </x:c>
      <x:c r="F11" s="3947" t="str">
        <x:v>INDEPENDENT_SUBWORK_DETECTED</x:v>
      </x:c>
      <x:c r="G11" s="3947" t="str">
        <x:v>Parte no terminal</x:v>
      </x:c>
      <x:c r="H11" s="3947" t="str">
        <x:v>Mismo work package pero existe subtrabajo autónomo/resultado distinguible</x:v>
      </x:c>
      <x:c r="I11" s="3947" t="str">
        <x:v>CREAR nueva UnidadEjecucion dentro del mismo Parte</x:v>
      </x:c>
      <x:c r="J11" s="3947" t="str">
        <x:v>PENDIENTE</x:v>
      </x:c>
      <x:c r="K11" s="3947" t="str">
        <x:v>UnidadEjecucion</x:v>
      </x:c>
      <x:c r="L11" s="4246" t="str">
        <x:v>REQUIRED</x:v>
      </x:c>
      <x:c r="M11" s="3947" t="str">
        <x:v>TipoParte / servicio</x:v>
      </x:c>
    </x:row>
    <x:row r="12" ht="74" customHeight="1">
      <x:c r="A12" s="3947" t="str">
        <x:v>RUL-008</x:v>
      </x:c>
      <x:c r="B12" s="3947" t="str">
        <x:v>CONFIG / IDENTITY</x:v>
      </x:c>
      <x:c r="C12" s="4245" t="str">
        <x:v>P4</x:v>
      </x:c>
      <x:c r="D12" s="3947" t="str">
        <x:v>NO_CUT_DEFAULT</x:v>
      </x:c>
      <x:c r="E12" s="3947" t="str">
        <x:v>Parte</x:v>
      </x:c>
      <x:c r="F12" s="3947" t="str">
        <x:v>LOCATION_CHANGED</x:v>
      </x:c>
      <x:c r="G12" s="3947" t="str">
        <x:v>PREPARADO / EN_EJECUCION / SUSPENDIDO</x:v>
      </x:c>
      <x:c r="H12" s="3947" t="str">
        <x:v>TipoParte no define ubicación como driver de corte</x:v>
      </x:c>
      <x:c r="I12" s="3947" t="str">
        <x:v>NO cortar automáticamente; registrar ubicación/transición y evaluar regla específica</x:v>
      </x:c>
      <x:c r="J12" s="3947" t="str">
        <x:v>sin cambio</x:v>
      </x:c>
      <x:c r="K12" s="3947" t="str">
        <x:v>EjecucionUbicacion / TransicionOperativa</x:v>
      </x:c>
      <x:c r="L12" s="4246" t="str">
        <x:v>REQUIRED</x:v>
      </x:c>
      <x:c r="M12" s="3947" t="str">
        <x:v>TipoParte / servicio</x:v>
      </x:c>
    </x:row>
    <x:row r="13" ht="74" customHeight="1">
      <x:c r="A13" s="3947" t="str">
        <x:v>RUL-009</x:v>
      </x:c>
      <x:c r="B13" s="3947" t="str">
        <x:v>PLANIFICACIÓN</x:v>
      </x:c>
      <x:c r="C13" s="4245" t="str">
        <x:v>P5</x:v>
      </x:c>
      <x:c r="D13" s="3947" t="str">
        <x:v>CREATE</x:v>
      </x:c>
      <x:c r="E13" s="3947" t="str">
        <x:v>Planificacion</x:v>
      </x:c>
      <x:c r="F13" s="3947" t="str">
        <x:v>DEMAND_ACCEPTED</x:v>
      </x:c>
      <x:c r="G13" s="3947" t="str">
        <x:v>—</x:v>
      </x:c>
      <x:c r="H13" s="3947" t="str">
        <x:v>Demanda válida y no duplicada</x:v>
      </x:c>
      <x:c r="I13" s="3947" t="str">
        <x:v>CREAR Planificacion ABIERTA</x:v>
      </x:c>
      <x:c r="J13" s="3947" t="str">
        <x:v>ABIERTA</x:v>
      </x:c>
      <x:c r="K13" s="3947" t="str">
        <x:v>Planificacion</x:v>
      </x:c>
      <x:c r="L13" s="4246" t="str">
        <x:v>REQUIRED</x:v>
      </x:c>
      <x:c r="M13" s="3947" t="str">
        <x:v>Global</x:v>
      </x:c>
    </x:row>
    <x:row r="14" ht="74" customHeight="1">
      <x:c r="A14" s="3947" t="str">
        <x:v>RUL-010</x:v>
      </x:c>
      <x:c r="B14" s="3947" t="str">
        <x:v>PLANIFICACIÓN</x:v>
      </x:c>
      <x:c r="C14" s="4247" t="str">
        <x:v>P2</x:v>
      </x:c>
      <x:c r="D14" s="3947" t="str">
        <x:v>TRANSITION_GUARD</x:v>
      </x:c>
      <x:c r="E14" s="3947" t="str">
        <x:v>PlanificacionVersion</x:v>
      </x:c>
      <x:c r="F14" s="3947" t="str">
        <x:v>APPROVE_VERSION</x:v>
      </x:c>
      <x:c r="G14" s="3947" t="str">
        <x:v>BORRADOR / EN_VALIDACION</x:v>
      </x:c>
      <x:c r="H14" s="3947" t="str">
        <x:v>Asignaciones consistentes + no errores críticos + reglas/catálogos versionados</x:v>
      </x:c>
      <x:c r="I14" s="3947" t="str">
        <x:v>PERMITIR APROBADA; congelar snapshot</x:v>
      </x:c>
      <x:c r="J14" s="3947" t="str">
        <x:v>APROBADA</x:v>
      </x:c>
      <x:c r="K14" s="3947" t="str">
        <x:v>DecisionTrace</x:v>
      </x:c>
      <x:c r="L14" s="4248" t="str">
        <x:v>HARD_GATE</x:v>
      </x:c>
      <x:c r="M14" s="3947" t="str">
        <x:v>Planificación</x:v>
      </x:c>
    </x:row>
    <x:row r="15" ht="74" customHeight="1">
      <x:c r="A15" s="3947" t="str">
        <x:v>RUL-011</x:v>
      </x:c>
      <x:c r="B15" s="3947" t="str">
        <x:v>PLANIFICACIÓN</x:v>
      </x:c>
      <x:c r="C15" s="4245" t="str">
        <x:v>P5</x:v>
      </x:c>
      <x:c r="D15" s="3947" t="str">
        <x:v>DERIVE</x:v>
      </x:c>
      <x:c r="E15" s="3947" t="str">
        <x:v>UnidadPlanificada</x:v>
      </x:c>
      <x:c r="F15" s="3947" t="str">
        <x:v>BUILD_REQUIREMENTS</x:v>
      </x:c>
      <x:c r="G15" s="3947" t="str">
        <x:v>—</x:v>
      </x:c>
      <x:c r="H15" s="3947" t="str">
        <x:v>Servicio/actividad/contexto conocidos</x:v>
      </x:c>
      <x:c r="I15" s="3947" t="str">
        <x:v>DERIVAR RequerimientoRecurso y RequerimientoCompetencia desde configuración</x:v>
      </x:c>
      <x:c r="J15" s="3947" t="str">
        <x:v>—</x:v>
      </x:c>
      <x:c r="K15" s="3947" t="str">
        <x:v>Requerimientos</x:v>
      </x:c>
      <x:c r="L15" s="4246" t="str">
        <x:v>REQUIRED</x:v>
      </x:c>
      <x:c r="M15" s="3947" t="str">
        <x:v>Servicio / TipoParte previsto</x:v>
      </x:c>
    </x:row>
    <x:row r="16" ht="74" customHeight="1">
      <x:c r="A16" s="3947" t="str">
        <x:v>RUL-012</x:v>
      </x:c>
      <x:c r="B16" s="3947" t="str">
        <x:v>PLANIFICACIÓN</x:v>
      </x:c>
      <x:c r="C16" s="4245" t="str">
        <x:v>P5</x:v>
      </x:c>
      <x:c r="D16" s="3947" t="str">
        <x:v>MATCH</x:v>
      </x:c>
      <x:c r="E16" s="3947" t="str">
        <x:v>AsignacionPlanificada</x:v>
      </x:c>
      <x:c r="F16" s="3947" t="str">
        <x:v>NOMINATE</x:v>
      </x:c>
      <x:c r="G16" s="3947" t="str">
        <x:v>PROGRAMADA</x:v>
      </x:c>
      <x:c r="H16" s="3947" t="str">
        <x:v>Recurso/persona cumple requisitos, disponibilidad y competencias vigentes</x:v>
      </x:c>
      <x:c r="I16" s="3947" t="str">
        <x:v>PERMITIR nominación</x:v>
      </x:c>
      <x:c r="J16" s="3947" t="str">
        <x:v>PROGRAMADA</x:v>
      </x:c>
      <x:c r="K16" s="3947" t="str">
        <x:v>AsignacionPersonaPlanificada / AsignacionRecursoPlanificada</x:v>
      </x:c>
      <x:c r="L16" s="4248" t="str">
        <x:v>HARD_GATE</x:v>
      </x:c>
      <x:c r="M16" s="3947" t="str">
        <x:v>Plan/servicio</x:v>
      </x:c>
    </x:row>
    <x:row r="17" ht="74" customHeight="1">
      <x:c r="A17" s="3947" t="str">
        <x:v>RUL-013</x:v>
      </x:c>
      <x:c r="B17" s="3947" t="str">
        <x:v>PLANIFICACIÓN</x:v>
      </x:c>
      <x:c r="C17" s="4248" t="str">
        <x:v>P1</x:v>
      </x:c>
      <x:c r="D17" s="3947" t="str">
        <x:v>READINESS_BLOCK</x:v>
      </x:c>
      <x:c r="E17" s="3947" t="str">
        <x:v>AsignacionPlanificada</x:v>
      </x:c>
      <x:c r="F17" s="3947" t="str">
        <x:v>EVALUATE_READINESS</x:v>
      </x:c>
      <x:c r="G17" s="3947" t="str">
        <x:v>PROGRAMADA</x:v>
      </x:c>
      <x:c r="H17" s="3947" t="str">
        <x:v>Falla requisito Habilita/documental duro</x:v>
      </x:c>
      <x:c r="I17" s="3947" t="str">
        <x:v>RESULTADO NO_READY; bloquear READY</x:v>
      </x:c>
      <x:c r="J17" s="3947" t="str">
        <x:v>PROGRAMADA</x:v>
      </x:c>
      <x:c r="K17" s="3947" t="str">
        <x:v>EvaluacionPlanificacion + causas</x:v>
      </x:c>
      <x:c r="L17" s="4248" t="str">
        <x:v>HARD_BLOCK</x:v>
      </x:c>
      <x:c r="M17" s="3947" t="str">
        <x:v>Reglas Habilita</x:v>
      </x:c>
    </x:row>
    <x:row r="18" ht="74" customHeight="1">
      <x:c r="A18" s="3947" t="str">
        <x:v>RUL-014</x:v>
      </x:c>
      <x:c r="B18" s="3947" t="str">
        <x:v>PLANIFICACIÓN</x:v>
      </x:c>
      <x:c r="C18" s="4245" t="str">
        <x:v>P5</x:v>
      </x:c>
      <x:c r="D18" s="3947" t="str">
        <x:v>READINESS</x:v>
      </x:c>
      <x:c r="E18" s="3947" t="str">
        <x:v>AsignacionPlanificada</x:v>
      </x:c>
      <x:c r="F18" s="3947" t="str">
        <x:v>EVALUATE_READINESS</x:v>
      </x:c>
      <x:c r="G18" s="3947" t="str">
        <x:v>PROGRAMADA</x:v>
      </x:c>
      <x:c r="H18" s="3947" t="str">
        <x:v>Contrato/contexto mínimo + alcance + capacidad + documental/Habilita aplicable OK</x:v>
      </x:c>
      <x:c r="I18" s="3947" t="str">
        <x:v>RESULTADO READY con evaluado_at y valido_hasta_at</x:v>
      </x:c>
      <x:c r="J18" s="3947" t="str">
        <x:v>READY</x:v>
      </x:c>
      <x:c r="K18" s="3947" t="str">
        <x:v>EvaluacionPlanificacion</x:v>
      </x:c>
      <x:c r="L18" s="4246" t="str">
        <x:v>REQUIRED</x:v>
      </x:c>
      <x:c r="M18" s="3947" t="str">
        <x:v>Servicio / riesgo / contexto</x:v>
      </x:c>
    </x:row>
    <x:row r="19" ht="74" customHeight="1">
      <x:c r="A19" s="3947" t="str">
        <x:v>RUL-015</x:v>
      </x:c>
      <x:c r="B19" s="3947" t="str">
        <x:v>PLANIFICACIÓN</x:v>
      </x:c>
      <x:c r="C19" s="4245" t="str">
        <x:v>P5</x:v>
      </x:c>
      <x:c r="D19" s="3947" t="str">
        <x:v>INVALIDATE</x:v>
      </x:c>
      <x:c r="E19" s="3947" t="str">
        <x:v>AsignacionPlanificada</x:v>
      </x:c>
      <x:c r="F19" s="3947" t="str">
        <x:v>DEPENDENCY_CHANGED</x:v>
      </x:c>
      <x:c r="G19" s="3947" t="str">
        <x:v>READY / DESPACHADA</x:v>
      </x:c>
      <x:c r="H19" s="3947" t="str">
        <x:v>Cambió documento, disponibilidad, alcance, ventana, persona/recurso, contrato/contexto</x:v>
      </x:c>
      <x:c r="I19" s="3947" t="str">
        <x:v>INVALIDAR evaluación previa; exigir reevaluación</x:v>
      </x:c>
      <x:c r="J19" s="3947" t="str">
        <x:v>PROGRAMADA o flag REEVALUAR</x:v>
      </x:c>
      <x:c r="K19" s="3947" t="str">
        <x:v>EventoInvalidacionReadiness</x:v>
      </x:c>
      <x:c r="L19" s="4246" t="str">
        <x:v>REQUIRED</x:v>
      </x:c>
      <x:c r="M19" s="3947" t="str">
        <x:v>Readiness ruleset</x:v>
      </x:c>
    </x:row>
    <x:row r="20" ht="74" customHeight="1">
      <x:c r="A20" s="3947" t="str">
        <x:v>RUL-016</x:v>
      </x:c>
      <x:c r="B20" s="3947" t="str">
        <x:v>PLANIFICACIÓN</x:v>
      </x:c>
      <x:c r="C20" s="4247" t="str">
        <x:v>P2</x:v>
      </x:c>
      <x:c r="D20" s="3947" t="str">
        <x:v>TRANSITION_GUARD</x:v>
      </x:c>
      <x:c r="E20" s="3947" t="str">
        <x:v>AsignacionPlanificada</x:v>
      </x:c>
      <x:c r="F20" s="3947" t="str">
        <x:v>DISPATCH</x:v>
      </x:c>
      <x:c r="G20" s="3947" t="str">
        <x:v>READY</x:v>
      </x:c>
      <x:c r="H20" s="3947" t="str">
        <x:v>EvaluacionPlanificacion vigente + contexto/bundle construible</x:v>
      </x:c>
      <x:c r="I20" s="3947" t="str">
        <x:v>PERMITIR DESPACHADA</x:v>
      </x:c>
      <x:c r="J20" s="3947" t="str">
        <x:v>DESPACHADA</x:v>
      </x:c>
      <x:c r="K20" s="3947" t="str">
        <x:v>ExecutionContextBundle + DecisionTrace</x:v>
      </x:c>
      <x:c r="L20" s="4248" t="str">
        <x:v>HARD_GATE</x:v>
      </x:c>
      <x:c r="M20" s="3947" t="str">
        <x:v>Planificación</x:v>
      </x:c>
    </x:row>
    <x:row r="21" ht="74" customHeight="1">
      <x:c r="A21" s="3947" t="str">
        <x:v>RUL-017</x:v>
      </x:c>
      <x:c r="B21" s="3947" t="str">
        <x:v>PLANIFICACIÓN</x:v>
      </x:c>
      <x:c r="C21" s="4245" t="str">
        <x:v>P5</x:v>
      </x:c>
      <x:c r="D21" s="3947" t="str">
        <x:v>PROJECTION</x:v>
      </x:c>
      <x:c r="E21" s="3947" t="str">
        <x:v>ExecutionContextBundle</x:v>
      </x:c>
      <x:c r="F21" s="3947" t="str">
        <x:v>BUILD_BUNDLE</x:v>
      </x:c>
      <x:c r="G21" s="3947" t="str">
        <x:v>Asignacion DESPACHADA</x:v>
      </x:c>
      <x:c r="H21" s="3947" t="str">
        <x:v>Existe PlanificacionVersion aprobada y catálogo/reglas suficientes</x:v>
      </x:c>
      <x:c r="I21" s="3947" t="str">
        <x:v>GENERAR proyección mínima versionada con context_valid_until_at</x:v>
      </x:c>
      <x:c r="J21" s="3947" t="str">
        <x:v>—</x:v>
      </x:c>
      <x:c r="K21" s="3947" t="str">
        <x:v>ExecutionContextBundle</x:v>
      </x:c>
      <x:c r="L21" s="4246" t="str">
        <x:v>REQUIRED</x:v>
      </x:c>
      <x:c r="M21" s="3947" t="str">
        <x:v>Ruleset/version</x:v>
      </x:c>
    </x:row>
    <x:row r="22" ht="74" customHeight="1">
      <x:c r="A22" s="3947" t="str">
        <x:v>RUL-018</x:v>
      </x:c>
      <x:c r="B22" s="3947" t="str">
        <x:v>PLANIFICACIÓN</x:v>
      </x:c>
      <x:c r="C22" s="4245" t="str">
        <x:v>P5</x:v>
      </x:c>
      <x:c r="D22" s="3947" t="str">
        <x:v>RESULT</x:v>
      </x:c>
      <x:c r="E22" s="3947" t="str">
        <x:v>AsignacionPlanificada</x:v>
      </x:c>
      <x:c r="F22" s="3947" t="str">
        <x:v>EXECUTION_CLOSED</x:v>
      </x:c>
      <x:c r="G22" s="3947" t="str">
        <x:v>DESPACHADA</x:v>
      </x:c>
      <x:c r="H22" s="3947" t="str">
        <x:v>Ejecución vinculada satisface alcance planificado según regla</x:v>
      </x:c>
      <x:c r="I22" s="3947" t="str">
        <x:v>MARCAR CUMPLIDA</x:v>
      </x:c>
      <x:c r="J22" s="3947" t="str">
        <x:v>CUMPLIDA</x:v>
      </x:c>
      <x:c r="K22" s="3947" t="str">
        <x:v>DecisionTrace</x:v>
      </x:c>
      <x:c r="L22" s="4246" t="str">
        <x:v>REQUIRED</x:v>
      </x:c>
      <x:c r="M22" s="3947" t="str">
        <x:v>Plan/servicio</x:v>
      </x:c>
    </x:row>
    <x:row r="23" ht="74" customHeight="1">
      <x:c r="A23" s="3947" t="str">
        <x:v>RUL-019</x:v>
      </x:c>
      <x:c r="B23" s="3947" t="str">
        <x:v>PLANIFICACIÓN</x:v>
      </x:c>
      <x:c r="C23" s="4245" t="str">
        <x:v>P5</x:v>
      </x:c>
      <x:c r="D23" s="3947" t="str">
        <x:v>RESULT</x:v>
      </x:c>
      <x:c r="E23" s="3947" t="str">
        <x:v>AsignacionPlanificada</x:v>
      </x:c>
      <x:c r="F23" s="3947" t="str">
        <x:v>WINDOW_CLOSED_NO_EXECUTION</x:v>
      </x:c>
      <x:c r="G23" s="3947" t="str">
        <x:v>PROGRAMADA / READY / DESPACHADA</x:v>
      </x:c>
      <x:c r="H23" s="3947" t="str">
        <x:v>No hay ejecución efectiva que satisfaga asignación</x:v>
      </x:c>
      <x:c r="I23" s="3947" t="str">
        <x:v>MARCAR NO_REALIZADA con causa</x:v>
      </x:c>
      <x:c r="J23" s="3947" t="str">
        <x:v>NO_REALIZADA</x:v>
      </x:c>
      <x:c r="K23" s="3947" t="str">
        <x:v>EventoOperativo / causa</x:v>
      </x:c>
      <x:c r="L23" s="4246" t="str">
        <x:v>REQUIRED</x:v>
      </x:c>
      <x:c r="M23" s="3947" t="str">
        <x:v>Planificación</x:v>
      </x:c>
    </x:row>
    <x:row r="24" ht="74" customHeight="1">
      <x:c r="A24" s="3947" t="str">
        <x:v>RUL-020</x:v>
      </x:c>
      <x:c r="B24" s="3947" t="str">
        <x:v>PLANIFICACIÓN</x:v>
      </x:c>
      <x:c r="C24" s="4247" t="str">
        <x:v>P3</x:v>
      </x:c>
      <x:c r="D24" s="3947" t="str">
        <x:v>CONTROL</x:v>
      </x:c>
      <x:c r="E24" s="3947" t="str">
        <x:v>AsignacionPlanificada</x:v>
      </x:c>
      <x:c r="F24" s="3947" t="str">
        <x:v>POST_DISPATCH_CHANGE</x:v>
      </x:c>
      <x:c r="G24" s="3947" t="str">
        <x:v>DESPACHADA</x:v>
      </x:c>
      <x:c r="H24" s="3947" t="str">
        <x:v>Plan cambia después del despacho</x:v>
      </x:c>
      <x:c r="I24" s="3947" t="str">
        <x:v>NO mutar snapshot; EMITIR DirectivaOperativa o nueva PlanificacionVersion</x:v>
      </x:c>
      <x:c r="J24" s="3947" t="str">
        <x:v>sin cambio</x:v>
      </x:c>
      <x:c r="K24" s="3947" t="str">
        <x:v>DirectivaOperativa / nueva versión</x:v>
      </x:c>
      <x:c r="L24" s="4246" t="str">
        <x:v>REQUIRED</x:v>
      </x:c>
      <x:c r="M24" s="3947" t="str">
        <x:v>Control Plane</x:v>
      </x:c>
    </x:row>
  </x:sheetData>
  <x:mergeCells>
    <x:mergeCell ref="A1:M1"/>
    <x:mergeCell ref="A2:M2"/>
  </x:mergeCells>
  <x:pageMargins left="0.7" right="0.7" top="0.75" bottom="0.75" header="0.3" footer="0.3"/>
</x:worksheet>
</file>

<file path=xl/worksheets/sheet62.xml><?xml version="1.0" encoding="utf-8"?>
<x:worksheet xmlns:x="http://schemas.openxmlformats.org/spreadsheetml/2006/main">
  <x:sheetFormatPr defaultRowHeight="15"/>
  <x:cols>
    <x:col min="1" max="1" width="10" hidden="0" customWidth="1"/>
    <x:col min="2" max="2" width="18" hidden="0" customWidth="1"/>
    <x:col min="3" max="3" width="9" hidden="0" customWidth="1"/>
    <x:col min="4" max="4" width="18" hidden="0" customWidth="1"/>
    <x:col min="5" max="5" width="23" hidden="0" customWidth="1"/>
    <x:col min="6" max="6" width="23" hidden="0" customWidth="1"/>
    <x:col min="7" max="7" width="25" hidden="0" customWidth="1"/>
    <x:col min="8" max="8" width="44" hidden="0" customWidth="1"/>
    <x:col min="9" max="9" width="42" hidden="0" customWidth="1"/>
    <x:col min="10" max="10" width="22" hidden="0" customWidth="1"/>
    <x:col min="11" max="11" width="30" hidden="0" customWidth="1"/>
    <x:col min="12" max="12" width="18" hidden="0" customWidth="1"/>
    <x:col min="13" max="13" width="26" hidden="0" customWidth="1"/>
  </x:cols>
  <x:sheetData>
    <x:row r="1">
      <x:c r="A1" s="4242" t="str">
        <x:v>REGLAS · EJECUCIÓN / IDENTIDAD / TEMPORALIDAD</x:v>
      </x:c>
      <x:c r="B1" s="4242"/>
      <x:c r="C1" s="4242"/>
      <x:c r="D1" s="4242"/>
      <x:c r="E1" s="4242"/>
      <x:c r="F1" s="4242"/>
      <x:c r="G1" s="4242"/>
      <x:c r="H1" s="4242"/>
      <x:c r="I1" s="4242"/>
      <x:c r="J1" s="4242"/>
      <x:c r="K1" s="4242"/>
      <x:c r="L1" s="4242"/>
      <x:c r="M1" s="4242"/>
    </x:row>
    <x:row r="2">
      <x:c r="A2" s="4243" t="str">
        <x:v>26 reglas. Vista operativa derivada de 57_Matriz_Maestra_Reglas; la fuente canónica es la matriz maestra.</x:v>
      </x:c>
      <x:c r="B2" s="4243"/>
      <x:c r="C2" s="4243"/>
      <x:c r="D2" s="4243"/>
      <x:c r="E2" s="4243"/>
      <x:c r="F2" s="4243"/>
      <x:c r="G2" s="4243"/>
      <x:c r="H2" s="4243"/>
      <x:c r="I2" s="4243"/>
      <x:c r="J2" s="4243"/>
      <x:c r="K2" s="4243"/>
      <x:c r="L2" s="4243"/>
      <x:c r="M2" s="4243"/>
    </x:row>
    <x:row r="3">
      <x:c r="A3" s="3945"/>
      <x:c r="B3" s="3945"/>
      <x:c r="C3" s="3945"/>
      <x:c r="D3" s="3945"/>
      <x:c r="E3" s="3945"/>
      <x:c r="F3" s="3945"/>
      <x:c r="G3" s="3945"/>
      <x:c r="H3" s="3945"/>
      <x:c r="I3" s="3945"/>
      <x:c r="J3" s="3945"/>
      <x:c r="K3" s="3945"/>
      <x:c r="L3" s="3945"/>
      <x:c r="M3" s="3945"/>
    </x:row>
    <x:row r="4">
      <x:c r="A4" s="4244" t="str">
        <x:v>Rule ID</x:v>
      </x:c>
      <x:c r="B4" s="4244" t="str">
        <x:v>Dominio</x:v>
      </x:c>
      <x:c r="C4" s="4244" t="str">
        <x:v>Prec.</x:v>
      </x:c>
      <x:c r="D4" s="4244" t="str">
        <x:v>Clase</x:v>
      </x:c>
      <x:c r="E4" s="4244" t="str">
        <x:v>Sujeto</x:v>
      </x:c>
      <x:c r="F4" s="4244" t="str">
        <x:v>Trigger</x:v>
      </x:c>
      <x:c r="G4" s="4244" t="str">
        <x:v>Estado/contexto</x:v>
      </x:c>
      <x:c r="H4" s="4244" t="str">
        <x:v>Condición</x:v>
      </x:c>
      <x:c r="I4" s="4244" t="str">
        <x:v>Decisión</x:v>
      </x:c>
      <x:c r="J4" s="4244" t="str">
        <x:v>Destino</x:v>
      </x:c>
      <x:c r="K4" s="4244" t="str">
        <x:v>Side effects</x:v>
      </x:c>
      <x:c r="L4" s="4244" t="str">
        <x:v>Fuerza</x:v>
      </x:c>
      <x:c r="M4" s="4244" t="str">
        <x:v>Scope</x:v>
      </x:c>
    </x:row>
    <x:row r="5" ht="74" customHeight="1">
      <x:c r="A5" s="3947" t="str">
        <x:v>RUL-001</x:v>
      </x:c>
      <x:c r="B5" s="3947" t="str">
        <x:v>CONFIG / ROUTING</x:v>
      </x:c>
      <x:c r="C5" s="4245" t="str">
        <x:v>P4</x:v>
      </x:c>
      <x:c r="D5" s="3947" t="str">
        <x:v>ROUTE</x:v>
      </x:c>
      <x:c r="E5" s="3947" t="str">
        <x:v>Parte</x:v>
      </x:c>
      <x:c r="F5" s="3947" t="str">
        <x:v>BEFORE_CREATE</x:v>
      </x:c>
      <x:c r="G5" s="3947" t="str">
        <x:v>—</x:v>
      </x:c>
      <x:c r="H5" s="3947" t="str">
        <x:v>Existe perfil operativo + contexto planificado/real suficiente</x:v>
      </x:c>
      <x:c r="I5" s="3947" t="str">
        <x:v>DERIVAR tipo_parte_id mediante ruleset; no pedir selector libre como camino normal</x:v>
      </x:c>
      <x:c r="J5" s="3947" t="str">
        <x:v>—</x:v>
      </x:c>
      <x:c r="K5" s="3947" t="str">
        <x:v>DecisionTrace + tipo_parte_id</x:v>
      </x:c>
      <x:c r="L5" s="4246" t="str">
        <x:v>REQUIRED</x:v>
      </x:c>
      <x:c r="M5" s="3947" t="str">
        <x:v>Global / TipoParte / servicio</x:v>
      </x:c>
    </x:row>
    <x:row r="6" ht="74" customHeight="1">
      <x:c r="A6" s="3947" t="str">
        <x:v>RUL-002</x:v>
      </x:c>
      <x:c r="B6" s="3947" t="str">
        <x:v>CONFIG / ROUTING</x:v>
      </x:c>
      <x:c r="C6" s="4245" t="str">
        <x:v>P4</x:v>
      </x:c>
      <x:c r="D6" s="3947" t="str">
        <x:v>ROUTE_FALLBACK</x:v>
      </x:c>
      <x:c r="E6" s="3947" t="str">
        <x:v>Parte</x:v>
      </x:c>
      <x:c r="F6" s="3947" t="str">
        <x:v>ROUTING_AMBIGUOUS</x:v>
      </x:c>
      <x:c r="G6" s="3947" t="str">
        <x:v>—</x:v>
      </x:c>
      <x:c r="H6" s="3947" t="str">
        <x:v>Más de un TipoParte es compatible o faltan datos discriminantes</x:v>
      </x:c>
      <x:c r="I6" s="3947" t="str">
        <x:v>PEDIR confirmación mínima o escalar a supervisor; registrar candidatos y motivo</x:v>
      </x:c>
      <x:c r="J6" s="3947" t="str">
        <x:v>—</x:v>
      </x:c>
      <x:c r="K6" s="3947" t="str">
        <x:v>DecisionTrace</x:v>
      </x:c>
      <x:c r="L6" s="4247" t="str">
        <x:v>WARN/BLOCK según riesgo</x:v>
      </x:c>
      <x:c r="M6" s="3947" t="str">
        <x:v>Ruleset de ruteo</x:v>
      </x:c>
    </x:row>
    <x:row r="7" ht="74" customHeight="1">
      <x:c r="A7" s="3947" t="str">
        <x:v>RUL-003</x:v>
      </x:c>
      <x:c r="B7" s="3947" t="str">
        <x:v>CONFIG / IDENTITY</x:v>
      </x:c>
      <x:c r="C7" s="4245" t="str">
        <x:v>P4</x:v>
      </x:c>
      <x:c r="D7" s="3947" t="str">
        <x:v>IDENTITY</x:v>
      </x:c>
      <x:c r="E7" s="3947" t="str">
        <x:v>TP-01</x:v>
      </x:c>
      <x:c r="F7" s="3947" t="str">
        <x:v>CHANGE_CONTEXT</x:v>
      </x:c>
      <x:c r="G7" s="3947" t="str">
        <x:v>PREPARADO / EN_EJECUCION / SUSPENDIDO</x:v>
      </x:c>
      <x:c r="H7" s="3947" t="str">
        <x:v>Mismo work package/objetivo operacional</x:v>
      </x:c>
      <x:c r="I7" s="3947" t="str">
        <x:v>MANTENER mismo TP-01 salvo ReglaCorte configurada aplicable</x:v>
      </x:c>
      <x:c r="J7" s="3947" t="str">
        <x:v>sin cambio</x:v>
      </x:c>
      <x:c r="K7" s="3947" t="str">
        <x:v>EventoOperativo si cambió contexto</x:v>
      </x:c>
      <x:c r="L7" s="4246" t="str">
        <x:v>REQUIRED</x:v>
      </x:c>
      <x:c r="M7" s="3947" t="str">
        <x:v>TipoParte + ContratoServicio</x:v>
      </x:c>
    </x:row>
    <x:row r="8" ht="74" customHeight="1">
      <x:c r="A8" s="3947" t="str">
        <x:v>RUL-004</x:v>
      </x:c>
      <x:c r="B8" s="3947" t="str">
        <x:v>CONFIG / IDENTITY</x:v>
      </x:c>
      <x:c r="C8" s="4245" t="str">
        <x:v>P4</x:v>
      </x:c>
      <x:c r="D8" s="3947" t="str">
        <x:v>CUT</x:v>
      </x:c>
      <x:c r="E8" s="3947" t="str">
        <x:v>TP-01</x:v>
      </x:c>
      <x:c r="F8" s="3947" t="str">
        <x:v>WORK_PACKAGE_CHANGED</x:v>
      </x:c>
      <x:c r="G8" s="3947" t="str">
        <x:v>PREPARADO / EN_EJECUCION / SUSPENDIDO</x:v>
      </x:c>
      <x:c r="H8" s="3947" t="str">
        <x:v>El objetivo/work package pasa a ser independiente</x:v>
      </x:c>
      <x:c r="I8" s="3947" t="str">
        <x:v>CERRAR/TERMINAR alcance actual según estado y CREAR nuevo TP-01</x:v>
      </x:c>
      <x:c r="J8" s="3947" t="str">
        <x:v>según máquina</x:v>
      </x:c>
      <x:c r="K8" s="3947" t="str">
        <x:v>Nuevo Parte + VinculoPlanEjecucion si aplica</x:v>
      </x:c>
      <x:c r="L8" s="4246" t="str">
        <x:v>REQUIRED</x:v>
      </x:c>
      <x:c r="M8" s="3947" t="str">
        <x:v>TipoParte / servicio</x:v>
      </x:c>
    </x:row>
    <x:row r="9" ht="74" customHeight="1">
      <x:c r="A9" s="3947" t="str">
        <x:v>RUL-005</x:v>
      </x:c>
      <x:c r="B9" s="3947" t="str">
        <x:v>CONFIG / IDENTITY</x:v>
      </x:c>
      <x:c r="C9" s="4245" t="str">
        <x:v>P4</x:v>
      </x:c>
      <x:c r="D9" s="3947" t="str">
        <x:v>NO_CUT_DEFAULT</x:v>
      </x:c>
      <x:c r="E9" s="3947" t="str">
        <x:v>TP-01</x:v>
      </x:c>
      <x:c r="F9" s="3947" t="str">
        <x:v>SHIFT_CHANGED</x:v>
      </x:c>
      <x:c r="G9" s="3947" t="str">
        <x:v>EN_EJECUCION / SUSPENDIDO</x:v>
      </x:c>
      <x:c r="H9" s="3947" t="str">
        <x:v>No existe ReglaCorte específica que obligue split</x:v>
      </x:c>
      <x:c r="I9" s="3947" t="str">
        <x:v>MANTENER Parte + generar handover + cerrar/abrir intervalos + revalidar gates</x:v>
      </x:c>
      <x:c r="J9" s="3947" t="str">
        <x:v>sin cambio</x:v>
      </x:c>
      <x:c r="K9" s="3947" t="str">
        <x:v>EventoHandover / asignaciones temporales / reevaluación PTW</x:v>
      </x:c>
      <x:c r="L9" s="4246" t="str">
        <x:v>REQUIRED</x:v>
      </x:c>
      <x:c r="M9" s="3947" t="str">
        <x:v>TipoParte / cliente / servicio</x:v>
      </x:c>
    </x:row>
    <x:row r="10" ht="74" customHeight="1">
      <x:c r="A10" s="3947" t="str">
        <x:v>RUL-006</x:v>
      </x:c>
      <x:c r="B10" s="3947" t="str">
        <x:v>CONFIG / IDENTITY</x:v>
      </x:c>
      <x:c r="C10" s="4245" t="str">
        <x:v>P4</x:v>
      </x:c>
      <x:c r="D10" s="3947" t="str">
        <x:v>NO_CUT_DEFAULT</x:v>
      </x:c>
      <x:c r="E10" s="3947" t="str">
        <x:v>Parte / UE</x:v>
      </x:c>
      <x:c r="F10" s="3947" t="str">
        <x:v>RESOURCE_CHANGED</x:v>
      </x:c>
      <x:c r="G10" s="3947" t="str">
        <x:v>PREPARADO / EN_EJECUCION / SUSPENDIDO</x:v>
      </x:c>
      <x:c r="H10" s="3947" t="str">
        <x:v>El recurso nuevo apoya misma unidad de trabajo</x:v>
      </x:c>
      <x:c r="I10" s="3947" t="str">
        <x:v>NO crear nuevo Parte; actualizar AsignacionRecursoEjecucion</x:v>
      </x:c>
      <x:c r="J10" s="3947" t="str">
        <x:v>sin cambio</x:v>
      </x:c>
      <x:c r="K10" s="3947" t="str">
        <x:v>AsignacionRecursoEjecucion</x:v>
      </x:c>
      <x:c r="L10" s="4246" t="str">
        <x:v>REQUIRED</x:v>
      </x:c>
      <x:c r="M10" s="3947" t="str">
        <x:v>TipoParte / servicio</x:v>
      </x:c>
    </x:row>
    <x:row r="11" ht="74" customHeight="1">
      <x:c r="A11" s="3947" t="str">
        <x:v>RUL-007</x:v>
      </x:c>
      <x:c r="B11" s="3947" t="str">
        <x:v>CONFIG / IDENTITY</x:v>
      </x:c>
      <x:c r="C11" s="4245" t="str">
        <x:v>P4</x:v>
      </x:c>
      <x:c r="D11" s="3947" t="str">
        <x:v>CREATE_CHILD</x:v>
      </x:c>
      <x:c r="E11" s="3947" t="str">
        <x:v>UnidadEjecucion</x:v>
      </x:c>
      <x:c r="F11" s="3947" t="str">
        <x:v>INDEPENDENT_SUBWORK_DETECTED</x:v>
      </x:c>
      <x:c r="G11" s="3947" t="str">
        <x:v>Parte no terminal</x:v>
      </x:c>
      <x:c r="H11" s="3947" t="str">
        <x:v>Mismo work package pero existe subtrabajo autónomo/resultado distinguible</x:v>
      </x:c>
      <x:c r="I11" s="3947" t="str">
        <x:v>CREAR nueva UnidadEjecucion dentro del mismo Parte</x:v>
      </x:c>
      <x:c r="J11" s="3947" t="str">
        <x:v>PENDIENTE</x:v>
      </x:c>
      <x:c r="K11" s="3947" t="str">
        <x:v>UnidadEjecucion</x:v>
      </x:c>
      <x:c r="L11" s="4246" t="str">
        <x:v>REQUIRED</x:v>
      </x:c>
      <x:c r="M11" s="3947" t="str">
        <x:v>TipoParte / servicio</x:v>
      </x:c>
    </x:row>
    <x:row r="12" ht="74" customHeight="1">
      <x:c r="A12" s="3947" t="str">
        <x:v>RUL-008</x:v>
      </x:c>
      <x:c r="B12" s="3947" t="str">
        <x:v>CONFIG / IDENTITY</x:v>
      </x:c>
      <x:c r="C12" s="4245" t="str">
        <x:v>P4</x:v>
      </x:c>
      <x:c r="D12" s="3947" t="str">
        <x:v>NO_CUT_DEFAULT</x:v>
      </x:c>
      <x:c r="E12" s="3947" t="str">
        <x:v>Parte</x:v>
      </x:c>
      <x:c r="F12" s="3947" t="str">
        <x:v>LOCATION_CHANGED</x:v>
      </x:c>
      <x:c r="G12" s="3947" t="str">
        <x:v>PREPARADO / EN_EJECUCION / SUSPENDIDO</x:v>
      </x:c>
      <x:c r="H12" s="3947" t="str">
        <x:v>TipoParte no define ubicación como driver de corte</x:v>
      </x:c>
      <x:c r="I12" s="3947" t="str">
        <x:v>NO cortar automáticamente; registrar ubicación/transición y evaluar regla específica</x:v>
      </x:c>
      <x:c r="J12" s="3947" t="str">
        <x:v>sin cambio</x:v>
      </x:c>
      <x:c r="K12" s="3947" t="str">
        <x:v>EjecucionUbicacion / TransicionOperativa</x:v>
      </x:c>
      <x:c r="L12" s="4246" t="str">
        <x:v>REQUIRED</x:v>
      </x:c>
      <x:c r="M12" s="3947" t="str">
        <x:v>TipoParte / servicio</x:v>
      </x:c>
    </x:row>
    <x:row r="13" ht="74" customHeight="1">
      <x:c r="A13" s="3947" t="str">
        <x:v>RUL-021</x:v>
      </x:c>
      <x:c r="B13" s="3947" t="str">
        <x:v>EJECUCIÓN</x:v>
      </x:c>
      <x:c r="C13" s="4247" t="str">
        <x:v>P2</x:v>
      </x:c>
      <x:c r="D13" s="3947" t="str">
        <x:v>CREATE_GUARD</x:v>
      </x:c>
      <x:c r="E13" s="3947" t="str">
        <x:v>Parte</x:v>
      </x:c>
      <x:c r="F13" s="3947" t="str">
        <x:v>CREATE_PART</x:v>
      </x:c>
      <x:c r="G13" s="3947" t="str">
        <x:v>—</x:v>
      </x:c>
      <x:c r="H13" s="3947" t="str">
        <x:v>TipoParte resuelto + identidad/contexto mínimo</x:v>
      </x:c>
      <x:c r="I13" s="3947" t="str">
        <x:v>CREAR Parte PREPARADO</x:v>
      </x:c>
      <x:c r="J13" s="3947" t="str">
        <x:v>PREPARADO</x:v>
      </x:c>
      <x:c r="K13" s="3947" t="str">
        <x:v>Parte + DecisionTrace</x:v>
      </x:c>
      <x:c r="L13" s="4248" t="str">
        <x:v>HARD_GATE</x:v>
      </x:c>
      <x:c r="M13" s="3947" t="str">
        <x:v>TipoParte ruleset</x:v>
      </x:c>
    </x:row>
    <x:row r="14" ht="74" customHeight="1">
      <x:c r="A14" s="3947" t="str">
        <x:v>RUL-022</x:v>
      </x:c>
      <x:c r="B14" s="3947" t="str">
        <x:v>EJECUCIÓN</x:v>
      </x:c>
      <x:c r="C14" s="4248" t="str">
        <x:v>P1</x:v>
      </x:c>
      <x:c r="D14" s="3947" t="str">
        <x:v>START_BLOCK</x:v>
      </x:c>
      <x:c r="E14" s="3947" t="str">
        <x:v>Parte / UE</x:v>
      </x:c>
      <x:c r="F14" s="3947" t="str">
        <x:v>START_WORK</x:v>
      </x:c>
      <x:c r="G14" s="3947" t="str">
        <x:v>PREPARADO / PENDIENTE</x:v>
      </x:c>
      <x:c r="H14" s="3947" t="str">
        <x:v>Existe hard block Habilita/documental o PTW requerido no VIGENTE</x:v>
      </x:c>
      <x:c r="I14" s="3947" t="str">
        <x:v>BLOQUEAR Start Work</x:v>
      </x:c>
      <x:c r="J14" s="3947" t="str">
        <x:v>sin cambio</x:v>
      </x:c>
      <x:c r="K14" s="3947" t="str">
        <x:v>DecisionTrace + alerta</x:v>
      </x:c>
      <x:c r="L14" s="4248" t="str">
        <x:v>HARD_BLOCK</x:v>
      </x:c>
      <x:c r="M14" s="3947" t="str">
        <x:v>Habilita / PTW</x:v>
      </x:c>
    </x:row>
    <x:row r="15" ht="74" customHeight="1">
      <x:c r="A15" s="3947" t="str">
        <x:v>RUL-023</x:v>
      </x:c>
      <x:c r="B15" s="3947" t="str">
        <x:v>EJECUCIÓN</x:v>
      </x:c>
      <x:c r="C15" s="4247" t="str">
        <x:v>P2</x:v>
      </x:c>
      <x:c r="D15" s="3947" t="str">
        <x:v>START_GUARD</x:v>
      </x:c>
      <x:c r="E15" s="3947" t="str">
        <x:v>Parte / UE</x:v>
      </x:c>
      <x:c r="F15" s="3947" t="str">
        <x:v>START_WORK</x:v>
      </x:c>
      <x:c r="G15" s="3947" t="str">
        <x:v>PREPARADO / PENDIENTE</x:v>
      </x:c>
      <x:c r="H15" s="3947" t="str">
        <x:v>Gates Habilita/PTW/documental aplicables OK + contexto operativo suficiente</x:v>
      </x:c>
      <x:c r="I15" s="3947" t="str">
        <x:v>PERMITIR inicio</x:v>
      </x:c>
      <x:c r="J15" s="3947" t="str">
        <x:v>EN_EJECUCION</x:v>
      </x:c>
      <x:c r="K15" s="3947" t="str">
        <x:v>timestamps + intervalos</x:v>
      </x:c>
      <x:c r="L15" s="4248" t="str">
        <x:v>HARD_GATE</x:v>
      </x:c>
      <x:c r="M15" s="3947" t="str">
        <x:v>TipoParte / Habilita</x:v>
      </x:c>
    </x:row>
    <x:row r="16" ht="74" customHeight="1">
      <x:c r="A16" s="3947" t="str">
        <x:v>RUL-024</x:v>
      </x:c>
      <x:c r="B16" s="3947" t="str">
        <x:v>EJECUCIÓN</x:v>
      </x:c>
      <x:c r="C16" s="4245" t="str">
        <x:v>P5</x:v>
      </x:c>
      <x:c r="D16" s="3947" t="str">
        <x:v>AUTO_DERIVE</x:v>
      </x:c>
      <x:c r="E16" s="3947" t="str">
        <x:v>Parte / UE</x:v>
      </x:c>
      <x:c r="F16" s="3947" t="str">
        <x:v>START_WORK</x:v>
      </x:c>
      <x:c r="G16" s="3947" t="str">
        <x:v>PREPARADO / PENDIENTE</x:v>
      </x:c>
      <x:c r="H16" s="3947" t="str">
        <x:v>Contexto activo disponible</x:v>
      </x:c>
      <x:c r="I16" s="3947" t="str">
        <x:v>PRECARGAR usuario, hora, plan/UE, recursos/personas, ubicación candidata y PTW</x:v>
      </x:c>
      <x:c r="J16" s="3947" t="str">
        <x:v>—</x:v>
      </x:c>
      <x:c r="K16" s="3947" t="str">
        <x:v>datos derivados</x:v>
      </x:c>
      <x:c r="L16" s="4246" t="str">
        <x:v>REQUIRED</x:v>
      </x:c>
      <x:c r="M16" s="3947" t="str">
        <x:v>UX/contexto</x:v>
      </x:c>
    </x:row>
    <x:row r="17" ht="74" customHeight="1">
      <x:c r="A17" s="3947" t="str">
        <x:v>RUL-025</x:v>
      </x:c>
      <x:c r="B17" s="3947" t="str">
        <x:v>EJECUCIÓN</x:v>
      </x:c>
      <x:c r="C17" s="4245" t="str">
        <x:v>P5</x:v>
      </x:c>
      <x:c r="D17" s="3947" t="str">
        <x:v>TEMPORAL</x:v>
      </x:c>
      <x:c r="E17" s="3947" t="str">
        <x:v>AsignacionPersonaEjecucion</x:v>
      </x:c>
      <x:c r="F17" s="3947" t="str">
        <x:v>PERSON_REPLACED</x:v>
      </x:c>
      <x:c r="G17" s="3947" t="str">
        <x:v>UE EN_EJECUCION</x:v>
      </x:c>
      <x:c r="H17" s="3947" t="str">
        <x:v>Persona saliente deja rol y entra reemplazo</x:v>
      </x:c>
      <x:c r="I17" s="3947" t="str">
        <x:v>CERRAR intervalo saliente + CREAR intervalo entrante; no editar pasado</x:v>
      </x:c>
      <x:c r="J17" s="3947" t="str">
        <x:v>sin cambio</x:v>
      </x:c>
      <x:c r="K17" s="3947" t="str">
        <x:v>2 asignaciones temporales</x:v>
      </x:c>
      <x:c r="L17" s="4246" t="str">
        <x:v>REQUIRED</x:v>
      </x:c>
      <x:c r="M17" s="3947" t="str">
        <x:v>Ejecución</x:v>
      </x:c>
    </x:row>
    <x:row r="18" ht="74" customHeight="1">
      <x:c r="A18" s="3947" t="str">
        <x:v>RUL-026</x:v>
      </x:c>
      <x:c r="B18" s="3947" t="str">
        <x:v>EJECUCIÓN</x:v>
      </x:c>
      <x:c r="C18" s="4245" t="str">
        <x:v>P5</x:v>
      </x:c>
      <x:c r="D18" s="3947" t="str">
        <x:v>TEMPORAL</x:v>
      </x:c>
      <x:c r="E18" s="3947" t="str">
        <x:v>AsignacionRecursoEjecucion</x:v>
      </x:c>
      <x:c r="F18" s="3947" t="str">
        <x:v>RESOURCE_REPLACED</x:v>
      </x:c>
      <x:c r="G18" s="3947" t="str">
        <x:v>UE EN_EJECUCION</x:v>
      </x:c>
      <x:c r="H18" s="3947" t="str">
        <x:v>Recurso saliente sustituido</x:v>
      </x:c>
      <x:c r="I18" s="3947" t="str">
        <x:v>CERRAR intervalo anterior + CREAR nuevo intervalo</x:v>
      </x:c>
      <x:c r="J18" s="3947" t="str">
        <x:v>sin cambio</x:v>
      </x:c>
      <x:c r="K18" s="3947" t="str">
        <x:v>Asignaciones recurso</x:v>
      </x:c>
      <x:c r="L18" s="4246" t="str">
        <x:v>REQUIRED</x:v>
      </x:c>
      <x:c r="M18" s="3947" t="str">
        <x:v>Ejecución</x:v>
      </x:c>
    </x:row>
    <x:row r="19" ht="74" customHeight="1">
      <x:c r="A19" s="3947" t="str">
        <x:v>RUL-027</x:v>
      </x:c>
      <x:c r="B19" s="3947" t="str">
        <x:v>EJECUCIÓN</x:v>
      </x:c>
      <x:c r="C19" s="4245" t="str">
        <x:v>P5</x:v>
      </x:c>
      <x:c r="D19" s="3947" t="str">
        <x:v>TEMPORAL_CONFLICT</x:v>
      </x:c>
      <x:c r="E19" s="3947" t="str">
        <x:v>Persona/Recurso</x:v>
      </x:c>
      <x:c r="F19" s="3947" t="str">
        <x:v>ASSIGN_INTERVAL</x:v>
      </x:c>
      <x:c r="G19" s="3947" t="str">
        <x:v>—</x:v>
      </x:c>
      <x:c r="H19" s="3947" t="str">
        <x:v>Intervalo solapa asignación incompatible según ReglaSolapamiento</x:v>
      </x:c>
      <x:c r="I19" s="3947" t="str">
        <x:v>BLOQUEAR o ADVERTIR según regla; registrar ConflictoTemporal</x:v>
      </x:c>
      <x:c r="J19" s="3947" t="str">
        <x:v>—</x:v>
      </x:c>
      <x:c r="K19" s="3947" t="str">
        <x:v>ConflictoTemporal / OverrideGate si aplica</x:v>
      </x:c>
      <x:c r="L19" s="4247" t="str">
        <x:v>BLOCK/WARN</x:v>
      </x:c>
      <x:c r="M19" s="3947" t="str">
        <x:v>TipoRecurso / rol / servicio</x:v>
      </x:c>
    </x:row>
    <x:row r="20" ht="74" customHeight="1">
      <x:c r="A20" s="3947" t="str">
        <x:v>RUL-028</x:v>
      </x:c>
      <x:c r="B20" s="3947" t="str">
        <x:v>EJECUCIÓN</x:v>
      </x:c>
      <x:c r="C20" s="4245" t="str">
        <x:v>P5</x:v>
      </x:c>
      <x:c r="D20" s="3947" t="str">
        <x:v>TIME_EVENT</x:v>
      </x:c>
      <x:c r="E20" s="3947" t="str">
        <x:v>UE / Parte</x:v>
      </x:c>
      <x:c r="F20" s="3947" t="str">
        <x:v>TIME_CATEGORY_START</x:v>
      </x:c>
      <x:c r="G20" s="3947" t="str">
        <x:v>EN_EJECUCION / SUSPENDIDO</x:v>
      </x:c>
      <x:c r="H20" s="3947" t="str">
        <x:v>Se inicia ejecución/traslado/espera/standby/carga-descarga/etc.</x:v>
      </x:c>
      <x:c r="I20" s="3947" t="str">
        <x:v>ABRIR EventoTiempo correspondiente</x:v>
      </x:c>
      <x:c r="J20" s="3947" t="str">
        <x:v>sin cambio</x:v>
      </x:c>
      <x:c r="K20" s="3947" t="str">
        <x:v>EventoTiempo</x:v>
      </x:c>
      <x:c r="L20" s="4246" t="str">
        <x:v>REQUIRED</x:v>
      </x:c>
      <x:c r="M20" s="3947" t="str">
        <x:v>TipoParte / catálogo tiempo</x:v>
      </x:c>
    </x:row>
    <x:row r="21" ht="74" customHeight="1">
      <x:c r="A21" s="3947" t="str">
        <x:v>RUL-029</x:v>
      </x:c>
      <x:c r="B21" s="3947" t="str">
        <x:v>EJECUCIÓN</x:v>
      </x:c>
      <x:c r="C21" s="4245" t="str">
        <x:v>P5</x:v>
      </x:c>
      <x:c r="D21" s="3947" t="str">
        <x:v>TIME_EVENT</x:v>
      </x:c>
      <x:c r="E21" s="3947" t="str">
        <x:v>UE / Parte</x:v>
      </x:c>
      <x:c r="F21" s="3947" t="str">
        <x:v>TIME_CATEGORY_CHANGE</x:v>
      </x:c>
      <x:c r="G21" s="3947" t="str">
        <x:v>EN_EJECUCION / SUSPENDIDO</x:v>
      </x:c>
      <x:c r="H21" s="3947" t="str">
        <x:v>Cambia categoría temporal</x:v>
      </x:c>
      <x:c r="I21" s="3947" t="str">
        <x:v>CERRAR EventoTiempo previo + ABRIR siguiente</x:v>
      </x:c>
      <x:c r="J21" s="3947" t="str">
        <x:v>sin cambio</x:v>
      </x:c>
      <x:c r="K21" s="3947" t="str">
        <x:v>EventosTiempo</x:v>
      </x:c>
      <x:c r="L21" s="4246" t="str">
        <x:v>REQUIRED</x:v>
      </x:c>
      <x:c r="M21" s="3947" t="str">
        <x:v>TipoParte</x:v>
      </x:c>
    </x:row>
    <x:row r="22" ht="74" customHeight="1">
      <x:c r="A22" s="3947" t="str">
        <x:v>RUL-030</x:v>
      </x:c>
      <x:c r="B22" s="3947" t="str">
        <x:v>EJECUCIÓN</x:v>
      </x:c>
      <x:c r="C22" s="4245" t="str">
        <x:v>P5</x:v>
      </x:c>
      <x:c r="D22" s="3947" t="str">
        <x:v>TRANSITION_TIME</x:v>
      </x:c>
      <x:c r="E22" s="3947" t="str">
        <x:v>TransicionOperativa</x:v>
      </x:c>
      <x:c r="F22" s="3947" t="str">
        <x:v>MOVE_BETWEEN_WORK_PACKAGES</x:v>
      </x:c>
      <x:c r="G22" s="3947" t="str">
        <x:v>—</x:v>
      </x:c>
      <x:c r="H22" s="3947" t="str">
        <x:v>Existe tiempo real entre origen y destino que no pertenece claramente a una UE</x:v>
      </x:c>
      <x:c r="I22" s="3947" t="str">
        <x:v>CREAR TransicionOperativa con origen/destino/personas/recursos</x:v>
      </x:c>
      <x:c r="J22" s="3947" t="str">
        <x:v>—</x:v>
      </x:c>
      <x:c r="K22" s="3947" t="str">
        <x:v>TransicionOperativa</x:v>
      </x:c>
      <x:c r="L22" s="4246" t="str">
        <x:v>REQUIRED</x:v>
      </x:c>
      <x:c r="M22" s="3947" t="str">
        <x:v>Operación</x:v>
      </x:c>
    </x:row>
    <x:row r="23" ht="74" customHeight="1">
      <x:c r="A23" s="3947" t="str">
        <x:v>RUL-031</x:v>
      </x:c>
      <x:c r="B23" s="3947" t="str">
        <x:v>EJECUCIÓN</x:v>
      </x:c>
      <x:c r="C23" s="4245" t="str">
        <x:v>P5</x:v>
      </x:c>
      <x:c r="D23" s="3947" t="str">
        <x:v>LOCATION</x:v>
      </x:c>
      <x:c r="E23" s="3947" t="str">
        <x:v>EjecucionUbicacion</x:v>
      </x:c>
      <x:c r="F23" s="3947" t="str">
        <x:v>LOCATION_CONFIRMED</x:v>
      </x:c>
      <x:c r="G23" s="3947" t="str">
        <x:v>UE activa</x:v>
      </x:c>
      <x:c r="H23" s="3947" t="str">
        <x:v>Ubicación derivada/candidata confirmada o corregida</x:v>
      </x:c>
      <x:c r="I23" s="3947" t="str">
        <x:v>REGISTRAR relación de ubicación con rol</x:v>
      </x:c>
      <x:c r="J23" s="3947" t="str">
        <x:v>sin cambio</x:v>
      </x:c>
      <x:c r="K23" s="3947" t="str">
        <x:v>EjecucionUbicacion</x:v>
      </x:c>
      <x:c r="L23" s="4246" t="str">
        <x:v>REQUIRED</x:v>
      </x:c>
      <x:c r="M23" s="3947" t="str">
        <x:v>TipoParte</x:v>
      </x:c>
    </x:row>
    <x:row r="24" ht="74" customHeight="1">
      <x:c r="A24" s="3947" t="str">
        <x:v>RUL-032</x:v>
      </x:c>
      <x:c r="B24" s="3947" t="str">
        <x:v>EJECUCIÓN</x:v>
      </x:c>
      <x:c r="C24" s="4245" t="str">
        <x:v>P5</x:v>
      </x:c>
      <x:c r="D24" s="3947" t="str">
        <x:v>MEASUREMENT</x:v>
      </x:c>
      <x:c r="E24" s="3947" t="str">
        <x:v>EjecucionMedicion</x:v>
      </x:c>
      <x:c r="F24" s="3947" t="str">
        <x:v>MEASUREMENT_CAPTURED</x:v>
      </x:c>
      <x:c r="G24" s="3947" t="str">
        <x:v>UE activa/cerrable</x:v>
      </x:c>
      <x:c r="H24" s="3947" t="str">
        <x:v>Métrica aplicable al servicio/tipo de trabajo</x:v>
      </x:c>
      <x:c r="I24" s="3947" t="str">
        <x:v>REGISTRAR medición operacional con unidad/timestamp/fuente</x:v>
      </x:c>
      <x:c r="J24" s="3947" t="str">
        <x:v>sin cambio</x:v>
      </x:c>
      <x:c r="K24" s="3947" t="str">
        <x:v>EjecucionMedicion</x:v>
      </x:c>
      <x:c r="L24" s="4246" t="str">
        <x:v>REQUIRED</x:v>
      </x:c>
      <x:c r="M24" s="3947" t="str">
        <x:v>Servicio / componente</x:v>
      </x:c>
    </x:row>
    <x:row r="25" ht="74" customHeight="1">
      <x:c r="A25" s="3947" t="str">
        <x:v>RUL-033</x:v>
      </x:c>
      <x:c r="B25" s="3947" t="str">
        <x:v>EJECUCIÓN</x:v>
      </x:c>
      <x:c r="C25" s="4247" t="str">
        <x:v>P2</x:v>
      </x:c>
      <x:c r="D25" s="3947" t="str">
        <x:v>CLOSE_GUARD</x:v>
      </x:c>
      <x:c r="E25" s="3947" t="str">
        <x:v>UnidadEjecucion</x:v>
      </x:c>
      <x:c r="F25" s="3947" t="str">
        <x:v>CLOSE_UE</x:v>
      </x:c>
      <x:c r="G25" s="3947" t="str">
        <x:v>EN_EJECUCION / SUSPENDIDA</x:v>
      </x:c>
      <x:c r="H25" s="3947" t="str">
        <x:v>Tiempos consistentes + resultado/causa + mediciones obligatorias aplicables</x:v>
      </x:c>
      <x:c r="I25" s="3947" t="str">
        <x:v>PERMITIR CERRADA</x:v>
      </x:c>
      <x:c r="J25" s="3947" t="str">
        <x:v>CERRADA</x:v>
      </x:c>
      <x:c r="K25" s="3947" t="str">
        <x:v>DecisionTrace</x:v>
      </x:c>
      <x:c r="L25" s="4248" t="str">
        <x:v>HARD_GATE</x:v>
      </x:c>
      <x:c r="M25" s="3947" t="str">
        <x:v>TipoParte / componente</x:v>
      </x:c>
    </x:row>
    <x:row r="26" ht="74" customHeight="1">
      <x:c r="A26" s="3947" t="str">
        <x:v>RUL-034</x:v>
      </x:c>
      <x:c r="B26" s="3947" t="str">
        <x:v>EJECUCIÓN</x:v>
      </x:c>
      <x:c r="C26" s="4247" t="str">
        <x:v>P2</x:v>
      </x:c>
      <x:c r="D26" s="3947" t="str">
        <x:v>CLOSE_GUARD</x:v>
      </x:c>
      <x:c r="E26" s="3947" t="str">
        <x:v>Parte</x:v>
      </x:c>
      <x:c r="F26" s="3947" t="str">
        <x:v>CLOSE_PART</x:v>
      </x:c>
      <x:c r="G26" s="3947" t="str">
        <x:v>EN_EJECUCION / SUSPENDIDO</x:v>
      </x:c>
      <x:c r="H26" s="3947" t="str">
        <x:v>Todas las UE terminales + no intervalos abiertos + no trabajo activo</x:v>
      </x:c>
      <x:c r="I26" s="3947" t="str">
        <x:v>PERMITIR CERRADO_OPERATIVAMENTE</x:v>
      </x:c>
      <x:c r="J26" s="3947" t="str">
        <x:v>CERRADO_OPERATIVAMENTE</x:v>
      </x:c>
      <x:c r="K26" s="3947" t="str">
        <x:v>DecisionTrace</x:v>
      </x:c>
      <x:c r="L26" s="4248" t="str">
        <x:v>HARD_GATE</x:v>
      </x:c>
      <x:c r="M26" s="3947" t="str">
        <x:v>TipoParte</x:v>
      </x:c>
    </x:row>
    <x:row r="27" ht="74" customHeight="1">
      <x:c r="A27" s="3947" t="str">
        <x:v>RUL-035</x:v>
      </x:c>
      <x:c r="B27" s="3947" t="str">
        <x:v>EJECUCIÓN</x:v>
      </x:c>
      <x:c r="C27" s="4247" t="str">
        <x:v>P2</x:v>
      </x:c>
      <x:c r="D27" s="3947" t="str">
        <x:v>NO_REOPEN</x:v>
      </x:c>
      <x:c r="E27" s="3947" t="str">
        <x:v>UE / Parte</x:v>
      </x:c>
      <x:c r="F27" s="3947" t="str">
        <x:v>EDIT_AFTER_CLOSE</x:v>
      </x:c>
      <x:c r="G27" s="3947" t="str">
        <x:v>CERRADA / CERRADO_OPERATIVAMENTE</x:v>
      </x:c>
      <x:c r="H27" s="3947" t="str">
        <x:v>Se detecta error real</x:v>
      </x:c>
      <x:c r="I27" s="3947" t="str">
        <x:v>BLOQUEAR edición directa; CREAR EnmiendaOperativa</x:v>
      </x:c>
      <x:c r="J27" s="3947" t="str">
        <x:v>sin cambio</x:v>
      </x:c>
      <x:c r="K27" s="3947" t="str">
        <x:v>EnmiendaOperativa</x:v>
      </x:c>
      <x:c r="L27" s="4248" t="str">
        <x:v>HARD_BLOCK</x:v>
      </x:c>
      <x:c r="M27" s="3947" t="str">
        <x:v>Global</x:v>
      </x:c>
    </x:row>
    <x:row r="28" ht="74" customHeight="1">
      <x:c r="A28" s="3947" t="str">
        <x:v>RUL-036</x:v>
      </x:c>
      <x:c r="B28" s="3947" t="str">
        <x:v>EJECUCIÓN</x:v>
      </x:c>
      <x:c r="C28" s="4245" t="str">
        <x:v>P5</x:v>
      </x:c>
      <x:c r="D28" s="3947" t="str">
        <x:v>EMERGENT_CONTEXT</x:v>
      </x:c>
      <x:c r="E28" s="3947" t="str">
        <x:v>ImputacionEjecucion</x:v>
      </x:c>
      <x:c r="F28" s="3947" t="str">
        <x:v>EMERGENT_WORK</x:v>
      </x:c>
      <x:c r="G28" s="3947" t="str">
        <x:v>UE PENDIENTE / EN_EJECUCION</x:v>
      </x:c>
      <x:c r="H28" s="3947" t="str">
        <x:v>ContratoServicio/CC/Item no pueden resolverse confiablemente</x:v>
      </x:c>
      <x:c r="I28" s="3947" t="str">
        <x:v>MARCAR estado_contexto_contractual=PENDIENTE o AMBIGUO; no inventar valores</x:v>
      </x:c>
      <x:c r="J28" s="3947" t="str">
        <x:v>sin cambio</x:v>
      </x:c>
      <x:c r="K28" s="3947" t="str">
        <x:v>ImputacionEjecucion + DecisionTrace</x:v>
      </x:c>
      <x:c r="L28" s="4246" t="str">
        <x:v>REQUIRED</x:v>
      </x:c>
      <x:c r="M28" s="3947" t="str">
        <x:v>ReglaInicioEmergente</x:v>
      </x:c>
    </x:row>
    <x:row r="29" ht="74" customHeight="1">
      <x:c r="A29" s="3947" t="str">
        <x:v>RUL-037</x:v>
      </x:c>
      <x:c r="B29" s="3947" t="str">
        <x:v>EJECUCIÓN</x:v>
      </x:c>
      <x:c r="C29" s="4248" t="str">
        <x:v>P1</x:v>
      </x:c>
      <x:c r="D29" s="3947" t="str">
        <x:v>EMERGENT_START</x:v>
      </x:c>
      <x:c r="E29" s="3947" t="str">
        <x:v>UE</x:v>
      </x:c>
      <x:c r="F29" s="3947" t="str">
        <x:v>START_WITH_CONTRACT_PENDING</x:v>
      </x:c>
      <x:c r="G29" s="3947" t="str">
        <x:v>PENDIENTE</x:v>
      </x:c>
      <x:c r="H29" s="3947" t="str">
        <x:v>Habilita gates OK y ReglaInicioEmergente=PERMITIR_AUTORIZADO con autoridad válida</x:v>
      </x:c>
      <x:c r="I29" s="3947" t="str">
        <x:v>PERMITIR Start Work y registrar autorización</x:v>
      </x:c>
      <x:c r="J29" s="3947" t="str">
        <x:v>EN_EJECUCION</x:v>
      </x:c>
      <x:c r="K29" s="3947" t="str">
        <x:v>Override/DecisionTrace</x:v>
      </x:c>
      <x:c r="L29" s="4248" t="str">
        <x:v>HARD_GATE</x:v>
      </x:c>
      <x:c r="M29" s="3947" t="str">
        <x:v>Cliente/servicio/riesgo</x:v>
      </x:c>
    </x:row>
    <x:row r="30" ht="74" customHeight="1">
      <x:c r="A30" s="3947" t="str">
        <x:v>RUL-038</x:v>
      </x:c>
      <x:c r="B30" s="3947" t="str">
        <x:v>EJECUCIÓN</x:v>
      </x:c>
      <x:c r="C30" s="4246" t="str">
        <x:v>P6</x:v>
      </x:c>
      <x:c r="D30" s="3947" t="str">
        <x:v>COMMERCIAL_BLOCK</x:v>
      </x:c>
      <x:c r="E30" s="3947" t="str">
        <x:v>ImputacionEjecucion / UC</x:v>
      </x:c>
      <x:c r="F30" s="3947" t="str">
        <x:v>DERIVE_COMMERCIAL</x:v>
      </x:c>
      <x:c r="G30" s="3947" t="str">
        <x:v>UE CERRADA</x:v>
      </x:c>
      <x:c r="H30" s="3947" t="str">
        <x:v>estado_contexto_contractual != RESUELTO</x:v>
      </x:c>
      <x:c r="I30" s="3947" t="str">
        <x:v>BLOQUEAR creación/avance comercial definitivo; enviar a reconciliación</x:v>
      </x:c>
      <x:c r="J30" s="3947" t="str">
        <x:v>sin cambio</x:v>
      </x:c>
      <x:c r="K30" s="3947" t="str">
        <x:v>cola/backoffice resolución</x:v>
      </x:c>
      <x:c r="L30" s="4248" t="str">
        <x:v>HARD_BLOCK comercial</x:v>
      </x:c>
      <x:c r="M30" s="3947" t="str">
        <x:v>ContratoServicio</x:v>
      </x:c>
    </x:row>
  </x:sheetData>
  <x:mergeCells>
    <x:mergeCell ref="A1:M1"/>
    <x:mergeCell ref="A2:M2"/>
  </x:mergeCells>
  <x:pageMargins left="0.7" right="0.7" top="0.75" bottom="0.75" header="0.3" footer="0.3"/>
</x:worksheet>
</file>

<file path=xl/worksheets/sheet63.xml><?xml version="1.0" encoding="utf-8"?>
<x:worksheet xmlns:x="http://schemas.openxmlformats.org/spreadsheetml/2006/main">
  <x:sheetFormatPr defaultRowHeight="15"/>
  <x:cols>
    <x:col min="1" max="1" width="10" hidden="0" customWidth="1"/>
    <x:col min="2" max="2" width="18" hidden="0" customWidth="1"/>
    <x:col min="3" max="3" width="9" hidden="0" customWidth="1"/>
    <x:col min="4" max="4" width="18" hidden="0" customWidth="1"/>
    <x:col min="5" max="5" width="23" hidden="0" customWidth="1"/>
    <x:col min="6" max="6" width="23" hidden="0" customWidth="1"/>
    <x:col min="7" max="7" width="25" hidden="0" customWidth="1"/>
    <x:col min="8" max="8" width="44" hidden="0" customWidth="1"/>
    <x:col min="9" max="9" width="42" hidden="0" customWidth="1"/>
    <x:col min="10" max="10" width="22" hidden="0" customWidth="1"/>
    <x:col min="11" max="11" width="30" hidden="0" customWidth="1"/>
    <x:col min="12" max="12" width="18" hidden="0" customWidth="1"/>
    <x:col min="13" max="13" width="26" hidden="0" customWidth="1"/>
  </x:cols>
  <x:sheetData>
    <x:row r="1">
      <x:c r="A1" s="4242" t="str">
        <x:v>REGLAS · HABILITA / PTW / CONTROL PLANE</x:v>
      </x:c>
      <x:c r="B1" s="4242"/>
      <x:c r="C1" s="4242"/>
      <x:c r="D1" s="4242"/>
      <x:c r="E1" s="4242"/>
      <x:c r="F1" s="4242"/>
      <x:c r="G1" s="4242"/>
      <x:c r="H1" s="4242"/>
      <x:c r="I1" s="4242"/>
      <x:c r="J1" s="4242"/>
      <x:c r="K1" s="4242"/>
      <x:c r="L1" s="4242"/>
      <x:c r="M1" s="4242"/>
    </x:row>
    <x:row r="2">
      <x:c r="A2" s="4243" t="str">
        <x:v>20 reglas. Vista operativa derivada de 57_Matriz_Maestra_Reglas; la fuente canónica es la matriz maestra.</x:v>
      </x:c>
      <x:c r="B2" s="4243"/>
      <x:c r="C2" s="4243"/>
      <x:c r="D2" s="4243"/>
      <x:c r="E2" s="4243"/>
      <x:c r="F2" s="4243"/>
      <x:c r="G2" s="4243"/>
      <x:c r="H2" s="4243"/>
      <x:c r="I2" s="4243"/>
      <x:c r="J2" s="4243"/>
      <x:c r="K2" s="4243"/>
      <x:c r="L2" s="4243"/>
      <x:c r="M2" s="4243"/>
    </x:row>
    <x:row r="3">
      <x:c r="A3" s="3945"/>
      <x:c r="B3" s="3945"/>
      <x:c r="C3" s="3945"/>
      <x:c r="D3" s="3945"/>
      <x:c r="E3" s="3945"/>
      <x:c r="F3" s="3945"/>
      <x:c r="G3" s="3945"/>
      <x:c r="H3" s="3945"/>
      <x:c r="I3" s="3945"/>
      <x:c r="J3" s="3945"/>
      <x:c r="K3" s="3945"/>
      <x:c r="L3" s="3945"/>
      <x:c r="M3" s="3945"/>
    </x:row>
    <x:row r="4">
      <x:c r="A4" s="4244" t="str">
        <x:v>Rule ID</x:v>
      </x:c>
      <x:c r="B4" s="4244" t="str">
        <x:v>Dominio</x:v>
      </x:c>
      <x:c r="C4" s="4244" t="str">
        <x:v>Prec.</x:v>
      </x:c>
      <x:c r="D4" s="4244" t="str">
        <x:v>Clase</x:v>
      </x:c>
      <x:c r="E4" s="4244" t="str">
        <x:v>Sujeto</x:v>
      </x:c>
      <x:c r="F4" s="4244" t="str">
        <x:v>Trigger</x:v>
      </x:c>
      <x:c r="G4" s="4244" t="str">
        <x:v>Estado/contexto</x:v>
      </x:c>
      <x:c r="H4" s="4244" t="str">
        <x:v>Condición</x:v>
      </x:c>
      <x:c r="I4" s="4244" t="str">
        <x:v>Decisión</x:v>
      </x:c>
      <x:c r="J4" s="4244" t="str">
        <x:v>Destino</x:v>
      </x:c>
      <x:c r="K4" s="4244" t="str">
        <x:v>Side effects</x:v>
      </x:c>
      <x:c r="L4" s="4244" t="str">
        <x:v>Fuerza</x:v>
      </x:c>
      <x:c r="M4" s="4244" t="str">
        <x:v>Scope</x:v>
      </x:c>
    </x:row>
    <x:row r="5" ht="74" customHeight="1">
      <x:c r="A5" s="3947" t="str">
        <x:v>RUL-039</x:v>
      </x:c>
      <x:c r="B5" s="3947" t="str">
        <x:v>HABILITA</x:v>
      </x:c>
      <x:c r="C5" s="4248" t="str">
        <x:v>P1</x:v>
      </x:c>
      <x:c r="D5" s="3947" t="str">
        <x:v>HARD_BLOCK</x:v>
      </x:c>
      <x:c r="E5" s="3947" t="str">
        <x:v>EvaluacionHabilitacion</x:v>
      </x:c>
      <x:c r="F5" s="3947" t="str">
        <x:v>EVALUATE</x:v>
      </x:c>
      <x:c r="G5" s="3947" t="str">
        <x:v>—</x:v>
      </x:c>
      <x:c r="H5" s="3947" t="str">
        <x:v>Falta requisito crítico/no overrideable aplicable a persona/recurso/contexto</x:v>
      </x:c>
      <x:c r="I5" s="3947" t="str">
        <x:v>RESULTADO BLOQUEA</x:v>
      </x:c>
      <x:c r="J5" s="3947" t="str">
        <x:v>—</x:v>
      </x:c>
      <x:c r="K5" s="3947" t="str">
        <x:v>EvaluacionHabilitacion</x:v>
      </x:c>
      <x:c r="L5" s="4248" t="str">
        <x:v>HARD_BLOCK</x:v>
      </x:c>
      <x:c r="M5" s="3947" t="str">
        <x:v>RequisitoHabilitacion</x:v>
      </x:c>
    </x:row>
    <x:row r="6" ht="74" customHeight="1">
      <x:c r="A6" s="3947" t="str">
        <x:v>RUL-040</x:v>
      </x:c>
      <x:c r="B6" s="3947" t="str">
        <x:v>HABILITA</x:v>
      </x:c>
      <x:c r="C6" s="4248" t="str">
        <x:v>P1</x:v>
      </x:c>
      <x:c r="D6" s="3947" t="str">
        <x:v>WARNING</x:v>
      </x:c>
      <x:c r="E6" s="3947" t="str">
        <x:v>EvaluacionHabilitacion</x:v>
      </x:c>
      <x:c r="F6" s="3947" t="str">
        <x:v>EVALUATE</x:v>
      </x:c>
      <x:c r="G6" s="3947" t="str">
        <x:v>—</x:v>
      </x:c>
      <x:c r="H6" s="3947" t="str">
        <x:v>Requisito genera advertencia overrideable</x:v>
      </x:c>
      <x:c r="I6" s="3947" t="str">
        <x:v>RESULTADO ADVIERTE; no continuar sin OverrideGate válido</x:v>
      </x:c>
      <x:c r="J6" s="3947" t="str">
        <x:v>—</x:v>
      </x:c>
      <x:c r="K6" s="3947" t="str">
        <x:v>EvaluacionHabilitacion</x:v>
      </x:c>
      <x:c r="L6" s="4247" t="str">
        <x:v>WARN</x:v>
      </x:c>
      <x:c r="M6" s="3947" t="str">
        <x:v>RequisitoHabilitacion</x:v>
      </x:c>
    </x:row>
    <x:row r="7" ht="74" customHeight="1">
      <x:c r="A7" s="3947" t="str">
        <x:v>RUL-041</x:v>
      </x:c>
      <x:c r="B7" s="3947" t="str">
        <x:v>HABILITA</x:v>
      </x:c>
      <x:c r="C7" s="4248" t="str">
        <x:v>P1</x:v>
      </x:c>
      <x:c r="D7" s="3947" t="str">
        <x:v>OVERRIDE_GUARD</x:v>
      </x:c>
      <x:c r="E7" s="3947" t="str">
        <x:v>OverrideGate</x:v>
      </x:c>
      <x:c r="F7" s="3947" t="str">
        <x:v>AUTHORIZE_OVERRIDE</x:v>
      </x:c>
      <x:c r="G7" s="3947" t="str">
        <x:v>—</x:v>
      </x:c>
      <x:c r="H7" s="3947" t="str">
        <x:v>Gate está explícitamente marcado overrideable + actor tiene autoridad + motivo/evidencia</x:v>
      </x:c>
      <x:c r="I7" s="3947" t="str">
        <x:v>PERMITIR override y registrar evento append-only</x:v>
      </x:c>
      <x:c r="J7" s="3947" t="str">
        <x:v>—</x:v>
      </x:c>
      <x:c r="K7" s="3947" t="str">
        <x:v>OverrideGate</x:v>
      </x:c>
      <x:c r="L7" s="4248" t="str">
        <x:v>HARD_GATE</x:v>
      </x:c>
      <x:c r="M7" s="3947" t="str">
        <x:v>Regla de gate</x:v>
      </x:c>
    </x:row>
    <x:row r="8" ht="74" customHeight="1">
      <x:c r="A8" s="3947" t="str">
        <x:v>RUL-042</x:v>
      </x:c>
      <x:c r="B8" s="3947" t="str">
        <x:v>HABILITA</x:v>
      </x:c>
      <x:c r="C8" s="4248" t="str">
        <x:v>P1</x:v>
      </x:c>
      <x:c r="D8" s="3947" t="str">
        <x:v>PTW_REQUIRED</x:v>
      </x:c>
      <x:c r="E8" s="3947" t="str">
        <x:v>PermisoTrabajo</x:v>
      </x:c>
      <x:c r="F8" s="3947" t="str">
        <x:v>PRE_START_CHECK</x:v>
      </x:c>
      <x:c r="G8" s="3947" t="str">
        <x:v>Parte/UE PREPARADO/PENDIENTE</x:v>
      </x:c>
      <x:c r="H8" s="3947" t="str">
        <x:v>Tipo de trabajo/contexto requiere PTW</x:v>
      </x:c>
      <x:c r="I8" s="3947" t="str">
        <x:v>EXIGIR ≥1 PTW aplicable VIGENTE antes de Start Work</x:v>
      </x:c>
      <x:c r="J8" s="3947" t="str">
        <x:v>—</x:v>
      </x:c>
      <x:c r="K8" s="3947" t="str">
        <x:v>DecisionTrace</x:v>
      </x:c>
      <x:c r="L8" s="4248" t="str">
        <x:v>HARD_BLOCK</x:v>
      </x:c>
      <x:c r="M8" s="3947" t="str">
        <x:v>TipoTrabajo / ubicación / riesgo</x:v>
      </x:c>
    </x:row>
    <x:row r="9" ht="74" customHeight="1">
      <x:c r="A9" s="3947" t="str">
        <x:v>RUL-043</x:v>
      </x:c>
      <x:c r="B9" s="3947" t="str">
        <x:v>HABILITA</x:v>
      </x:c>
      <x:c r="C9" s="4248" t="str">
        <x:v>P1</x:v>
      </x:c>
      <x:c r="D9" s="3947" t="str">
        <x:v>PTW_ACTIVATE</x:v>
      </x:c>
      <x:c r="E9" s="3947" t="str">
        <x:v>PermisoTrabajo</x:v>
      </x:c>
      <x:c r="F9" s="3947" t="str">
        <x:v>ACTIVATE</x:v>
      </x:c>
      <x:c r="G9" s="3947" t="str">
        <x:v>APROBADO</x:v>
      </x:c>
      <x:c r="H9" s="3947" t="str">
        <x:v>Ventana/contexto real coincide + controles previos válidos</x:v>
      </x:c>
      <x:c r="I9" s="3947" t="str">
        <x:v>PERMITIR VIGENTE</x:v>
      </x:c>
      <x:c r="J9" s="3947" t="str">
        <x:v>VIGENTE</x:v>
      </x:c>
      <x:c r="K9" s="3947" t="str">
        <x:v>DecisionTrace</x:v>
      </x:c>
      <x:c r="L9" s="4248" t="str">
        <x:v>HARD_GATE</x:v>
      </x:c>
      <x:c r="M9" s="3947" t="str">
        <x:v>PTW ruleset</x:v>
      </x:c>
    </x:row>
    <x:row r="10" ht="74" customHeight="1">
      <x:c r="A10" s="3947" t="str">
        <x:v>RUL-044</x:v>
      </x:c>
      <x:c r="B10" s="3947" t="str">
        <x:v>HABILITA</x:v>
      </x:c>
      <x:c r="C10" s="4248" t="str">
        <x:v>P1</x:v>
      </x:c>
      <x:c r="D10" s="3947" t="str">
        <x:v>PTW_SUSPEND</x:v>
      </x:c>
      <x:c r="E10" s="3947" t="str">
        <x:v>PermisoTrabajo</x:v>
      </x:c>
      <x:c r="F10" s="3947" t="str">
        <x:v>CONDITION_CHANGED</x:v>
      </x:c>
      <x:c r="G10" s="3947" t="str">
        <x:v>VIGENTE</x:v>
      </x:c>
      <x:c r="H10" s="3947" t="str">
        <x:v>Condición de seguridad/alcance/handover requiere revalidación</x:v>
      </x:c>
      <x:c r="I10" s="3947" t="str">
        <x:v>SUSPENDER PTW y bloquear trabajo cubierto</x:v>
      </x:c>
      <x:c r="J10" s="3947" t="str">
        <x:v>SUSPENDIDO</x:v>
      </x:c>
      <x:c r="K10" s="3947" t="str">
        <x:v>DirectivaOperativa si aplica</x:v>
      </x:c>
      <x:c r="L10" s="4248" t="str">
        <x:v>HARD_BLOCK</x:v>
      </x:c>
      <x:c r="M10" s="3947" t="str">
        <x:v>PTW ruleset</x:v>
      </x:c>
    </x:row>
    <x:row r="11" ht="74" customHeight="1">
      <x:c r="A11" s="3947" t="str">
        <x:v>RUL-045</x:v>
      </x:c>
      <x:c r="B11" s="3947" t="str">
        <x:v>HABILITA</x:v>
      </x:c>
      <x:c r="C11" s="4248" t="str">
        <x:v>P1</x:v>
      </x:c>
      <x:c r="D11" s="3947" t="str">
        <x:v>PTW_EXPIRE</x:v>
      </x:c>
      <x:c r="E11" s="3947" t="str">
        <x:v>PermisoTrabajo</x:v>
      </x:c>
      <x:c r="F11" s="3947" t="str">
        <x:v>VALID_UNTIL_PASSED</x:v>
      </x:c>
      <x:c r="G11" s="3947" t="str">
        <x:v>APROBADO / VIGENTE / SUSPENDIDO</x:v>
      </x:c>
      <x:c r="H11" s="3947" t="str">
        <x:v>Superó vigencia</x:v>
      </x:c>
      <x:c r="I11" s="3947" t="str">
        <x:v>MARCAR VENCIDO + bloquear nuevos Start/Restart + alertar</x:v>
      </x:c>
      <x:c r="J11" s="3947" t="str">
        <x:v>VENCIDO</x:v>
      </x:c>
      <x:c r="K11" s="3947" t="str">
        <x:v>Alerta/DecisionTrace</x:v>
      </x:c>
      <x:c r="L11" s="4248" t="str">
        <x:v>HARD_BLOCK</x:v>
      </x:c>
      <x:c r="M11" s="3947" t="str">
        <x:v>PTW</x:v>
      </x:c>
    </x:row>
    <x:row r="12" ht="74" customHeight="1">
      <x:c r="A12" s="3947" t="str">
        <x:v>RUL-046</x:v>
      </x:c>
      <x:c r="B12" s="3947" t="str">
        <x:v>HABILITA</x:v>
      </x:c>
      <x:c r="C12" s="4248" t="str">
        <x:v>P1</x:v>
      </x:c>
      <x:c r="D12" s="3947" t="str">
        <x:v>PTW_CLOSE</x:v>
      </x:c>
      <x:c r="E12" s="3947" t="str">
        <x:v>PermisoTrabajo</x:v>
      </x:c>
      <x:c r="F12" s="3947" t="str">
        <x:v>CLOSE</x:v>
      </x:c>
      <x:c r="G12" s="3947" t="str">
        <x:v>VIGENTE / SUSPENDIDO</x:v>
      </x:c>
      <x:c r="H12" s="3947" t="str">
        <x:v>Trabajo/alcance terminado + cierre autorizado/firmas requeridas</x:v>
      </x:c>
      <x:c r="I12" s="3947" t="str">
        <x:v>PERMITIR CERRADO</x:v>
      </x:c>
      <x:c r="J12" s="3947" t="str">
        <x:v>CERRADO</x:v>
      </x:c>
      <x:c r="K12" s="3947" t="str">
        <x:v>Evento cierre</x:v>
      </x:c>
      <x:c r="L12" s="4248" t="str">
        <x:v>HARD_GATE</x:v>
      </x:c>
      <x:c r="M12" s="3947" t="str">
        <x:v>PTW</x:v>
      </x:c>
    </x:row>
    <x:row r="13" ht="74" customHeight="1">
      <x:c r="A13" s="3947" t="str">
        <x:v>RUL-047</x:v>
      </x:c>
      <x:c r="B13" s="3947" t="str">
        <x:v>HABILITA</x:v>
      </x:c>
      <x:c r="C13" s="4246" t="str">
        <x:v>P7</x:v>
      </x:c>
      <x:c r="D13" s="3947" t="str">
        <x:v>FLASH_REPORT</x:v>
      </x:c>
      <x:c r="E13" s="3947" t="str">
        <x:v>EventoHabilita</x:v>
      </x:c>
      <x:c r="F13" s="3947" t="str">
        <x:v>REPORT_EVENT</x:v>
      </x:c>
      <x:c r="G13" s="3947" t="str">
        <x:v>—</x:v>
      </x:c>
      <x:c r="H13" s="3947" t="str">
        <x:v>Usuario reporta evento/condición</x:v>
      </x:c>
      <x:c r="I13" s="3947" t="str">
        <x:v>AUTODERIVAR contexto activo y solicitar solo inputs mínimos</x:v>
      </x:c>
      <x:c r="J13" s="3947" t="str">
        <x:v>REPORTADO</x:v>
      </x:c>
      <x:c r="K13" s="3947" t="str">
        <x:v>EventoHabilita</x:v>
      </x:c>
      <x:c r="L13" s="4246" t="str">
        <x:v>REQUIRED</x:v>
      </x:c>
      <x:c r="M13" s="3947" t="str">
        <x:v>TipoEventoHabilita</x:v>
      </x:c>
    </x:row>
    <x:row r="14" ht="74" customHeight="1">
      <x:c r="A14" s="3947" t="str">
        <x:v>RUL-048</x:v>
      </x:c>
      <x:c r="B14" s="3947" t="str">
        <x:v>HABILITA</x:v>
      </x:c>
      <x:c r="C14" s="4245" t="str">
        <x:v>P5</x:v>
      </x:c>
      <x:c r="D14" s="3947" t="str">
        <x:v>TRIAGE</x:v>
      </x:c>
      <x:c r="E14" s="3947" t="str">
        <x:v>EventoHabilita</x:v>
      </x:c>
      <x:c r="F14" s="3947" t="str">
        <x:v>START_TRIAGE</x:v>
      </x:c>
      <x:c r="G14" s="3947" t="str">
        <x:v>REPORTADO</x:v>
      </x:c>
      <x:c r="H14" s="3947" t="str">
        <x:v>Evento no descartado/duplicado</x:v>
      </x:c>
      <x:c r="I14" s="3947" t="str">
        <x:v>MOVER a EN_TRIAGE y asignar responsable/cola</x:v>
      </x:c>
      <x:c r="J14" s="3947" t="str">
        <x:v>EN_TRIAGE</x:v>
      </x:c>
      <x:c r="K14" s="3947" t="str">
        <x:v>DecisionTrace</x:v>
      </x:c>
      <x:c r="L14" s="4246" t="str">
        <x:v>REQUIRED</x:v>
      </x:c>
      <x:c r="M14" s="3947" t="str">
        <x:v>Habilita</x:v>
      </x:c>
    </x:row>
    <x:row r="15" ht="74" customHeight="1">
      <x:c r="A15" s="3947" t="str">
        <x:v>RUL-049</x:v>
      </x:c>
      <x:c r="B15" s="3947" t="str">
        <x:v>HABILITA</x:v>
      </x:c>
      <x:c r="C15" s="4245" t="str">
        <x:v>P5</x:v>
      </x:c>
      <x:c r="D15" s="3947" t="str">
        <x:v>CLASSIFY</x:v>
      </x:c>
      <x:c r="E15" s="3947" t="str">
        <x:v>EventoHabilita</x:v>
      </x:c>
      <x:c r="F15" s="3947" t="str">
        <x:v>CLASSIFY</x:v>
      </x:c>
      <x:c r="G15" s="3947" t="str">
        <x:v>EN_TRIAGE</x:v>
      </x:c>
      <x:c r="H15" s="3947" t="str">
        <x:v>Información suficiente para categoría/severidad/contexto</x:v>
      </x:c>
      <x:c r="I15" s="3947" t="str">
        <x:v>CLASIFICAR sin borrar valores iniciales</x:v>
      </x:c>
      <x:c r="J15" s="3947" t="str">
        <x:v>CLASIFICADO</x:v>
      </x:c>
      <x:c r="K15" s="3947" t="str">
        <x:v>versión/clasificación vigente</x:v>
      </x:c>
      <x:c r="L15" s="4246" t="str">
        <x:v>REQUIRED</x:v>
      </x:c>
      <x:c r="M15" s="3947" t="str">
        <x:v>Taxonomía Habilita</x:v>
      </x:c>
    </x:row>
    <x:row r="16" ht="74" customHeight="1">
      <x:c r="A16" s="3947" t="str">
        <x:v>RUL-050</x:v>
      </x:c>
      <x:c r="B16" s="3947" t="str">
        <x:v>HABILITA</x:v>
      </x:c>
      <x:c r="C16" s="4248" t="str">
        <x:v>P1</x:v>
      </x:c>
      <x:c r="D16" s="3947" t="str">
        <x:v>ESCALATE</x:v>
      </x:c>
      <x:c r="E16" s="3947" t="str">
        <x:v>EventoHabilita</x:v>
      </x:c>
      <x:c r="F16" s="3947" t="str">
        <x:v>EVALUATE_ESCALATION</x:v>
      </x:c>
      <x:c r="G16" s="3947" t="str">
        <x:v>CLASIFICADO</x:v>
      </x:c>
      <x:c r="H16" s="3947" t="str">
        <x:v>Aplica ReglaEscalamientoHabilita</x:v>
      </x:c>
      <x:c r="I16" s="3947" t="str">
        <x:v>CREAR EvaluacionEscalamientoHabilita con regla/version + outputs</x:v>
      </x:c>
      <x:c r="J16" s="3947" t="str">
        <x:v>CLASIFICADO</x:v>
      </x:c>
      <x:c r="K16" s="3947" t="str">
        <x:v>EvaluacionEscalamientoHabilita</x:v>
      </x:c>
      <x:c r="L16" s="4246" t="str">
        <x:v>REQUIRED</x:v>
      </x:c>
      <x:c r="M16" s="3947" t="str">
        <x:v>Matriz Habilita</x:v>
      </x:c>
    </x:row>
    <x:row r="17" ht="74" customHeight="1">
      <x:c r="A17" s="3947" t="str">
        <x:v>RUL-051</x:v>
      </x:c>
      <x:c r="B17" s="3947" t="str">
        <x:v>HABILITA</x:v>
      </x:c>
      <x:c r="C17" s="4248" t="str">
        <x:v>P1</x:v>
      </x:c>
      <x:c r="D17" s="3947" t="str">
        <x:v>UNCONTROLLED_DEFAULT</x:v>
      </x:c>
      <x:c r="E17" s="3947" t="str">
        <x:v>EventoHabilita</x:v>
      </x:c>
      <x:c r="F17" s="3947" t="str">
        <x:v>FLASH_REPORT_OR_TRIAGE</x:v>
      </x:c>
      <x:c r="G17" s="3947" t="str">
        <x:v>REPORTADO / EN_TRIAGE</x:v>
      </x:c>
      <x:c r="H17" s="3947" t="str">
        <x:v>situación_controlada = NO</x:v>
      </x:c>
      <x:c r="I17" s="3947" t="str">
        <x:v>EMITIR/PROPONER suspensión inmediata del trabajo afectado + escalar triage</x:v>
      </x:c>
      <x:c r="J17" s="3947" t="str">
        <x:v>—</x:v>
      </x:c>
      <x:c r="K17" s="3947" t="str">
        <x:v>DirectivaOperativa + evaluación</x:v>
      </x:c>
      <x:c r="L17" s="4248" t="str">
        <x:v>HARD_BLOCK operacional</x:v>
      </x:c>
      <x:c r="M17" s="3947" t="str">
        <x:v>Default baseline / Habilita</x:v>
      </x:c>
    </x:row>
    <x:row r="18" ht="74" customHeight="1">
      <x:c r="A18" s="3947" t="str">
        <x:v>RUL-052</x:v>
      </x:c>
      <x:c r="B18" s="3947" t="str">
        <x:v>HABILITA</x:v>
      </x:c>
      <x:c r="C18" s="4248" t="str">
        <x:v>P1</x:v>
      </x:c>
      <x:c r="D18" s="3947" t="str">
        <x:v>OPEN_CASE</x:v>
      </x:c>
      <x:c r="E18" s="3947" t="str">
        <x:v>CasoHabilita</x:v>
      </x:c>
      <x:c r="F18" s="3947" t="str">
        <x:v>ESCALATION_REQUIRES_CASE</x:v>
      </x:c>
      <x:c r="G18" s="3947" t="str">
        <x:v>Evento CLASIFICADO</x:v>
      </x:c>
      <x:c r="H18" s="3947" t="str">
        <x:v>EvaluacionEscalamiento exige investigación/caso</x:v>
      </x:c>
      <x:c r="I18" s="3947" t="str">
        <x:v>CREAR CasoHabilita ABIERTO</x:v>
      </x:c>
      <x:c r="J18" s="3947" t="str">
        <x:v>ABIERTO</x:v>
      </x:c>
      <x:c r="K18" s="3947" t="str">
        <x:v>CasoHabilita</x:v>
      </x:c>
      <x:c r="L18" s="4246" t="str">
        <x:v>REQUIRED</x:v>
      </x:c>
      <x:c r="M18" s="3947" t="str">
        <x:v>ReglaEscalamientoHabilita</x:v>
      </x:c>
    </x:row>
    <x:row r="19" ht="74" customHeight="1">
      <x:c r="A19" s="3947" t="str">
        <x:v>RUL-053</x:v>
      </x:c>
      <x:c r="B19" s="3947" t="str">
        <x:v>HABILITA</x:v>
      </x:c>
      <x:c r="C19" s="4245" t="str">
        <x:v>P5</x:v>
      </x:c>
      <x:c r="D19" s="3947" t="str">
        <x:v>CASE_CLOSE_GUARD</x:v>
      </x:c>
      <x:c r="E19" s="3947" t="str">
        <x:v>CasoHabilita</x:v>
      </x:c>
      <x:c r="F19" s="3947" t="str">
        <x:v>CLOSE_CASE</x:v>
      </x:c>
      <x:c r="G19" s="3947" t="str">
        <x:v>LISTO_PARA_CIERRE</x:v>
      </x:c>
      <x:c r="H19" s="3947" t="str">
        <x:v>Investigación finalizada + notificaciones requeridas resueltas + no acciones bloqueantes sin verificar</x:v>
      </x:c>
      <x:c r="I19" s="3947" t="str">
        <x:v>PERMITIR CERRADO</x:v>
      </x:c>
      <x:c r="J19" s="3947" t="str">
        <x:v>CERRADO</x:v>
      </x:c>
      <x:c r="K19" s="3947" t="str">
        <x:v>DecisionTrace</x:v>
      </x:c>
      <x:c r="L19" s="4248" t="str">
        <x:v>HARD_GATE</x:v>
      </x:c>
      <x:c r="M19" s="3947" t="str">
        <x:v>Policy Habilita</x:v>
      </x:c>
    </x:row>
    <x:row r="20" ht="74" customHeight="1">
      <x:c r="A20" s="3947" t="str">
        <x:v>RUL-054</x:v>
      </x:c>
      <x:c r="B20" s="3947" t="str">
        <x:v>CONTROL PLANE</x:v>
      </x:c>
      <x:c r="C20" s="4247" t="str">
        <x:v>P3</x:v>
      </x:c>
      <x:c r="D20" s="3947" t="str">
        <x:v>EMIT</x:v>
      </x:c>
      <x:c r="E20" s="3947" t="str">
        <x:v>DirectivaOperativa</x:v>
      </x:c>
      <x:c r="F20" s="3947" t="str">
        <x:v>POST_DISPATCH_COMMAND</x:v>
      </x:c>
      <x:c r="G20" s="3947" t="str">
        <x:v>—</x:v>
      </x:c>
      <x:c r="H20" s="3947" t="str">
        <x:v>Existe cambio post-despacho/cancelación/suspensión/reprogramación/repriorización</x:v>
      </x:c>
      <x:c r="I20" s="3947" t="str">
        <x:v>CREAR DirectivaOperativa EMITIDA con target/motivo/versión</x:v>
      </x:c>
      <x:c r="J20" s="3947" t="str">
        <x:v>EMITIDA</x:v>
      </x:c>
      <x:c r="K20" s="3947" t="str">
        <x:v>DirectivaOperativa</x:v>
      </x:c>
      <x:c r="L20" s="4246" t="str">
        <x:v>REQUIRED</x:v>
      </x:c>
      <x:c r="M20" s="3947" t="str">
        <x:v>TipoDirectiva</x:v>
      </x:c>
    </x:row>
    <x:row r="21" ht="74" customHeight="1">
      <x:c r="A21" s="3947" t="str">
        <x:v>RUL-055</x:v>
      </x:c>
      <x:c r="B21" s="3947" t="str">
        <x:v>CONTROL PLANE</x:v>
      </x:c>
      <x:c r="C21" s="4247" t="str">
        <x:v>P3</x:v>
      </x:c>
      <x:c r="D21" s="3947" t="str">
        <x:v>DELIVERY</x:v>
      </x:c>
      <x:c r="E21" s="3947" t="str">
        <x:v>DirectivaOperativa</x:v>
      </x:c>
      <x:c r="F21" s="3947" t="str">
        <x:v>DEVICE_RECEIVES</x:v>
      </x:c>
      <x:c r="G21" s="3947" t="str">
        <x:v>EMITIDA</x:v>
      </x:c>
      <x:c r="H21" s="3947" t="str">
        <x:v>Entrega técnica confirmada</x:v>
      </x:c>
      <x:c r="I21" s="3947" t="str">
        <x:v>MARCAR RECIBIDA</x:v>
      </x:c>
      <x:c r="J21" s="3947" t="str">
        <x:v>RECIBIDA</x:v>
      </x:c>
      <x:c r="K21" s="3947" t="str">
        <x:v>received_at</x:v>
      </x:c>
      <x:c r="L21" s="4246" t="str">
        <x:v>REQUIRED</x:v>
      </x:c>
      <x:c r="M21" s="3947" t="str">
        <x:v>Control Plane</x:v>
      </x:c>
    </x:row>
    <x:row r="22" ht="74" customHeight="1">
      <x:c r="A22" s="3947" t="str">
        <x:v>RUL-056</x:v>
      </x:c>
      <x:c r="B22" s="3947" t="str">
        <x:v>CONTROL PLANE</x:v>
      </x:c>
      <x:c r="C22" s="4247" t="str">
        <x:v>P3</x:v>
      </x:c>
      <x:c r="D22" s="3947" t="str">
        <x:v>ACK</x:v>
      </x:c>
      <x:c r="E22" s="3947" t="str">
        <x:v>DirectivaOperativa</x:v>
      </x:c>
      <x:c r="F22" s="3947" t="str">
        <x:v>ACK</x:v>
      </x:c>
      <x:c r="G22" s="3947" t="str">
        <x:v>RECIBIDA</x:v>
      </x:c>
      <x:c r="H22" s="3947" t="str">
        <x:v>Receptor reconoce instrucción</x:v>
      </x:c>
      <x:c r="I22" s="3947" t="str">
        <x:v>MARCAR RECONOCIDA</x:v>
      </x:c>
      <x:c r="J22" s="3947" t="str">
        <x:v>RECONOCIDA</x:v>
      </x:c>
      <x:c r="K22" s="3947" t="str">
        <x:v>ack_at</x:v>
      </x:c>
      <x:c r="L22" s="4246" t="str">
        <x:v>REQUIRED</x:v>
      </x:c>
      <x:c r="M22" s="3947" t="str">
        <x:v>Control Plane</x:v>
      </x:c>
    </x:row>
    <x:row r="23" ht="74" customHeight="1">
      <x:c r="A23" s="3947" t="str">
        <x:v>RUL-057</x:v>
      </x:c>
      <x:c r="B23" s="3947" t="str">
        <x:v>CONTROL PLANE</x:v>
      </x:c>
      <x:c r="C23" s="4247" t="str">
        <x:v>P3</x:v>
      </x:c>
      <x:c r="D23" s="3947" t="str">
        <x:v>APPLY</x:v>
      </x:c>
      <x:c r="E23" s="3947" t="str">
        <x:v>DirectivaOperativa</x:v>
      </x:c>
      <x:c r="F23" s="3947" t="str">
        <x:v>EFFECT_EXECUTED</x:v>
      </x:c>
      <x:c r="G23" s="3947" t="str">
        <x:v>RECIBIDA / RECONOCIDA</x:v>
      </x:c>
      <x:c r="H23" s="3947" t="str">
        <x:v>Efecto quedó reflejado en target mediante evento/estado válido</x:v>
      </x:c>
      <x:c r="I23" s="3947" t="str">
        <x:v>MARCAR APLICADA</x:v>
      </x:c>
      <x:c r="J23" s="3947" t="str">
        <x:v>APLICADA</x:v>
      </x:c>
      <x:c r="K23" s="3947" t="str">
        <x:v>applied_at + target effect link</x:v>
      </x:c>
      <x:c r="L23" s="4246" t="str">
        <x:v>REQUIRED</x:v>
      </x:c>
      <x:c r="M23" s="3947" t="str">
        <x:v>Control Plane</x:v>
      </x:c>
    </x:row>
    <x:row r="24" ht="74" customHeight="1">
      <x:c r="A24" s="3947" t="str">
        <x:v>RUL-058</x:v>
      </x:c>
      <x:c r="B24" s="3947" t="str">
        <x:v>CONTROL PLANE</x:v>
      </x:c>
      <x:c r="C24" s="4247" t="str">
        <x:v>P3</x:v>
      </x:c>
      <x:c r="D24" s="3947" t="str">
        <x:v>STALE_COMMAND</x:v>
      </x:c>
      <x:c r="E24" s="3947" t="str">
        <x:v>DirectivaOperativa</x:v>
      </x:c>
      <x:c r="F24" s="3947" t="str">
        <x:v>VALID_UNTIL_PASSED</x:v>
      </x:c>
      <x:c r="G24" s="3947" t="str">
        <x:v>EMITIDA / RECIBIDA / RECONOCIDA</x:v>
      </x:c>
      <x:c r="H24" s="3947" t="str">
        <x:v>Directiva perdió vigencia antes de aplicar</x:v>
      </x:c>
      <x:c r="I24" s="3947" t="str">
        <x:v>MARCAR EXPIRADA y bloquear aplicación</x:v>
      </x:c>
      <x:c r="J24" s="3947" t="str">
        <x:v>EXPIRADA</x:v>
      </x:c>
      <x:c r="K24" s="3947" t="str">
        <x:v>DecisionTrace</x:v>
      </x:c>
      <x:c r="L24" s="4248" t="str">
        <x:v>HARD_BLOCK</x:v>
      </x:c>
      <x:c r="M24" s="3947" t="str">
        <x:v>TipoDirectiva</x:v>
      </x:c>
    </x:row>
  </x:sheetData>
  <x:mergeCells>
    <x:mergeCell ref="A1:M1"/>
    <x:mergeCell ref="A2:M2"/>
  </x:mergeCells>
  <x:pageMargins left="0.7" right="0.7" top="0.75" bottom="0.75" header="0.3" footer="0.3"/>
</x:worksheet>
</file>

<file path=xl/worksheets/sheet64.xml><?xml version="1.0" encoding="utf-8"?>
<x:worksheet xmlns:x="http://schemas.openxmlformats.org/spreadsheetml/2006/main">
  <x:sheetFormatPr defaultRowHeight="15"/>
  <x:cols>
    <x:col min="1" max="1" width="10" hidden="0" customWidth="1"/>
    <x:col min="2" max="2" width="18" hidden="0" customWidth="1"/>
    <x:col min="3" max="3" width="9" hidden="0" customWidth="1"/>
    <x:col min="4" max="4" width="18" hidden="0" customWidth="1"/>
    <x:col min="5" max="5" width="23" hidden="0" customWidth="1"/>
    <x:col min="6" max="6" width="23" hidden="0" customWidth="1"/>
    <x:col min="7" max="7" width="25" hidden="0" customWidth="1"/>
    <x:col min="8" max="8" width="44" hidden="0" customWidth="1"/>
    <x:col min="9" max="9" width="42" hidden="0" customWidth="1"/>
    <x:col min="10" max="10" width="22" hidden="0" customWidth="1"/>
    <x:col min="11" max="11" width="30" hidden="0" customWidth="1"/>
    <x:col min="12" max="12" width="18" hidden="0" customWidth="1"/>
    <x:col min="13" max="13" width="26" hidden="0" customWidth="1"/>
  </x:cols>
  <x:sheetData>
    <x:row r="1">
      <x:c r="A1" s="4242" t="str">
        <x:v>REGLAS · CERTIFICACIÓN / FACTURACIÓN / CORRECCIONES</x:v>
      </x:c>
      <x:c r="B1" s="4242"/>
      <x:c r="C1" s="4242"/>
      <x:c r="D1" s="4242"/>
      <x:c r="E1" s="4242"/>
      <x:c r="F1" s="4242"/>
      <x:c r="G1" s="4242"/>
      <x:c r="H1" s="4242"/>
      <x:c r="I1" s="4242"/>
      <x:c r="J1" s="4242"/>
      <x:c r="K1" s="4242"/>
      <x:c r="L1" s="4242"/>
      <x:c r="M1" s="4242"/>
    </x:row>
    <x:row r="2">
      <x:c r="A2" s="4243" t="str">
        <x:v>16 reglas. Vista operativa derivada de 57_Matriz_Maestra_Reglas; la fuente canónica es la matriz maestra.</x:v>
      </x:c>
      <x:c r="B2" s="4243"/>
      <x:c r="C2" s="4243"/>
      <x:c r="D2" s="4243"/>
      <x:c r="E2" s="4243"/>
      <x:c r="F2" s="4243"/>
      <x:c r="G2" s="4243"/>
      <x:c r="H2" s="4243"/>
      <x:c r="I2" s="4243"/>
      <x:c r="J2" s="4243"/>
      <x:c r="K2" s="4243"/>
      <x:c r="L2" s="4243"/>
      <x:c r="M2" s="4243"/>
    </x:row>
    <x:row r="3">
      <x:c r="A3" s="3945"/>
      <x:c r="B3" s="3945"/>
      <x:c r="C3" s="3945"/>
      <x:c r="D3" s="3945"/>
      <x:c r="E3" s="3945"/>
      <x:c r="F3" s="3945"/>
      <x:c r="G3" s="3945"/>
      <x:c r="H3" s="3945"/>
      <x:c r="I3" s="3945"/>
      <x:c r="J3" s="3945"/>
      <x:c r="K3" s="3945"/>
      <x:c r="L3" s="3945"/>
      <x:c r="M3" s="3945"/>
    </x:row>
    <x:row r="4">
      <x:c r="A4" s="4244" t="str">
        <x:v>Rule ID</x:v>
      </x:c>
      <x:c r="B4" s="4244" t="str">
        <x:v>Dominio</x:v>
      </x:c>
      <x:c r="C4" s="4244" t="str">
        <x:v>Prec.</x:v>
      </x:c>
      <x:c r="D4" s="4244" t="str">
        <x:v>Clase</x:v>
      </x:c>
      <x:c r="E4" s="4244" t="str">
        <x:v>Sujeto</x:v>
      </x:c>
      <x:c r="F4" s="4244" t="str">
        <x:v>Trigger</x:v>
      </x:c>
      <x:c r="G4" s="4244" t="str">
        <x:v>Estado/contexto</x:v>
      </x:c>
      <x:c r="H4" s="4244" t="str">
        <x:v>Condición</x:v>
      </x:c>
      <x:c r="I4" s="4244" t="str">
        <x:v>Decisión</x:v>
      </x:c>
      <x:c r="J4" s="4244" t="str">
        <x:v>Destino</x:v>
      </x:c>
      <x:c r="K4" s="4244" t="str">
        <x:v>Side effects</x:v>
      </x:c>
      <x:c r="L4" s="4244" t="str">
        <x:v>Fuerza</x:v>
      </x:c>
      <x:c r="M4" s="4244" t="str">
        <x:v>Scope</x:v>
      </x:c>
    </x:row>
    <x:row r="5" ht="74" customHeight="1">
      <x:c r="A5" s="3947" t="str">
        <x:v>RUL-059</x:v>
      </x:c>
      <x:c r="B5" s="3947" t="str">
        <x:v>CERTIFICACIÓN</x:v>
      </x:c>
      <x:c r="C5" s="4246" t="str">
        <x:v>P6</x:v>
      </x:c>
      <x:c r="D5" s="3947" t="str">
        <x:v>DERIVE</x:v>
      </x:c>
      <x:c r="E5" s="3947" t="str">
        <x:v>UnidadComercial</x:v>
      </x:c>
      <x:c r="F5" s="3947" t="str">
        <x:v>EXECUTION_AVAILABLE</x:v>
      </x:c>
      <x:c r="G5" s="3947" t="str">
        <x:v>UE CERRADA</x:v>
      </x:c>
      <x:c r="H5" s="3947" t="str">
        <x:v>Contexto contractual RESUELTO + ReglaGranoUnidadComercial aplicable</x:v>
      </x:c>
      <x:c r="I5" s="3947" t="str">
        <x:v>DERIVAR una o más UC y crear lineage N:M</x:v>
      </x:c>
      <x:c r="J5" s="3947" t="str">
        <x:v>INCOMPLETA</x:v>
      </x:c>
      <x:c r="K5" s="3947" t="str">
        <x:v>UnidadComercial + UnidadComercialFuenteEjecucion</x:v>
      </x:c>
      <x:c r="L5" s="4246" t="str">
        <x:v>REQUIRED</x:v>
      </x:c>
      <x:c r="M5" s="3947" t="str">
        <x:v>ContratoServicio / Item</x:v>
      </x:c>
    </x:row>
    <x:row r="6" ht="74" customHeight="1">
      <x:c r="A6" s="3947" t="str">
        <x:v>RUL-060</x:v>
      </x:c>
      <x:c r="B6" s="3947" t="str">
        <x:v>CERTIFICACIÓN</x:v>
      </x:c>
      <x:c r="C6" s="4246" t="str">
        <x:v>P6</x:v>
      </x:c>
      <x:c r="D6" s="3947" t="str">
        <x:v>TIME_TREATMENT</x:v>
      </x:c>
      <x:c r="E6" s="3947" t="str">
        <x:v>UnidadComercial</x:v>
      </x:c>
      <x:c r="F6" s="3947" t="str">
        <x:v>DERIVE_QUANTITY</x:v>
      </x:c>
      <x:c r="G6" s="3947" t="str">
        <x:v>INCOMPLETA</x:v>
      </x:c>
      <x:c r="H6" s="3947" t="str">
        <x:v>Existen EventosTiempo/Transiciones aplicables</x:v>
      </x:c>
      <x:c r="I6" s="3947" t="str">
        <x:v>APLICAR ReglaTratamientoTiempo para mapear tiempo real a certificable/no certificable/otro item</x:v>
      </x:c>
      <x:c r="J6" s="3947" t="str">
        <x:v>INCOMPLETA</x:v>
      </x:c>
      <x:c r="K6" s="3947" t="str">
        <x:v>componentes de cantidad + DecisionTrace</x:v>
      </x:c>
      <x:c r="L6" s="4246" t="str">
        <x:v>REQUIRED</x:v>
      </x:c>
      <x:c r="M6" s="3947" t="str">
        <x:v>ContratoServicio / Item</x:v>
      </x:c>
    </x:row>
    <x:row r="7" ht="74" customHeight="1">
      <x:c r="A7" s="3947" t="str">
        <x:v>RUL-061</x:v>
      </x:c>
      <x:c r="B7" s="3947" t="str">
        <x:v>CERTIFICACIÓN</x:v>
      </x:c>
      <x:c r="C7" s="4246" t="str">
        <x:v>P6</x:v>
      </x:c>
      <x:c r="D7" s="3947" t="str">
        <x:v>MEASUREMENT_TREATMENT</x:v>
      </x:c>
      <x:c r="E7" s="3947" t="str">
        <x:v>UnidadComercial</x:v>
      </x:c>
      <x:c r="F7" s="3947" t="str">
        <x:v>DERIVE_QUANTITY</x:v>
      </x:c>
      <x:c r="G7" s="3947" t="str">
        <x:v>INCOMPLETA</x:v>
      </x:c>
      <x:c r="H7" s="3947" t="str">
        <x:v>Item usa medición operacional</x:v>
      </x:c>
      <x:c r="I7" s="3947" t="str">
        <x:v>APLICAR ReglaMedicionItem sobre EjecucionMedicion/otras fuentes autorizadas</x:v>
      </x:c>
      <x:c r="J7" s="3947" t="str">
        <x:v>INCOMPLETA</x:v>
      </x:c>
      <x:c r="K7" s="3947" t="str">
        <x:v>cantidad derivada</x:v>
      </x:c>
      <x:c r="L7" s="4246" t="str">
        <x:v>REQUIRED</x:v>
      </x:c>
      <x:c r="M7" s="3947" t="str">
        <x:v>ItemContrato</x:v>
      </x:c>
    </x:row>
    <x:row r="8" ht="74" customHeight="1">
      <x:c r="A8" s="3947" t="str">
        <x:v>RUL-062</x:v>
      </x:c>
      <x:c r="B8" s="3947" t="str">
        <x:v>CERTIFICACIÓN</x:v>
      </x:c>
      <x:c r="C8" s="4246" t="str">
        <x:v>P6</x:v>
      </x:c>
      <x:c r="D8" s="3947" t="str">
        <x:v>ELIGIBILITY</x:v>
      </x:c>
      <x:c r="E8" s="3947" t="str">
        <x:v>UnidadComercial</x:v>
      </x:c>
      <x:c r="F8" s="3947" t="str">
        <x:v>CHECK_COMPLETENESS</x:v>
      </x:c>
      <x:c r="G8" s="3947" t="str">
        <x:v>INCOMPLETA</x:v>
      </x:c>
      <x:c r="H8" s="3947" t="str">
        <x:v>Lineage, item, UM, cantidad y evidencia requerida completos</x:v>
      </x:c>
      <x:c r="I8" s="3947" t="str">
        <x:v>MARCAR ELEGIBLE</x:v>
      </x:c>
      <x:c r="J8" s="3947" t="str">
        <x:v>ELEGIBLE</x:v>
      </x:c>
      <x:c r="K8" s="3947" t="str">
        <x:v>DecisionTrace</x:v>
      </x:c>
      <x:c r="L8" s="4248" t="str">
        <x:v>HARD_GATE comercial</x:v>
      </x:c>
      <x:c r="M8" s="3947" t="str">
        <x:v>ContratoServicio / Item</x:v>
      </x:c>
    </x:row>
    <x:row r="9" ht="74" customHeight="1">
      <x:c r="A9" s="3947" t="str">
        <x:v>RUL-063</x:v>
      </x:c>
      <x:c r="B9" s="3947" t="str">
        <x:v>CERTIFICACIÓN</x:v>
      </x:c>
      <x:c r="C9" s="4246" t="str">
        <x:v>P6</x:v>
      </x:c>
      <x:c r="D9" s="3947" t="str">
        <x:v>OBSERVE</x:v>
      </x:c>
      <x:c r="E9" s="3947" t="str">
        <x:v>UnidadComercial</x:v>
      </x:c>
      <x:c r="F9" s="3947" t="str">
        <x:v>CLIENT_OBSERVATION</x:v>
      </x:c>
      <x:c r="G9" s="3947" t="str">
        <x:v>EN_REVISION</x:v>
      </x:c>
      <x:c r="H9" s="3947" t="str">
        <x:v>Cliente/certificador detecta incidencia comercial/documental</x:v>
      </x:c>
      <x:c r="I9" s="3947" t="str">
        <x:v>MARCAR OBSERVADA + crear ObservacionCertificacion</x:v>
      </x:c>
      <x:c r="J9" s="3947" t="str">
        <x:v>OBSERVADA</x:v>
      </x:c>
      <x:c r="K9" s="3947" t="str">
        <x:v>ObservacionCertificacion</x:v>
      </x:c>
      <x:c r="L9" s="4246" t="str">
        <x:v>REQUIRED</x:v>
      </x:c>
      <x:c r="M9" s="3947" t="str">
        <x:v>Certificación</x:v>
      </x:c>
    </x:row>
    <x:row r="10" ht="74" customHeight="1">
      <x:c r="A10" s="3947" t="str">
        <x:v>RUL-064</x:v>
      </x:c>
      <x:c r="B10" s="3947" t="str">
        <x:v>CERTIFICACIÓN</x:v>
      </x:c>
      <x:c r="C10" s="4246" t="str">
        <x:v>P6</x:v>
      </x:c>
      <x:c r="D10" s="3947" t="str">
        <x:v>ADJUST</x:v>
      </x:c>
      <x:c r="E10" s="3947" t="str">
        <x:v>AjusteCertificacion</x:v>
      </x:c>
      <x:c r="F10" s="3947" t="str">
        <x:v>COMMERCIAL_DIFFERENCE</x:v>
      </x:c>
      <x:c r="G10" s="3947" t="str">
        <x:v>UC/Paquete en revisión/observado</x:v>
      </x:c>
      <x:c r="H10" s="3947" t="str">
        <x:v>Diferencia es comercial, no error en realidad operacional</x:v>
      </x:c>
      <x:c r="I10" s="3947" t="str">
        <x:v>CREAR AjusteCertificacion autorizado; mantener UE intacta</x:v>
      </x:c>
      <x:c r="J10" s="3947" t="str">
        <x:v>—</x:v>
      </x:c>
      <x:c r="K10" s="3947" t="str">
        <x:v>AjusteCertificacion</x:v>
      </x:c>
      <x:c r="L10" s="4248" t="str">
        <x:v>HARD_GATE</x:v>
      </x:c>
      <x:c r="M10" s="3947" t="str">
        <x:v>Contrato/cliente</x:v>
      </x:c>
    </x:row>
    <x:row r="11" ht="74" customHeight="1">
      <x:c r="A11" s="3947" t="str">
        <x:v>RUL-065</x:v>
      </x:c>
      <x:c r="B11" s="3947" t="str">
        <x:v>CERTIFICACIÓN</x:v>
      </x:c>
      <x:c r="C11" s="4248" t="str">
        <x:v>P0</x:v>
      </x:c>
      <x:c r="D11" s="3947" t="str">
        <x:v>LINEAGE_INVALIDATE</x:v>
      </x:c>
      <x:c r="E11" s="3947" t="str">
        <x:v>UnidadComercial</x:v>
      </x:c>
      <x:c r="F11" s="3947" t="str">
        <x:v>SOURCE_EXECUTION_AMENDED</x:v>
      </x:c>
      <x:c r="G11" s="3947" t="str">
        <x:v>cualquier estado no invalidado</x:v>
      </x:c>
      <x:c r="H11" s="3947" t="str">
        <x:v>Alguna fuente_ejecucion_version queda superada por EnmiendaOperativa</x:v>
      </x:c>
      <x:c r="I11" s="3947" t="str">
        <x:v>MARCAR supersession=REQUIERE_RECALCULO; bloquear nueva facturación</x:v>
      </x:c>
      <x:c r="J11" s="3947" t="str">
        <x:v>estado certificación histórico sin reescribir</x:v>
      </x:c>
      <x:c r="K11" s="3947" t="str">
        <x:v>DecisionTrace</x:v>
      </x:c>
      <x:c r="L11" s="4248" t="str">
        <x:v>HARD_BLOCK</x:v>
      </x:c>
      <x:c r="M11" s="3947" t="str">
        <x:v>Global</x:v>
      </x:c>
    </x:row>
    <x:row r="12" ht="74" customHeight="1">
      <x:c r="A12" s="3947" t="str">
        <x:v>RUL-066</x:v>
      </x:c>
      <x:c r="B12" s="3947" t="str">
        <x:v>CERTIFICACIÓN</x:v>
      </x:c>
      <x:c r="C12" s="4246" t="str">
        <x:v>P6</x:v>
      </x:c>
      <x:c r="D12" s="3947" t="str">
        <x:v>SUPERSEDE</x:v>
      </x:c>
      <x:c r="E12" s="3947" t="str">
        <x:v>UnidadComercial</x:v>
      </x:c>
      <x:c r="F12" s="3947" t="str">
        <x:v>RECALCULATE_AFTER_AMENDMENT</x:v>
      </x:c>
      <x:c r="G12" s="3947" t="str">
        <x:v>REQUIERE_RECALCULO / EN_REVISION supersession</x:v>
      </x:c>
      <x:c r="H12" s="3947" t="str">
        <x:v>Nueva derivación válida disponible</x:v>
      </x:c>
      <x:c r="I12" s="3947" t="str">
        <x:v>CREAR UC nueva que sustituye_a UC previa</x:v>
      </x:c>
      <x:c r="J12" s="3947" t="str">
        <x:v>INCOMPLETA/ELEGIBLE</x:v>
      </x:c>
      <x:c r="K12" s="3947" t="str">
        <x:v>Nueva UC + lineage + self-reference</x:v>
      </x:c>
      <x:c r="L12" s="4246" t="str">
        <x:v>REQUIRED</x:v>
      </x:c>
      <x:c r="M12" s="3947" t="str">
        <x:v>ContratoServicio</x:v>
      </x:c>
    </x:row>
    <x:row r="13" ht="74" customHeight="1">
      <x:c r="A13" s="3947" t="str">
        <x:v>RUL-067</x:v>
      </x:c>
      <x:c r="B13" s="3947" t="str">
        <x:v>CERTIFICACIÓN</x:v>
      </x:c>
      <x:c r="C13" s="4246" t="str">
        <x:v>P6</x:v>
      </x:c>
      <x:c r="D13" s="3947" t="str">
        <x:v>PACKAGE</x:v>
      </x:c>
      <x:c r="E13" s="3947" t="str">
        <x:v>PaqueteCertificacion</x:v>
      </x:c>
      <x:c r="F13" s="3947" t="str">
        <x:v>GROUP_ELIGIBLE_UC</x:v>
      </x:c>
      <x:c r="G13" s="3947" t="str">
        <x:v>—</x:v>
      </x:c>
      <x:c r="H13" s="3947" t="str">
        <x:v>ReglaAgrupacionCertificacion agrupa UC elegibles/vigentes</x:v>
      </x:c>
      <x:c r="I13" s="3947" t="str">
        <x:v>CREAR/ACTUALIZAR versión de Paquete mediante bridge versionado</x:v>
      </x:c>
      <x:c r="J13" s="3947" t="str">
        <x:v>BORRADOR</x:v>
      </x:c>
      <x:c r="K13" s="3947" t="str">
        <x:v>Paquete + inclusiones</x:v>
      </x:c>
      <x:c r="L13" s="4246" t="str">
        <x:v>REQUIRED</x:v>
      </x:c>
      <x:c r="M13" s="3947" t="str">
        <x:v>ContratoServicio</x:v>
      </x:c>
    </x:row>
    <x:row r="14" ht="74" customHeight="1">
      <x:c r="A14" s="3947" t="str">
        <x:v>RUL-068</x:v>
      </x:c>
      <x:c r="B14" s="3947" t="str">
        <x:v>CERTIFICACIÓN</x:v>
      </x:c>
      <x:c r="C14" s="4246" t="str">
        <x:v>P6</x:v>
      </x:c>
      <x:c r="D14" s="3947" t="str">
        <x:v>PARTIALITY</x:v>
      </x:c>
      <x:c r="E14" s="3947" t="str">
        <x:v>PaqueteCertificacion</x:v>
      </x:c>
      <x:c r="F14" s="3947" t="str">
        <x:v>CLIENT_PARTIAL_ACCEPT</x:v>
      </x:c>
      <x:c r="G14" s="3947" t="str">
        <x:v>EN_REVISION</x:v>
      </x:c>
      <x:c r="H14" s="3947" t="str">
        <x:v>ReglaParcialidadCertificacion permite parcialidad</x:v>
      </x:c>
      <x:c r="I14" s="3947" t="str">
        <x:v>PERMITIR ACEPTADO_PARCIAL y registrar subset explícito</x:v>
      </x:c>
      <x:c r="J14" s="3947" t="str">
        <x:v>ACEPTADO_PARCIAL</x:v>
      </x:c>
      <x:c r="K14" s="3947" t="str">
        <x:v>ConformidadCliente / inclusiones efectivas</x:v>
      </x:c>
      <x:c r="L14" s="4248" t="str">
        <x:v>HARD_GATE comercial</x:v>
      </x:c>
      <x:c r="M14" s="3947" t="str">
        <x:v>ContratoServicio / cliente</x:v>
      </x:c>
    </x:row>
    <x:row r="15" ht="74" customHeight="1">
      <x:c r="A15" s="3947" t="str">
        <x:v>RUL-069</x:v>
      </x:c>
      <x:c r="B15" s="3947" t="str">
        <x:v>CERTIFICACIÓN</x:v>
      </x:c>
      <x:c r="C15" s="4246" t="str">
        <x:v>P6</x:v>
      </x:c>
      <x:c r="D15" s="3947" t="str">
        <x:v>ACCEPT</x:v>
      </x:c>
      <x:c r="E15" s="3947" t="str">
        <x:v>UnidadComercial / Paquete</x:v>
      </x:c>
      <x:c r="F15" s="3947" t="str">
        <x:v>ACCEPT</x:v>
      </x:c>
      <x:c r="G15" s="3947" t="str">
        <x:v>EN_REVISION</x:v>
      </x:c>
      <x:c r="H15" s="3947" t="str">
        <x:v>Conformidad/requisitos aplicables satisfechos</x:v>
      </x:c>
      <x:c r="I15" s="3947" t="str">
        <x:v>MARCAR ACEPTADA/ACEPTADO</x:v>
      </x:c>
      <x:c r="J15" s="3947" t="str">
        <x:v>ACEPTADA / ACEPTADO</x:v>
      </x:c>
      <x:c r="K15" s="3947" t="str">
        <x:v>ConformidadCliente</x:v>
      </x:c>
      <x:c r="L15" s="4248" t="str">
        <x:v>HARD_GATE comercial</x:v>
      </x:c>
      <x:c r="M15" s="3947" t="str">
        <x:v>Cliente/contrato</x:v>
      </x:c>
    </x:row>
    <x:row r="16" ht="74" customHeight="1">
      <x:c r="A16" s="3947" t="str">
        <x:v>RUL-070</x:v>
      </x:c>
      <x:c r="B16" s="3947" t="str">
        <x:v>FACTURACIÓN</x:v>
      </x:c>
      <x:c r="C16" s="4246" t="str">
        <x:v>P6</x:v>
      </x:c>
      <x:c r="D16" s="3947" t="str">
        <x:v>BILLABLE</x:v>
      </x:c>
      <x:c r="E16" s="3947" t="str">
        <x:v>LineaFacturable</x:v>
      </x:c>
      <x:c r="F16" s="3947" t="str">
        <x:v>BUILD_LINE</x:v>
      </x:c>
      <x:c r="G16" s="3947" t="str">
        <x:v>UC ACEPTADA</x:v>
      </x:c>
      <x:c r="H16" s="3947" t="str">
        <x:v>UC vigente (no sustituida/inválida) + reglas de facturación satisfechas</x:v>
      </x:c>
      <x:c r="I16" s="3947" t="str">
        <x:v>CREAR LineaFacturable</x:v>
      </x:c>
      <x:c r="J16" s="3947" t="str">
        <x:v>—</x:v>
      </x:c>
      <x:c r="K16" s="3947" t="str">
        <x:v>LineaFacturable</x:v>
      </x:c>
      <x:c r="L16" s="4246" t="str">
        <x:v>REQUIRED</x:v>
      </x:c>
      <x:c r="M16" s="3947" t="str">
        <x:v>ReglaFacturacion</x:v>
      </x:c>
    </x:row>
    <x:row r="17" ht="74" customHeight="1">
      <x:c r="A17" s="3947" t="str">
        <x:v>RUL-071</x:v>
      </x:c>
      <x:c r="B17" s="3947" t="str">
        <x:v>FACTURACIÓN</x:v>
      </x:c>
      <x:c r="C17" s="4246" t="str">
        <x:v>P6</x:v>
      </x:c>
      <x:c r="D17" s="3947" t="str">
        <x:v>LOT</x:v>
      </x:c>
      <x:c r="E17" s="3947" t="str">
        <x:v>LoteFacturacion</x:v>
      </x:c>
      <x:c r="F17" s="3947" t="str">
        <x:v>GROUP_LINES</x:v>
      </x:c>
      <x:c r="G17" s="3947" t="str">
        <x:v>—</x:v>
      </x:c>
      <x:c r="H17" s="3947" t="str">
        <x:v>Líneas vigentes compatibles según ReglaFacturacion</x:v>
      </x:c>
      <x:c r="I17" s="3947" t="str">
        <x:v>CREAR LoteFacturacion BORRADOR</x:v>
      </x:c>
      <x:c r="J17" s="3947" t="str">
        <x:v>BORRADOR</x:v>
      </x:c>
      <x:c r="K17" s="3947" t="str">
        <x:v>LoteFacturacion</x:v>
      </x:c>
      <x:c r="L17" s="4246" t="str">
        <x:v>REQUIRED</x:v>
      </x:c>
      <x:c r="M17" s="3947" t="str">
        <x:v>ReglaFacturacion</x:v>
      </x:c>
    </x:row>
    <x:row r="18" ht="74" customHeight="1">
      <x:c r="A18" s="3947" t="str">
        <x:v>RUL-072</x:v>
      </x:c>
      <x:c r="B18" s="3947" t="str">
        <x:v>FACTURACIÓN</x:v>
      </x:c>
      <x:c r="C18" s="4247" t="str">
        <x:v>P2</x:v>
      </x:c>
      <x:c r="D18" s="3947" t="str">
        <x:v>ERP_BOUNDARY</x:v>
      </x:c>
      <x:c r="E18" s="3947" t="str">
        <x:v>LoteFacturacion</x:v>
      </x:c>
      <x:c r="F18" s="3947" t="str">
        <x:v>SEND_ERP</x:v>
      </x:c>
      <x:c r="G18" s="3947" t="str">
        <x:v>VALIDADO</x:v>
      </x:c>
      <x:c r="H18" s="3947" t="str">
        <x:v>Adapter disponible + payload válido + líneas siguen vigentes</x:v>
      </x:c>
      <x:c r="I18" s="3947" t="str">
        <x:v>PERMITIR ENVIADO_ERP; registrar referencia/idempotency</x:v>
      </x:c>
      <x:c r="J18" s="3947" t="str">
        <x:v>ENVIADO_ERP</x:v>
      </x:c>
      <x:c r="K18" s="3947" t="str">
        <x:v>DecisionTrace</x:v>
      </x:c>
      <x:c r="L18" s="4248" t="str">
        <x:v>HARD_GATE</x:v>
      </x:c>
      <x:c r="M18" s="3947" t="str">
        <x:v>Adapter/ERP</x:v>
      </x:c>
    </x:row>
    <x:row r="19" ht="74" customHeight="1">
      <x:c r="A19" s="3947" t="str">
        <x:v>RUL-073</x:v>
      </x:c>
      <x:c r="B19" s="3947" t="str">
        <x:v>TRACE / CORRECCIÓN</x:v>
      </x:c>
      <x:c r="C19" s="4248" t="str">
        <x:v>P0</x:v>
      </x:c>
      <x:c r="D19" s="3947" t="str">
        <x:v>AMEND</x:v>
      </x:c>
      <x:c r="E19" s="3947" t="str">
        <x:v>Objeto operacional</x:v>
      </x:c>
      <x:c r="F19" s="3947" t="str">
        <x:v>REAL_ERROR_DISCOVERED</x:v>
      </x:c>
      <x:c r="G19" s="3947" t="str">
        <x:v>objeto cerrado/versionado</x:v>
      </x:c>
      <x:c r="H19" s="3947" t="str">
        <x:v>Error afecta verdad operacional real</x:v>
      </x:c>
      <x:c r="I19" s="3947" t="str">
        <x:v>CREAR EnmiendaOperativa con old/new/motivo/evidencia/actor; nunca editar silenciosamente</x:v>
      </x:c>
      <x:c r="J19" s="3947" t="str">
        <x:v>sin cambio del original</x:v>
      </x:c>
      <x:c r="K19" s="3947" t="str">
        <x:v>EnmiendaOperativa + nueva versión efectiva</x:v>
      </x:c>
      <x:c r="L19" s="4248" t="str">
        <x:v>HARD_RULE</x:v>
      </x:c>
      <x:c r="M19" s="3947" t="str">
        <x:v>Global</x:v>
      </x:c>
    </x:row>
    <x:row r="20" ht="74" customHeight="1">
      <x:c r="A20" s="3947" t="str">
        <x:v>RUL-074</x:v>
      </x:c>
      <x:c r="B20" s="3947" t="str">
        <x:v>TRACE / AUDIT</x:v>
      </x:c>
      <x:c r="C20" s="4248" t="str">
        <x:v>P0</x:v>
      </x:c>
      <x:c r="D20" s="3947" t="str">
        <x:v>AUDIT</x:v>
      </x:c>
      <x:c r="E20" s="3947" t="str">
        <x:v>Rule Engine</x:v>
      </x:c>
      <x:c r="F20" s="3947" t="str">
        <x:v>ANY_DECISION</x:v>
      </x:c>
      <x:c r="G20" s="3947" t="str">
        <x:v>cualquier</x:v>
      </x:c>
      <x:c r="H20" s="3947" t="str">
        <x:v>Regla produce block/warn/transition/create/derive/override relevante</x:v>
      </x:c>
      <x:c r="I20" s="3947" t="str">
        <x:v>PERSISTIR DecisionTrace con inputs normalizados, ruleset/version, reglas evaluadas/aplicadas, resultado, override y actor</x:v>
      </x:c>
      <x:c r="J20" s="3947" t="str">
        <x:v>—</x:v>
      </x:c>
      <x:c r="K20" s="3947" t="str">
        <x:v>DecisionTrace</x:v>
      </x:c>
      <x:c r="L20" s="4246" t="str">
        <x:v>REQUIRED</x:v>
      </x:c>
      <x:c r="M20" s="3947" t="str">
        <x:v>Global</x:v>
      </x:c>
    </x:row>
  </x:sheetData>
  <x:mergeCells>
    <x:mergeCell ref="A1:M1"/>
    <x:mergeCell ref="A2:M2"/>
  </x:mergeCells>
  <x:pageMargins left="0.7" right="0.7" top="0.75" bottom="0.75" header="0.3" footer="0.3"/>
</x:worksheet>
</file>

<file path=xl/worksheets/sheet65.xml><?xml version="1.0" encoding="utf-8"?>
<x:worksheet xmlns:x="http://schemas.openxmlformats.org/spreadsheetml/2006/main">
  <x:sheetFormatPr defaultRowHeight="15"/>
  <x:cols>
    <x:col min="1" max="1" width="10" hidden="0" customWidth="1"/>
    <x:col min="2" max="2" width="26" hidden="0" customWidth="1"/>
    <x:col min="3" max="3" width="42" hidden="0" customWidth="1"/>
    <x:col min="4" max="4" width="44" hidden="0" customWidth="1"/>
    <x:col min="5" max="5" width="36" hidden="0" customWidth="1"/>
    <x:col min="6" max="6" width="24" hidden="0" customWidth="1"/>
    <x:col min="7" max="7" width="20" hidden="0" customWidth="1"/>
  </x:cols>
  <x:sheetData>
    <x:row r="1">
      <x:c r="A1" s="4254" t="str">
        <x:v>CONTRATO FUNCIONAL · MASTER RULE ENGINE</x:v>
      </x:c>
      <x:c r="B1" s="4254"/>
      <x:c r="C1" s="4254"/>
      <x:c r="D1" s="4254"/>
      <x:c r="E1" s="4254"/>
      <x:c r="F1" s="4254"/>
      <x:c r="G1" s="4254"/>
    </x:row>
    <x:row r="2">
      <x:c r="A2" s="4255" t="str">
        <x:v>No es una API técnica. Define qué debe saber el motor, en qué orden decide y qué debe devolver para que cualquier futura implementación conserve la lógica.</x:v>
      </x:c>
      <x:c r="B2" s="4255"/>
      <x:c r="C2" s="4255"/>
      <x:c r="D2" s="4255"/>
      <x:c r="E2" s="4255"/>
      <x:c r="F2" s="4255"/>
      <x:c r="G2" s="4255"/>
    </x:row>
    <x:row r="3">
      <x:c r="A3" s="1277"/>
      <x:c r="B3" s="1277"/>
      <x:c r="C3" s="1277"/>
      <x:c r="D3" s="1277"/>
      <x:c r="E3" s="1277"/>
      <x:c r="F3" s="1277"/>
      <x:c r="G3" s="1277"/>
    </x:row>
    <x:row r="4">
      <x:c r="A4" s="4256" t="str">
        <x:v>Etapa</x:v>
      </x:c>
      <x:c r="B4" s="4256" t="str">
        <x:v>Nombre</x:v>
      </x:c>
      <x:c r="C4" s="4256" t="str">
        <x:v>Input mínimo</x:v>
      </x:c>
      <x:c r="D4" s="4256" t="str">
        <x:v>Responsabilidad</x:v>
      </x:c>
      <x:c r="E4" s="4256" t="str">
        <x:v>Output</x:v>
      </x:c>
      <x:c r="F4" s="4256" t="str">
        <x:v>Precedencia</x:v>
      </x:c>
      <x:c r="G4" s="4256" t="str">
        <x:v>Regla</x:v>
      </x:c>
    </x:row>
    <x:row r="5" ht="62" customHeight="1">
      <x:c r="A5" s="1327" t="str">
        <x:v>S0</x:v>
      </x:c>
      <x:c r="B5" s="1327" t="str">
        <x:v>NORMALIZAR CONTEXTO</x:v>
      </x:c>
      <x:c r="C5" s="1327" t="str">
        <x:v>evento/trigger; timestamp; actor; subject; estado actual; plan/contexto; conectividad</x:v>
      </x:c>
      <x:c r="D5" s="1327" t="str">
        <x:v>Resolver referencias canónicas y timestamp efectivo de decisión.</x:v>
      </x:c>
      <x:c r="E5" s="1327" t="str">
        <x:v>Contexto normalizado</x:v>
      </x:c>
      <x:c r="F5" s="4259" t="str">
        <x:v>—</x:v>
      </x:c>
      <x:c r="G5" s="1327" t="str">
        <x:v>No inferir datos ambiguos como hechos.</x:v>
      </x:c>
    </x:row>
    <x:row r="6" ht="62" customHeight="1">
      <x:c r="A6" s="1327" t="str">
        <x:v>S1</x:v>
      </x:c>
      <x:c r="B6" s="1327" t="str">
        <x:v>RESOLVER RULESET VIGENTE</x:v>
      </x:c>
      <x:c r="C6" s="1327" t="str">
        <x:v>timestamp + cliente/contrato/servicio/TipoParte/riesgo</x:v>
      </x:c>
      <x:c r="D6" s="1327" t="str">
        <x:v>Seleccionar versiones de reglas/catálogos efectivas al momento del hecho.</x:v>
      </x:c>
      <x:c r="E6" s="1327" t="str">
        <x:v>ruleset_version_ref + reglas candidatas</x:v>
      </x:c>
      <x:c r="F6" s="4259" t="str">
        <x:v>—</x:v>
      </x:c>
      <x:c r="G6" s="1327" t="str">
        <x:v>Nunca usar reglas actuales para explicar pasado.</x:v>
      </x:c>
    </x:row>
    <x:row r="7" ht="62" customHeight="1">
      <x:c r="A7" s="1327" t="str">
        <x:v>S2</x:v>
      </x:c>
      <x:c r="B7" s="1327" t="str">
        <x:v>PROTEGER INVARIANTES</x:v>
      </x:c>
      <x:c r="C7" s="1327" t="str">
        <x:v>subject + estado/version/history</x:v>
      </x:c>
      <x:c r="D7" s="1327" t="str">
        <x:v>Evaluar P0: historia, lineage, no-delete, no-reopen, fuente vigente.</x:v>
      </x:c>
      <x:c r="E7" s="1327" t="str">
        <x:v>block/allow + restricciones</x:v>
      </x:c>
      <x:c r="F7" s="4257" t="str">
        <x:v>P0</x:v>
      </x:c>
      <x:c r="G7" s="1327" t="str">
        <x:v>Si falla P0, no continuar con side effects incompatibles.</x:v>
      </x:c>
    </x:row>
    <x:row r="8" ht="62" customHeight="1">
      <x:c r="A8" s="1327" t="str">
        <x:v>S3</x:v>
      </x:c>
      <x:c r="B8" s="1327" t="str">
        <x:v>EVALUAR HABILITA</x:v>
      </x:c>
      <x:c r="C8" s="1327" t="str">
        <x:v>personas/recursos/documental/PTW/contexto + reglas Habilita</x:v>
      </x:c>
      <x:c r="D8" s="1327" t="str">
        <x:v>Evaluar P1 hard gates, warnings y overrides autorizados.</x:v>
      </x:c>
      <x:c r="E8" s="1327" t="str">
        <x:v>hard_block / warnings / gates satisfechos</x:v>
      </x:c>
      <x:c r="F8" s="4257" t="str">
        <x:v>P1</x:v>
      </x:c>
      <x:c r="G8" s="1327" t="str">
        <x:v>Comercial y UX no pueden habilitar lo bloqueado aquí.</x:v>
      </x:c>
    </x:row>
    <x:row r="9" ht="62" customHeight="1">
      <x:c r="A9" s="1327" t="str">
        <x:v>S4</x:v>
      </x:c>
      <x:c r="B9" s="1327" t="str">
        <x:v>VALIDAR TRANSICIÓN</x:v>
      </x:c>
      <x:c r="C9" s="1327" t="str">
        <x:v>estado actual + trigger + state machine</x:v>
      </x:c>
      <x:c r="D9" s="1327" t="str">
        <x:v>Comprobar que el evento puede producir transición desde ese estado.</x:v>
      </x:c>
      <x:c r="E9" s="1327" t="str">
        <x:v>target_state permitido o block</x:v>
      </x:c>
      <x:c r="F9" s="4259" t="str">
        <x:v>P2</x:v>
      </x:c>
      <x:c r="G9" s="1327" t="str">
        <x:v>Estado terminal se respeta.</x:v>
      </x:c>
    </x:row>
    <x:row r="10" ht="62" customHeight="1">
      <x:c r="A10" s="1327" t="str">
        <x:v>S5</x:v>
      </x:c>
      <x:c r="B10" s="1327" t="str">
        <x:v>APLICAR CONTROL PLANE</x:v>
      </x:c>
      <x:c r="C10" s="1327" t="str">
        <x:v>directivas activas aplicables + ACK/vigencia</x:v>
      </x:c>
      <x:c r="D10" s="1327" t="str">
        <x:v>Incorporar órdenes post-despacho válidas.</x:v>
      </x:c>
      <x:c r="E10" s="1327" t="str">
        <x:v>suspender/cancelar/reprogramar/etc.</x:v>
      </x:c>
      <x:c r="F10" s="4259" t="str">
        <x:v>P3</x:v>
      </x:c>
      <x:c r="G10" s="1327" t="str">
        <x:v>Directiva obsoleta/expirada no aplica.</x:v>
      </x:c>
    </x:row>
    <x:row r="11" ht="62" customHeight="1">
      <x:c r="A11" s="1327" t="str">
        <x:v>S6</x:v>
      </x:c>
      <x:c r="B11" s="1327" t="str">
        <x:v>RESOLVER IDENTIDAD / ROUTING</x:v>
      </x:c>
      <x:c r="C11" s="1327" t="str">
        <x:v>perfil + work package + TipoParte + contexto</x:v>
      </x:c>
      <x:c r="D11" s="1327" t="str">
        <x:v>Determinar TipoParte, continuidad, split, nueva UE/Parte.</x:v>
      </x:c>
      <x:c r="E11" s="1327" t="str">
        <x:v>route/identity decision</x:v>
      </x:c>
      <x:c r="F11" s="4259" t="str">
        <x:v>P4</x:v>
      </x:c>
      <x:c r="G11" s="1327" t="str">
        <x:v>No usar cambio turno/recurso/PTW como corte universal.</x:v>
      </x:c>
    </x:row>
    <x:row r="12" ht="62" customHeight="1">
      <x:c r="A12" s="1327" t="str">
        <x:v>S7</x:v>
      </x:c>
      <x:c r="B12" s="1327" t="str">
        <x:v>APLICAR OPERACIÓN</x:v>
      </x:c>
      <x:c r="C12" s="1327" t="str">
        <x:v>estado + tiempos + disponibilidad + readiness + eventos</x:v>
      </x:c>
      <x:c r="D12" s="1327" t="str">
        <x:v>Derivar/validar hechos operativos, temporalidad y side effects.</x:v>
      </x:c>
      <x:c r="E12" s="1327" t="str">
        <x:v>eventos/intervalos/ready/confirmaciones</x:v>
      </x:c>
      <x:c r="F12" s="4259" t="str">
        <x:v>P5</x:v>
      </x:c>
      <x:c r="G12" s="1327" t="str">
        <x:v>Registrar realidad completa aunque no sea certificable.</x:v>
      </x:c>
    </x:row>
    <x:row r="13" ht="62" customHeight="1">
      <x:c r="A13" s="1327" t="str">
        <x:v>S8</x:v>
      </x:c>
      <x:c r="B13" s="1327" t="str">
        <x:v>APLICAR CONTRATO</x:v>
      </x:c>
      <x:c r="C13" s="1327" t="str">
        <x:v>ejecución cerrada + contexto contractual + items/reglas</x:v>
      </x:c>
      <x:c r="D13" s="1327" t="str">
        <x:v>Transformar realidad en UC/cantidades/paquetes sin editar campo.</x:v>
      </x:c>
      <x:c r="E13" s="1327" t="str">
        <x:v>commercial decision / UC / blocks</x:v>
      </x:c>
      <x:c r="F13" s="4259" t="str">
        <x:v>P6</x:v>
      </x:c>
      <x:c r="G13" s="1327" t="str">
        <x:v>Si contexto contractual no está resuelto, fail closed comercial.</x:v>
      </x:c>
    </x:row>
    <x:row r="14" ht="62" customHeight="1">
      <x:c r="A14" s="1327" t="str">
        <x:v>S9</x:v>
      </x:c>
      <x:c r="B14" s="1327" t="str">
        <x:v>APLICAR UX / AUTOMATIZACIÓN</x:v>
      </x:c>
      <x:c r="C14" s="1327" t="str">
        <x:v>contexto derivable + confianza/origen</x:v>
      </x:c>
      <x:c r="D14" s="1327" t="str">
        <x:v>Definir qué autocompletar, precargar, confirmar o pedir.</x:v>
      </x:c>
      <x:c r="E14" s="1327" t="str">
        <x:v>fields/confirmations</x:v>
      </x:c>
      <x:c r="F14" s="4259" t="str">
        <x:v>P7</x:v>
      </x:c>
      <x:c r="G14" s="1327" t="str">
        <x:v>Nunca crear verdad incierta silenciosamente.</x:v>
      </x:c>
    </x:row>
    <x:row r="15" ht="62" customHeight="1">
      <x:c r="A15" s="1327" t="str">
        <x:v>S10</x:v>
      </x:c>
      <x:c r="B15" s="1327" t="str">
        <x:v>COMPONER DECISIÓN</x:v>
      </x:c>
      <x:c r="C15" s="1327" t="str">
        <x:v>resultados S2–S9</x:v>
      </x:c>
      <x:c r="D15" s="1327" t="str">
        <x:v>Resolver conflictos determinísticamente y producir un único envelope.</x:v>
      </x:c>
      <x:c r="E15" s="1327" t="str">
        <x:v>DecisionEnvelope</x:v>
      </x:c>
      <x:c r="F15" s="4259" t="str">
        <x:v>—</x:v>
      </x:c>
      <x:c r="G15" s="1327" t="str">
        <x:v>Aplicar precedencia + especificidad + fail closed en empate.</x:v>
      </x:c>
    </x:row>
    <x:row r="16" ht="62" customHeight="1">
      <x:c r="A16" s="1327" t="str">
        <x:v>S11</x:v>
      </x:c>
      <x:c r="B16" s="1327" t="str">
        <x:v>PERSISTIR TRACE / SIDE EFFECTS</x:v>
      </x:c>
      <x:c r="C16" s="1327" t="str">
        <x:v>DecisionEnvelope + correlation/idempotency key</x:v>
      </x:c>
      <x:c r="D16" s="1327" t="str">
        <x:v>Persistir DecisionTrace y emitir side effects exactamente una vez.</x:v>
      </x:c>
      <x:c r="E16" s="1327" t="str">
        <x:v>decision_trace_id + objetos/eventos creados</x:v>
      </x:c>
      <x:c r="F16" s="4257" t="str">
        <x:v>P0</x:v>
      </x:c>
      <x:c r="G16" s="1327" t="str">
        <x:v>Reintentos no deben duplicar Parte, UC, Directiva, Caso, etc.</x:v>
      </x:c>
    </x:row>
    <x:row r="17">
      <x:c r="A17" s="1277"/>
      <x:c r="B17" s="1277"/>
      <x:c r="C17" s="1277"/>
      <x:c r="D17" s="1277"/>
      <x:c r="E17" s="1277"/>
      <x:c r="F17" s="1277"/>
      <x:c r="G17" s="1277"/>
    </x:row>
    <x:row r="18">
      <x:c r="A18" s="1277"/>
      <x:c r="B18" s="1277"/>
      <x:c r="C18" s="1277"/>
      <x:c r="D18" s="1277"/>
      <x:c r="E18" s="1277"/>
      <x:c r="F18" s="1277"/>
      <x:c r="G18" s="1277"/>
    </x:row>
    <x:row r="19">
      <x:c r="A19" s="4261" t="str">
        <x:v>DECISION ENVELOPE · SALIDA FUNCIONAL</x:v>
      </x:c>
      <x:c r="B19" s="4261"/>
      <x:c r="C19" s="4261"/>
      <x:c r="D19" s="4261"/>
      <x:c r="E19" s="4261"/>
      <x:c r="F19" s="4261"/>
      <x:c r="G19" s="4261"/>
    </x:row>
    <x:row r="20">
      <x:c r="A20" s="4268" t="str">
        <x:v>Campo</x:v>
      </x:c>
      <x:c r="B20" s="4268" t="str">
        <x:v>Obligatorio</x:v>
      </x:c>
      <x:c r="C20" s="4268" t="str">
        <x:v>Semántica</x:v>
      </x:c>
      <x:c r="D20" s="4268" t="str">
        <x:v>Ejemplo</x:v>
      </x:c>
      <x:c r="E20" s="4268" t="str">
        <x:v>Persistir en trace</x:v>
      </x:c>
      <x:c r="F20" s="4268" t="str">
        <x:v>Consumidor</x:v>
      </x:c>
      <x:c r="G20" s="4268" t="str">
        <x:v>Nota</x:v>
      </x:c>
    </x:row>
    <x:row r="21" ht="50" customHeight="1">
      <x:c r="A21" s="1327" t="str">
        <x:v>decision</x:v>
      </x:c>
      <x:c r="B21" s="1327" t="str">
        <x:v>Sí</x:v>
      </x:c>
      <x:c r="C21" s="1327" t="str">
        <x:v>ALLOW / BLOCK / WARN / REQUIRE_CONFIRMATION / NO_OP</x:v>
      </x:c>
      <x:c r="D21" s="1327" t="str">
        <x:v>BLOCK</x:v>
      </x:c>
      <x:c r="E21" s="1327" t="str">
        <x:v>Sí</x:v>
      </x:c>
      <x:c r="F21" s="1327" t="str">
        <x:v>App/servicio</x:v>
      </x:c>
      <x:c r="G21" s="1327" t="str">
        <x:v>No usar booleano único si existen warnings/confirmaciones.</x:v>
      </x:c>
    </x:row>
    <x:row r="22" ht="50" customHeight="1">
      <x:c r="A22" s="1327" t="str">
        <x:v>subject_ref</x:v>
      </x:c>
      <x:c r="B22" s="1327" t="str">
        <x:v>Sí</x:v>
      </x:c>
      <x:c r="C22" s="1327" t="str">
        <x:v>Objeto sobre el que se decide</x:v>
      </x:c>
      <x:c r="D22" s="1327" t="str">
        <x:v>UE-123</x:v>
      </x:c>
      <x:c r="E22" s="1327" t="str">
        <x:v>Sí</x:v>
      </x:c>
      <x:c r="F22" s="1327" t="str">
        <x:v>Todos</x:v>
      </x:c>
      <x:c r="G22" s="1327" t="str">
        <x:v>Target tipado.</x:v>
      </x:c>
    </x:row>
    <x:row r="23" ht="50" customHeight="1">
      <x:c r="A23" s="1327" t="str">
        <x:v>trigger</x:v>
      </x:c>
      <x:c r="B23" s="1327" t="str">
        <x:v>Sí</x:v>
      </x:c>
      <x:c r="C23" s="1327" t="str">
        <x:v>Evento que disparó evaluación</x:v>
      </x:c>
      <x:c r="D23" s="1327" t="str">
        <x:v>START_WORK</x:v>
      </x:c>
      <x:c r="E23" s="1327" t="str">
        <x:v>Sí</x:v>
      </x:c>
      <x:c r="F23" s="1327" t="str">
        <x:v>Trace</x:v>
      </x:c>
      <x:c r="G23" s="1327" t="str">
        <x:v>Evento semántico, no click UI.</x:v>
      </x:c>
    </x:row>
    <x:row r="24" ht="50" customHeight="1">
      <x:c r="A24" s="1327" t="str">
        <x:v>current_state</x:v>
      </x:c>
      <x:c r="B24" s="1327" t="str">
        <x:v>Condicional</x:v>
      </x:c>
      <x:c r="C24" s="1327" t="str">
        <x:v>Estado antes de decisión</x:v>
      </x:c>
      <x:c r="D24" s="1327" t="str">
        <x:v>PENDIENTE</x:v>
      </x:c>
      <x:c r="E24" s="1327" t="str">
        <x:v>Sí</x:v>
      </x:c>
      <x:c r="F24" s="1327" t="str">
        <x:v>State machine</x:v>
      </x:c>
      <x:c r="G24" s="1327" t="str">
        <x:v>—</x:v>
      </x:c>
    </x:row>
    <x:row r="25" ht="50" customHeight="1">
      <x:c r="A25" s="1327" t="str">
        <x:v>target_state</x:v>
      </x:c>
      <x:c r="B25" s="1327" t="str">
        <x:v>Condicional</x:v>
      </x:c>
      <x:c r="C25" s="1327" t="str">
        <x:v>Estado permitido/resultante</x:v>
      </x:c>
      <x:c r="D25" s="1327" t="str">
        <x:v>EN_EJECUCION</x:v>
      </x:c>
      <x:c r="E25" s="1327" t="str">
        <x:v>Sí</x:v>
      </x:c>
      <x:c r="F25" s="1327" t="str">
        <x:v>Workflow</x:v>
      </x:c>
      <x:c r="G25" s="1327" t="str">
        <x:v>Vacío si no hay transición.</x:v>
      </x:c>
    </x:row>
    <x:row r="26" ht="50" customHeight="1">
      <x:c r="A26" s="1327" t="str">
        <x:v>blocks</x:v>
      </x:c>
      <x:c r="B26" s="1327" t="str">
        <x:v>Sí</x:v>
      </x:c>
      <x:c r="C26" s="1327" t="str">
        <x:v>Lista de blockers con rule_id/causa</x:v>
      </x:c>
      <x:c r="D26" s="1327" t="str">
        <x:v>RUL-022</x:v>
      </x:c>
      <x:c r="E26" s="1327" t="str">
        <x:v>Sí</x:v>
      </x:c>
      <x:c r="F26" s="1327" t="str">
        <x:v>UI/alertas</x:v>
      </x:c>
      <x:c r="G26" s="1327" t="str">
        <x:v>Puede haber N.</x:v>
      </x:c>
    </x:row>
    <x:row r="27" ht="50" customHeight="1">
      <x:c r="A27" s="1327" t="str">
        <x:v>warnings</x:v>
      </x:c>
      <x:c r="B27" s="1327" t="str">
        <x:v>Sí</x:v>
      </x:c>
      <x:c r="C27" s="1327" t="str">
        <x:v>Warnings no bloqueantes</x:v>
      </x:c>
      <x:c r="D27" s="1327" t="str">
        <x:v>doc vence en 2 días</x:v>
      </x:c>
      <x:c r="E27" s="1327" t="str">
        <x:v>Sí</x:v>
      </x:c>
      <x:c r="F27" s="1327" t="str">
        <x:v>UI</x:v>
      </x:c>
      <x:c r="G27" s="1327" t="str">
        <x:v>No son autorización.</x:v>
      </x:c>
    </x:row>
    <x:row r="28" ht="50" customHeight="1">
      <x:c r="A28" s="1327" t="str">
        <x:v>confirmations_required</x:v>
      </x:c>
      <x:c r="B28" s="1327" t="str">
        <x:v>Sí</x:v>
      </x:c>
      <x:c r="C28" s="1327" t="str">
        <x:v>Datos que requieren confirmación humana</x:v>
      </x:c>
      <x:c r="D28" s="1327" t="str">
        <x:v>ubicación</x:v>
      </x:c>
      <x:c r="E28" s="1327" t="str">
        <x:v>Sí</x:v>
      </x:c>
      <x:c r="F28" s="1327" t="str">
        <x:v>UI</x:v>
      </x:c>
      <x:c r="G28" s="1327" t="str">
        <x:v>Clave para matriz ≤2min.</x:v>
      </x:c>
    </x:row>
    <x:row r="29" ht="50" customHeight="1">
      <x:c r="A29" s="1327" t="str">
        <x:v>side_effects</x:v>
      </x:c>
      <x:c r="B29" s="1327" t="str">
        <x:v>Sí</x:v>
      </x:c>
      <x:c r="C29" s="1327" t="str">
        <x:v>Objetos/eventos a crear/cerrar/versionar</x:v>
      </x:c>
      <x:c r="D29" s="1327" t="str">
        <x:v>crear Directiva</x:v>
      </x:c>
      <x:c r="E29" s="1327" t="str">
        <x:v>Sí</x:v>
      </x:c>
      <x:c r="F29" s="1327" t="str">
        <x:v>Orquestador</x:v>
      </x:c>
      <x:c r="G29" s="1327" t="str">
        <x:v>Idempotentes.</x:v>
      </x:c>
    </x:row>
    <x:row r="30" ht="50" customHeight="1">
      <x:c r="A30" s="1327" t="str">
        <x:v>rules_applied</x:v>
      </x:c>
      <x:c r="B30" s="1327" t="str">
        <x:v>Sí</x:v>
      </x:c>
      <x:c r="C30" s="1327" t="str">
        <x:v>Reglas ganadoras + candidatas relevantes</x:v>
      </x:c>
      <x:c r="D30" s="1327" t="str">
        <x:v>RUL-022,RUL-037</x:v>
      </x:c>
      <x:c r="E30" s="1327" t="str">
        <x:v>Sí</x:v>
      </x:c>
      <x:c r="F30" s="1327" t="str">
        <x:v>Audit</x:v>
      </x:c>
      <x:c r="G30" s="1327" t="str">
        <x:v>Incluir reglas descartadas por precedencia cuando expliquen conflicto.</x:v>
      </x:c>
    </x:row>
    <x:row r="31">
      <x:c r="A31" s="1277"/>
      <x:c r="B31" s="1277"/>
      <x:c r="C31" s="1277"/>
      <x:c r="D31" s="1277"/>
      <x:c r="E31" s="1277"/>
      <x:c r="F31" s="1277"/>
      <x:c r="G31" s="1277"/>
    </x:row>
    <x:row r="32">
      <x:c r="A32" s="1277"/>
      <x:c r="B32" s="1277"/>
      <x:c r="C32" s="1277"/>
      <x:c r="D32" s="1277"/>
      <x:c r="E32" s="1277"/>
      <x:c r="F32" s="1277"/>
      <x:c r="G32" s="1277"/>
    </x:row>
    <x:row r="33">
      <x:c r="A33" s="4261" t="str">
        <x:v>IDEMPOTENCIA / REINTENTOS · REQUISITO FUNCIONAL</x:v>
      </x:c>
      <x:c r="B33" s="4261"/>
      <x:c r="C33" s="4261"/>
      <x:c r="D33" s="4261"/>
      <x:c r="E33" s="4261"/>
      <x:c r="F33" s="4261"/>
      <x:c r="G33" s="4261"/>
    </x:row>
    <x:row r="34">
      <x:c r="A34" s="4269" t="str">
        <x:v>La futura app será offline/intermitente, por lo que el mismo evento puede llegar más de una vez. Toda decisión con side effects debe poder correlacionarse con un event/correlation key estable. Reprocesar el mismo evento bajo el mismo contexto NO debe crear dos Partes, dos UE, dos UC, dos CasosHabilita o dos Directivas. Si cambió el contexto/ruleset, el sistema genera una NUEVA DecisionTrace relacionada con la anterior en vez de sobrescribirla.</x:v>
      </x:c>
      <x:c r="B34" s="4269"/>
      <x:c r="C34" s="4269"/>
      <x:c r="D34" s="4269"/>
      <x:c r="E34" s="4269"/>
      <x:c r="F34" s="4269"/>
      <x:c r="G34" s="4269"/>
    </x:row>
    <x:row r="35">
      <x:c r="A35" s="4269"/>
      <x:c r="B35" s="4269"/>
      <x:c r="C35" s="4269"/>
      <x:c r="D35" s="4269"/>
      <x:c r="E35" s="4269"/>
      <x:c r="F35" s="4269"/>
      <x:c r="G35" s="4269"/>
    </x:row>
    <x:row r="36">
      <x:c r="A36" s="4269"/>
      <x:c r="B36" s="4269"/>
      <x:c r="C36" s="4269"/>
      <x:c r="D36" s="4269"/>
      <x:c r="E36" s="4269"/>
      <x:c r="F36" s="4269"/>
      <x:c r="G36" s="4269"/>
    </x:row>
    <x:row r="37">
      <x:c r="A37" s="4269"/>
      <x:c r="B37" s="4269"/>
      <x:c r="C37" s="4269"/>
      <x:c r="D37" s="4269"/>
      <x:c r="E37" s="4269"/>
      <x:c r="F37" s="4269"/>
      <x:c r="G37" s="4269"/>
    </x:row>
    <x:row r="38">
      <x:c r="A38" s="4269"/>
      <x:c r="B38" s="4269"/>
      <x:c r="C38" s="4269"/>
      <x:c r="D38" s="4269"/>
      <x:c r="E38" s="4269"/>
      <x:c r="F38" s="4269"/>
      <x:c r="G38" s="4269"/>
    </x:row>
    <x:row r="39">
      <x:c r="A39" s="4269"/>
      <x:c r="B39" s="4269"/>
      <x:c r="C39" s="4269"/>
      <x:c r="D39" s="4269"/>
      <x:c r="E39" s="4269"/>
      <x:c r="F39" s="4269"/>
      <x:c r="G39" s="4269"/>
    </x:row>
  </x:sheetData>
  <x:mergeCells>
    <x:mergeCell ref="A1:G1"/>
    <x:mergeCell ref="A2:G2"/>
    <x:mergeCell ref="A19:G19"/>
    <x:mergeCell ref="A33:G33"/>
    <x:mergeCell ref="A34:G39"/>
  </x:mergeCells>
  <x:pageMargins left="0.7" right="0.7" top="0.75" bottom="0.75" header="0.3" footer="0.3"/>
</x:worksheet>
</file>

<file path=xl/worksheets/sheet66.xml><?xml version="1.0" encoding="utf-8"?>
<x:worksheet xmlns:x="http://schemas.openxmlformats.org/spreadsheetml/2006/main">
  <x:sheetFormatPr defaultRowHeight="15"/>
  <x:cols>
    <x:col min="1" max="1" width="10.5" hidden="0" customWidth="1"/>
    <x:col min="2" max="2" width="10.5" hidden="0" customWidth="1"/>
    <x:col min="3" max="3" width="10.5" hidden="0" customWidth="1"/>
    <x:col min="4" max="4" width="10.5" hidden="0" customWidth="1"/>
    <x:col min="5" max="5" width="10.5" hidden="0" customWidth="1"/>
    <x:col min="6" max="6" width="10.5" hidden="0" customWidth="1"/>
    <x:col min="7" max="7" width="10.5" hidden="0" customWidth="1"/>
    <x:col min="8" max="8" width="10.5" hidden="0" customWidth="1"/>
    <x:col min="9" max="9" width="10.5" hidden="0" customWidth="1"/>
    <x:col min="10" max="10" width="10.5" hidden="0" customWidth="1"/>
    <x:col min="11" max="11" width="10.5" hidden="0" customWidth="1"/>
    <x:col min="12" max="12" width="10.5" hidden="0" customWidth="1"/>
    <x:col min="13" max="13" width="10.5" hidden="0" customWidth="1"/>
    <x:col min="14" max="14" width="10.5" hidden="0" customWidth="1"/>
    <x:col min="15" max="15" width="10.5" hidden="0" customWidth="1"/>
    <x:col min="16" max="16" width="10.5" hidden="0" customWidth="1"/>
    <x:col min="17" max="17" width="10.5" hidden="0" customWidth="1"/>
    <x:col min="18" max="18" width="10.5" hidden="0" customWidth="1"/>
    <x:col min="19" max="19" width="10.5" hidden="0" customWidth="1"/>
    <x:col min="20" max="20" width="10.5" hidden="0" customWidth="1"/>
    <x:col min="21" max="21" width="10.5" hidden="0" customWidth="1"/>
    <x:col min="22" max="22" width="10.5" hidden="0" customWidth="1"/>
    <x:col min="23" max="23" width="10.5" hidden="0" customWidth="1"/>
    <x:col min="24" max="24" width="10.5" hidden="0" customWidth="1"/>
    <x:col min="25" max="25" width="10.5" hidden="0" customWidth="1"/>
    <x:col min="26" max="26" width="10.5" hidden="0" customWidth="1"/>
    <x:col min="27" max="27" width="10.5" hidden="0" customWidth="1"/>
    <x:col min="28" max="28" width="10.5" hidden="0" customWidth="1"/>
    <x:col min="29" max="29" width="10.5" hidden="0" customWidth="1"/>
    <x:col min="30" max="30" width="10.5" hidden="0" customWidth="1"/>
  </x:cols>
  <x:sheetData>
    <x:row r="1">
      <x:c r="A1" s="4242" t="str">
        <x:v>MASTER RULE ENGINE · VDS · REV E FINAL</x:v>
      </x:c>
      <x:c r="B1" s="4242"/>
      <x:c r="C1" s="4242"/>
      <x:c r="D1" s="4242"/>
      <x:c r="E1" s="4242"/>
      <x:c r="F1" s="4242"/>
      <x:c r="G1" s="4242"/>
      <x:c r="H1" s="4242"/>
      <x:c r="I1" s="4242"/>
      <x:c r="J1" s="4242"/>
      <x:c r="K1" s="4242"/>
      <x:c r="L1" s="4242"/>
      <x:c r="M1" s="4242"/>
      <x:c r="N1" s="4242"/>
      <x:c r="O1" s="4242"/>
      <x:c r="P1" s="4242"/>
      <x:c r="Q1" s="4242"/>
      <x:c r="R1" s="4242"/>
      <x:c r="S1" s="4242"/>
      <x:c r="T1" s="4242"/>
      <x:c r="U1" s="4242"/>
      <x:c r="V1" s="4242"/>
      <x:c r="W1" s="4242"/>
      <x:c r="X1" s="4242"/>
      <x:c r="Y1" s="4242"/>
      <x:c r="Z1" s="4242"/>
      <x:c r="AA1" s="4242"/>
      <x:c r="AB1" s="4242"/>
      <x:c r="AC1" s="4242"/>
      <x:c r="AD1" s="4242"/>
    </x:row>
    <x:row r="2">
      <x:c r="A2" s="4426" t="str">
        <x:v>Evento + estado + contexto + reglas versionadas → una decisión explicable, determinista e idempotente</x:v>
      </x:c>
      <x:c r="B2" s="4426"/>
      <x:c r="C2" s="4426"/>
      <x:c r="D2" s="4426"/>
      <x:c r="E2" s="4426"/>
      <x:c r="F2" s="4426"/>
      <x:c r="G2" s="4426"/>
      <x:c r="H2" s="4426"/>
      <x:c r="I2" s="4426"/>
      <x:c r="J2" s="4426"/>
      <x:c r="K2" s="4426"/>
      <x:c r="L2" s="4426"/>
      <x:c r="M2" s="4426"/>
      <x:c r="N2" s="4426"/>
      <x:c r="O2" s="4426"/>
      <x:c r="P2" s="4426"/>
      <x:c r="Q2" s="4426"/>
      <x:c r="R2" s="4426"/>
      <x:c r="S2" s="4426"/>
      <x:c r="T2" s="4426"/>
      <x:c r="U2" s="4426"/>
      <x:c r="V2" s="4426"/>
      <x:c r="W2" s="4426"/>
      <x:c r="X2" s="4426"/>
      <x:c r="Y2" s="4426"/>
      <x:c r="Z2" s="4426"/>
      <x:c r="AA2" s="4426"/>
      <x:c r="AB2" s="4426"/>
      <x:c r="AC2" s="4426"/>
      <x:c r="AD2" s="4426"/>
    </x:row>
    <x:row r="3">
      <x:c r="A3" s="3945"/>
      <x:c r="B3" s="3945"/>
      <x:c r="C3" s="3945"/>
      <x:c r="D3" s="3945"/>
      <x:c r="E3" s="3945"/>
      <x:c r="F3" s="3945"/>
      <x:c r="G3" s="3945"/>
      <x:c r="H3" s="3945"/>
      <x:c r="I3" s="3945"/>
      <x:c r="J3" s="3945"/>
      <x:c r="K3" s="3945"/>
      <x:c r="L3" s="3945"/>
      <x:c r="M3" s="3945"/>
      <x:c r="N3" s="3945"/>
      <x:c r="O3" s="3945"/>
      <x:c r="P3" s="3945"/>
      <x:c r="Q3" s="3945"/>
      <x:c r="R3" s="3945"/>
      <x:c r="S3" s="3945"/>
      <x:c r="T3" s="3945"/>
      <x:c r="U3" s="3945"/>
      <x:c r="V3" s="3945"/>
      <x:c r="W3" s="3945"/>
      <x:c r="X3" s="3945"/>
      <x:c r="Y3" s="3945"/>
      <x:c r="Z3" s="3945"/>
      <x:c r="AA3" s="3945"/>
      <x:c r="AB3" s="3945"/>
      <x:c r="AC3" s="3945"/>
      <x:c r="AD3" s="3945"/>
    </x:row>
    <x:row r="4">
      <x:c r="A4" s="4465" t="str">
        <x:v>01 — INPUT BUS</x:v>
      </x:c>
      <x:c r="B4" s="4465"/>
      <x:c r="C4" s="4465"/>
      <x:c r="D4" s="4465"/>
      <x:c r="E4" s="4465"/>
      <x:c r="F4" s="4465"/>
      <x:c r="G4" s="4465"/>
      <x:c r="H4" s="4465"/>
      <x:c r="I4" s="4465"/>
      <x:c r="J4" s="4465"/>
      <x:c r="K4" s="4465"/>
      <x:c r="L4" s="4465"/>
      <x:c r="M4" s="4465"/>
      <x:c r="N4" s="4465"/>
      <x:c r="O4" s="4465"/>
      <x:c r="P4" s="4465"/>
      <x:c r="Q4" s="4465"/>
      <x:c r="R4" s="4465"/>
      <x:c r="S4" s="4465"/>
      <x:c r="T4" s="4465"/>
      <x:c r="U4" s="4465"/>
      <x:c r="V4" s="4465"/>
      <x:c r="W4" s="4465"/>
      <x:c r="X4" s="4465"/>
      <x:c r="Y4" s="4465"/>
      <x:c r="Z4" s="4465"/>
      <x:c r="AA4" s="4465"/>
      <x:c r="AB4" s="4465"/>
      <x:c r="AC4" s="4465"/>
      <x:c r="AD4" s="4465"/>
    </x:row>
    <x:row r="5">
      <x:c r="A5" s="3945"/>
      <x:c r="B5" s="3945"/>
      <x:c r="C5" s="3945"/>
      <x:c r="D5" s="3945"/>
      <x:c r="E5" s="3945"/>
      <x:c r="F5" s="3945"/>
      <x:c r="G5" s="3945"/>
      <x:c r="H5" s="3945"/>
      <x:c r="I5" s="3945"/>
      <x:c r="J5" s="3945"/>
      <x:c r="K5" s="3945"/>
      <x:c r="L5" s="3945"/>
      <x:c r="M5" s="3945"/>
      <x:c r="N5" s="3945"/>
      <x:c r="O5" s="3945"/>
      <x:c r="P5" s="3945"/>
      <x:c r="Q5" s="3945"/>
      <x:c r="R5" s="3945"/>
      <x:c r="S5" s="3945"/>
      <x:c r="T5" s="3945"/>
      <x:c r="U5" s="3945"/>
      <x:c r="V5" s="3945"/>
      <x:c r="W5" s="3945"/>
      <x:c r="X5" s="3945"/>
      <x:c r="Y5" s="3945"/>
      <x:c r="Z5" s="3945"/>
      <x:c r="AA5" s="3945"/>
      <x:c r="AB5" s="3945"/>
      <x:c r="AC5" s="3945"/>
      <x:c r="AD5" s="3945"/>
    </x:row>
    <x:row r="6">
      <x:c r="A6" s="4428" t="str">
        <x:v>TRIGGER / EVENTO
START_WORK · CAMBIO
CIERRE · OBSERVACIÓN</x:v>
      </x:c>
      <x:c r="B6" s="4429"/>
      <x:c r="C6" s="4429"/>
      <x:c r="D6" s="4429"/>
      <x:c r="E6" s="4430"/>
      <x:c r="F6" s="3945"/>
      <x:c r="G6" s="4428" t="str">
        <x:v>SUBJECT
Parte · UE · PTW
EventoHabilita · UC</x:v>
      </x:c>
      <x:c r="H6" s="4429"/>
      <x:c r="I6" s="4429"/>
      <x:c r="J6" s="4429"/>
      <x:c r="K6" s="4430"/>
      <x:c r="L6" s="3945"/>
      <x:c r="M6" s="4428" t="str">
        <x:v>ESTADO ACTUAL
+ HISTORIA / VERSION</x:v>
      </x:c>
      <x:c r="N6" s="4429"/>
      <x:c r="O6" s="4429"/>
      <x:c r="P6" s="4429"/>
      <x:c r="Q6" s="4430"/>
      <x:c r="R6" s="3945"/>
      <x:c r="S6" s="4428" t="str">
        <x:v>CONTEXTO
plan · personas · recursos
ubicación · conectividad</x:v>
      </x:c>
      <x:c r="T6" s="4429"/>
      <x:c r="U6" s="4429"/>
      <x:c r="V6" s="4429"/>
      <x:c r="W6" s="4430"/>
      <x:c r="X6" s="3945"/>
      <x:c r="Y6" s="4431" t="str">
        <x:v>CONFIG / RULESET
cliente · contrato · servicio
TipoParte · Habilita</x:v>
      </x:c>
      <x:c r="Z6" s="4432"/>
      <x:c r="AA6" s="4432"/>
      <x:c r="AB6" s="4432"/>
      <x:c r="AC6" s="4432"/>
      <x:c r="AD6" s="4433"/>
    </x:row>
    <x:row r="7">
      <x:c r="A7" s="4434"/>
      <x:c r="B7" s="4435"/>
      <x:c r="C7" s="4435"/>
      <x:c r="D7" s="4435"/>
      <x:c r="E7" s="4436"/>
      <x:c r="F7" s="3945"/>
      <x:c r="G7" s="4434"/>
      <x:c r="H7" s="4435"/>
      <x:c r="I7" s="4435"/>
      <x:c r="J7" s="4435"/>
      <x:c r="K7" s="4436"/>
      <x:c r="L7" s="3945"/>
      <x:c r="M7" s="4434"/>
      <x:c r="N7" s="4435"/>
      <x:c r="O7" s="4435"/>
      <x:c r="P7" s="4435"/>
      <x:c r="Q7" s="4436"/>
      <x:c r="R7" s="3945"/>
      <x:c r="S7" s="4434"/>
      <x:c r="T7" s="4435"/>
      <x:c r="U7" s="4435"/>
      <x:c r="V7" s="4435"/>
      <x:c r="W7" s="4436"/>
      <x:c r="X7" s="3945"/>
      <x:c r="Y7" s="4437"/>
      <x:c r="Z7" s="4438"/>
      <x:c r="AA7" s="4438"/>
      <x:c r="AB7" s="4438"/>
      <x:c r="AC7" s="4438"/>
      <x:c r="AD7" s="4439"/>
    </x:row>
    <x:row r="8">
      <x:c r="A8" s="4434"/>
      <x:c r="B8" s="4435"/>
      <x:c r="C8" s="4435"/>
      <x:c r="D8" s="4435"/>
      <x:c r="E8" s="4436"/>
      <x:c r="F8" s="3945"/>
      <x:c r="G8" s="4434"/>
      <x:c r="H8" s="4435"/>
      <x:c r="I8" s="4435"/>
      <x:c r="J8" s="4435"/>
      <x:c r="K8" s="4436"/>
      <x:c r="L8" s="3945"/>
      <x:c r="M8" s="4434"/>
      <x:c r="N8" s="4435"/>
      <x:c r="O8" s="4435"/>
      <x:c r="P8" s="4435"/>
      <x:c r="Q8" s="4436"/>
      <x:c r="R8" s="3945"/>
      <x:c r="S8" s="4434"/>
      <x:c r="T8" s="4435"/>
      <x:c r="U8" s="4435"/>
      <x:c r="V8" s="4435"/>
      <x:c r="W8" s="4436"/>
      <x:c r="X8" s="3945"/>
      <x:c r="Y8" s="4437"/>
      <x:c r="Z8" s="4438"/>
      <x:c r="AA8" s="4438"/>
      <x:c r="AB8" s="4438"/>
      <x:c r="AC8" s="4438"/>
      <x:c r="AD8" s="4439"/>
    </x:row>
    <x:row r="9">
      <x:c r="A9" s="4434"/>
      <x:c r="B9" s="4435"/>
      <x:c r="C9" s="4435"/>
      <x:c r="D9" s="4435"/>
      <x:c r="E9" s="4436"/>
      <x:c r="F9" s="3945"/>
      <x:c r="G9" s="4434"/>
      <x:c r="H9" s="4435"/>
      <x:c r="I9" s="4435"/>
      <x:c r="J9" s="4435"/>
      <x:c r="K9" s="4436"/>
      <x:c r="L9" s="3945"/>
      <x:c r="M9" s="4434"/>
      <x:c r="N9" s="4435"/>
      <x:c r="O9" s="4435"/>
      <x:c r="P9" s="4435"/>
      <x:c r="Q9" s="4436"/>
      <x:c r="R9" s="3945"/>
      <x:c r="S9" s="4434"/>
      <x:c r="T9" s="4435"/>
      <x:c r="U9" s="4435"/>
      <x:c r="V9" s="4435"/>
      <x:c r="W9" s="4436"/>
      <x:c r="X9" s="3945"/>
      <x:c r="Y9" s="4437"/>
      <x:c r="Z9" s="4438"/>
      <x:c r="AA9" s="4438"/>
      <x:c r="AB9" s="4438"/>
      <x:c r="AC9" s="4438"/>
      <x:c r="AD9" s="4439"/>
    </x:row>
    <x:row r="10">
      <x:c r="A10" s="4440"/>
      <x:c r="B10" s="4441"/>
      <x:c r="C10" s="4441"/>
      <x:c r="D10" s="4441"/>
      <x:c r="E10" s="4442"/>
      <x:c r="F10" s="3945"/>
      <x:c r="G10" s="4440"/>
      <x:c r="H10" s="4441"/>
      <x:c r="I10" s="4441"/>
      <x:c r="J10" s="4441"/>
      <x:c r="K10" s="4442"/>
      <x:c r="L10" s="3945"/>
      <x:c r="M10" s="4440"/>
      <x:c r="N10" s="4441"/>
      <x:c r="O10" s="4441"/>
      <x:c r="P10" s="4441"/>
      <x:c r="Q10" s="4442"/>
      <x:c r="R10" s="3945"/>
      <x:c r="S10" s="4440"/>
      <x:c r="T10" s="4441"/>
      <x:c r="U10" s="4441"/>
      <x:c r="V10" s="4441"/>
      <x:c r="W10" s="4442"/>
      <x:c r="X10" s="3945"/>
      <x:c r="Y10" s="4443"/>
      <x:c r="Z10" s="4444"/>
      <x:c r="AA10" s="4444"/>
      <x:c r="AB10" s="4444"/>
      <x:c r="AC10" s="4444"/>
      <x:c r="AD10" s="4445"/>
    </x:row>
    <x:row r="11">
      <x:c r="A11" s="3945"/>
      <x:c r="B11" s="3945"/>
      <x:c r="C11" s="3945"/>
      <x:c r="D11" s="3945"/>
      <x:c r="E11" s="3945"/>
      <x:c r="F11" s="3945"/>
      <x:c r="G11" s="3945"/>
      <x:c r="H11" s="3945"/>
      <x:c r="I11" s="3945"/>
      <x:c r="J11" s="3945"/>
      <x:c r="K11" s="3945"/>
      <x:c r="L11" s="3945"/>
      <x:c r="M11" s="3945"/>
      <x:c r="N11" s="3945"/>
      <x:c r="O11" s="3945"/>
      <x:c r="P11" s="3945"/>
      <x:c r="Q11" s="3945"/>
      <x:c r="R11" s="3945"/>
      <x:c r="S11" s="3945"/>
      <x:c r="T11" s="3945"/>
      <x:c r="U11" s="3945"/>
      <x:c r="V11" s="3945"/>
      <x:c r="W11" s="3945"/>
      <x:c r="X11" s="3945"/>
      <x:c r="Y11" s="3945"/>
      <x:c r="Z11" s="3945"/>
      <x:c r="AA11" s="3945"/>
      <x:c r="AB11" s="3945"/>
      <x:c r="AC11" s="3945"/>
      <x:c r="AD11" s="3945"/>
    </x:row>
    <x:row r="12">
      <x:c r="A12" s="3945"/>
      <x:c r="B12" s="3945"/>
      <x:c r="C12" s="3945"/>
      <x:c r="D12" s="3945"/>
      <x:c r="E12" s="3945"/>
      <x:c r="F12" s="3945"/>
      <x:c r="G12" s="3945"/>
      <x:c r="H12" s="3945"/>
      <x:c r="I12" s="3945"/>
      <x:c r="J12" s="3945"/>
      <x:c r="K12" s="3945"/>
      <x:c r="L12" s="3945"/>
      <x:c r="M12" s="3945"/>
      <x:c r="N12" s="3945"/>
      <x:c r="O12" s="3945"/>
      <x:c r="P12" s="3945"/>
      <x:c r="Q12" s="3945"/>
      <x:c r="R12" s="3945"/>
      <x:c r="S12" s="3945"/>
      <x:c r="T12" s="3945"/>
      <x:c r="U12" s="3945"/>
      <x:c r="V12" s="3945"/>
      <x:c r="W12" s="3945"/>
      <x:c r="X12" s="3945"/>
      <x:c r="Y12" s="3945"/>
      <x:c r="Z12" s="3945"/>
      <x:c r="AA12" s="3945"/>
      <x:c r="AB12" s="3945"/>
      <x:c r="AC12" s="3945"/>
      <x:c r="AD12" s="3945"/>
    </x:row>
    <x:row r="13">
      <x:c r="A13" s="4465" t="str">
        <x:v>02 — EVALUATION PIPELINE · PRECEDENCIA ESTRICTA</x:v>
      </x:c>
      <x:c r="B13" s="4465"/>
      <x:c r="C13" s="4465"/>
      <x:c r="D13" s="4465"/>
      <x:c r="E13" s="4465"/>
      <x:c r="F13" s="4465"/>
      <x:c r="G13" s="4465"/>
      <x:c r="H13" s="4465"/>
      <x:c r="I13" s="4465"/>
      <x:c r="J13" s="4465"/>
      <x:c r="K13" s="4465"/>
      <x:c r="L13" s="4465"/>
      <x:c r="M13" s="4465"/>
      <x:c r="N13" s="4465"/>
      <x:c r="O13" s="4465"/>
      <x:c r="P13" s="4465"/>
      <x:c r="Q13" s="4465"/>
      <x:c r="R13" s="4465"/>
      <x:c r="S13" s="4465"/>
      <x:c r="T13" s="4465"/>
      <x:c r="U13" s="4465"/>
      <x:c r="V13" s="4465"/>
      <x:c r="W13" s="4465"/>
      <x:c r="X13" s="4465"/>
      <x:c r="Y13" s="4465"/>
      <x:c r="Z13" s="4465"/>
      <x:c r="AA13" s="4465"/>
      <x:c r="AB13" s="4465"/>
      <x:c r="AC13" s="4465"/>
      <x:c r="AD13" s="4465"/>
    </x:row>
    <x:row r="14">
      <x:c r="A14" s="3945"/>
      <x:c r="B14" s="3945"/>
      <x:c r="C14" s="3945"/>
      <x:c r="D14" s="3945"/>
      <x:c r="E14" s="3945"/>
      <x:c r="F14" s="3945"/>
      <x:c r="G14" s="3945"/>
      <x:c r="H14" s="3945"/>
      <x:c r="I14" s="3945"/>
      <x:c r="J14" s="3945"/>
      <x:c r="K14" s="3945"/>
      <x:c r="L14" s="3945"/>
      <x:c r="M14" s="3945"/>
      <x:c r="N14" s="3945"/>
      <x:c r="O14" s="3945"/>
      <x:c r="P14" s="3945"/>
      <x:c r="Q14" s="3945"/>
      <x:c r="R14" s="3945"/>
      <x:c r="S14" s="3945"/>
      <x:c r="T14" s="3945"/>
      <x:c r="U14" s="3945"/>
      <x:c r="V14" s="3945"/>
      <x:c r="W14" s="3945"/>
      <x:c r="X14" s="3945"/>
      <x:c r="Y14" s="3945"/>
      <x:c r="Z14" s="3945"/>
      <x:c r="AA14" s="3945"/>
      <x:c r="AB14" s="3945"/>
      <x:c r="AC14" s="3945"/>
      <x:c r="AD14" s="3945"/>
    </x:row>
    <x:row r="15">
      <x:c r="A15" s="4446" t="str">
        <x:v>P0
INVARIANTES
historia · lineage
no-delete</x:v>
      </x:c>
      <x:c r="B15" s="4447"/>
      <x:c r="C15" s="4447"/>
      <x:c r="D15" s="4447"/>
      <x:c r="E15" s="4448"/>
      <x:c r="F15" s="3945"/>
      <x:c r="G15" s="4431" t="str">
        <x:v>P1
HABILITA
hard gates · PTW
overrides</x:v>
      </x:c>
      <x:c r="H15" s="4432"/>
      <x:c r="I15" s="4432"/>
      <x:c r="J15" s="4432"/>
      <x:c r="K15" s="4433"/>
      <x:c r="L15" s="3945"/>
      <x:c r="M15" s="4449" t="str">
        <x:v>P2
STATE MACHINE
transición válida
terminales</x:v>
      </x:c>
      <x:c r="N15" s="4450"/>
      <x:c r="O15" s="4450"/>
      <x:c r="P15" s="4450"/>
      <x:c r="Q15" s="4451"/>
      <x:c r="R15" s="3945"/>
      <x:c r="S15" s="4449" t="str">
        <x:v>P3
CONTROL PLANE
directivas vigentes
ACK</x:v>
      </x:c>
      <x:c r="T15" s="4450"/>
      <x:c r="U15" s="4450"/>
      <x:c r="V15" s="4450"/>
      <x:c r="W15" s="4451"/>
      <x:c r="X15" s="3945"/>
      <x:c r="Y15" s="4449" t="str">
        <x:v>P4
IDENTIDAD / ROUTING
TipoParte · corte
UE vs Parte</x:v>
      </x:c>
      <x:c r="Z15" s="4450"/>
      <x:c r="AA15" s="4450"/>
      <x:c r="AB15" s="4450"/>
      <x:c r="AC15" s="4450"/>
      <x:c r="AD15" s="4451"/>
    </x:row>
    <x:row r="16">
      <x:c r="A16" s="4452"/>
      <x:c r="B16" s="4453"/>
      <x:c r="C16" s="4453"/>
      <x:c r="D16" s="4453"/>
      <x:c r="E16" s="4454"/>
      <x:c r="F16" s="3945"/>
      <x:c r="G16" s="4437"/>
      <x:c r="H16" s="4438"/>
      <x:c r="I16" s="4438"/>
      <x:c r="J16" s="4438"/>
      <x:c r="K16" s="4439"/>
      <x:c r="L16" s="3945"/>
      <x:c r="M16" s="4455"/>
      <x:c r="N16" s="4456"/>
      <x:c r="O16" s="4456"/>
      <x:c r="P16" s="4456"/>
      <x:c r="Q16" s="4457"/>
      <x:c r="R16" s="3945"/>
      <x:c r="S16" s="4455"/>
      <x:c r="T16" s="4456"/>
      <x:c r="U16" s="4456"/>
      <x:c r="V16" s="4456"/>
      <x:c r="W16" s="4457"/>
      <x:c r="X16" s="3945"/>
      <x:c r="Y16" s="4455"/>
      <x:c r="Z16" s="4456"/>
      <x:c r="AA16" s="4456"/>
      <x:c r="AB16" s="4456"/>
      <x:c r="AC16" s="4456"/>
      <x:c r="AD16" s="4457"/>
    </x:row>
    <x:row r="17">
      <x:c r="A17" s="4452"/>
      <x:c r="B17" s="4453"/>
      <x:c r="C17" s="4453"/>
      <x:c r="D17" s="4453"/>
      <x:c r="E17" s="4454"/>
      <x:c r="F17" s="3945"/>
      <x:c r="G17" s="4437"/>
      <x:c r="H17" s="4438"/>
      <x:c r="I17" s="4438"/>
      <x:c r="J17" s="4438"/>
      <x:c r="K17" s="4439"/>
      <x:c r="L17" s="3945"/>
      <x:c r="M17" s="4455"/>
      <x:c r="N17" s="4456"/>
      <x:c r="O17" s="4456"/>
      <x:c r="P17" s="4456"/>
      <x:c r="Q17" s="4457"/>
      <x:c r="R17" s="3945"/>
      <x:c r="S17" s="4455"/>
      <x:c r="T17" s="4456"/>
      <x:c r="U17" s="4456"/>
      <x:c r="V17" s="4456"/>
      <x:c r="W17" s="4457"/>
      <x:c r="X17" s="3945"/>
      <x:c r="Y17" s="4455"/>
      <x:c r="Z17" s="4456"/>
      <x:c r="AA17" s="4456"/>
      <x:c r="AB17" s="4456"/>
      <x:c r="AC17" s="4456"/>
      <x:c r="AD17" s="4457"/>
    </x:row>
    <x:row r="18">
      <x:c r="A18" s="4452"/>
      <x:c r="B18" s="4453"/>
      <x:c r="C18" s="4453"/>
      <x:c r="D18" s="4453"/>
      <x:c r="E18" s="4454"/>
      <x:c r="F18" s="3945"/>
      <x:c r="G18" s="4437"/>
      <x:c r="H18" s="4438"/>
      <x:c r="I18" s="4438"/>
      <x:c r="J18" s="4438"/>
      <x:c r="K18" s="4439"/>
      <x:c r="L18" s="3945"/>
      <x:c r="M18" s="4455"/>
      <x:c r="N18" s="4456"/>
      <x:c r="O18" s="4456"/>
      <x:c r="P18" s="4456"/>
      <x:c r="Q18" s="4457"/>
      <x:c r="R18" s="3945"/>
      <x:c r="S18" s="4455"/>
      <x:c r="T18" s="4456"/>
      <x:c r="U18" s="4456"/>
      <x:c r="V18" s="4456"/>
      <x:c r="W18" s="4457"/>
      <x:c r="X18" s="3945"/>
      <x:c r="Y18" s="4455"/>
      <x:c r="Z18" s="4456"/>
      <x:c r="AA18" s="4456"/>
      <x:c r="AB18" s="4456"/>
      <x:c r="AC18" s="4456"/>
      <x:c r="AD18" s="4457"/>
    </x:row>
    <x:row r="19">
      <x:c r="A19" s="4452"/>
      <x:c r="B19" s="4453"/>
      <x:c r="C19" s="4453"/>
      <x:c r="D19" s="4453"/>
      <x:c r="E19" s="4454"/>
      <x:c r="F19" s="3945"/>
      <x:c r="G19" s="4437"/>
      <x:c r="H19" s="4438"/>
      <x:c r="I19" s="4438"/>
      <x:c r="J19" s="4438"/>
      <x:c r="K19" s="4439"/>
      <x:c r="L19" s="3945"/>
      <x:c r="M19" s="4455"/>
      <x:c r="N19" s="4456"/>
      <x:c r="O19" s="4456"/>
      <x:c r="P19" s="4456"/>
      <x:c r="Q19" s="4457"/>
      <x:c r="R19" s="3945"/>
      <x:c r="S19" s="4455"/>
      <x:c r="T19" s="4456"/>
      <x:c r="U19" s="4456"/>
      <x:c r="V19" s="4456"/>
      <x:c r="W19" s="4457"/>
      <x:c r="X19" s="3945"/>
      <x:c r="Y19" s="4455"/>
      <x:c r="Z19" s="4456"/>
      <x:c r="AA19" s="4456"/>
      <x:c r="AB19" s="4456"/>
      <x:c r="AC19" s="4456"/>
      <x:c r="AD19" s="4457"/>
    </x:row>
    <x:row r="20">
      <x:c r="A20" s="4458"/>
      <x:c r="B20" s="4459"/>
      <x:c r="C20" s="4459"/>
      <x:c r="D20" s="4459"/>
      <x:c r="E20" s="4460"/>
      <x:c r="F20" s="3945"/>
      <x:c r="G20" s="4443"/>
      <x:c r="H20" s="4444"/>
      <x:c r="I20" s="4444"/>
      <x:c r="J20" s="4444"/>
      <x:c r="K20" s="4445"/>
      <x:c r="L20" s="3945"/>
      <x:c r="M20" s="4461"/>
      <x:c r="N20" s="4462"/>
      <x:c r="O20" s="4462"/>
      <x:c r="P20" s="4462"/>
      <x:c r="Q20" s="4463"/>
      <x:c r="R20" s="3945"/>
      <x:c r="S20" s="4461"/>
      <x:c r="T20" s="4462"/>
      <x:c r="U20" s="4462"/>
      <x:c r="V20" s="4462"/>
      <x:c r="W20" s="4463"/>
      <x:c r="X20" s="3945"/>
      <x:c r="Y20" s="4461"/>
      <x:c r="Z20" s="4462"/>
      <x:c r="AA20" s="4462"/>
      <x:c r="AB20" s="4462"/>
      <x:c r="AC20" s="4462"/>
      <x:c r="AD20" s="4463"/>
    </x:row>
    <x:row r="21">
      <x:c r="A21" s="3945"/>
      <x:c r="B21" s="3945"/>
      <x:c r="C21" s="3945"/>
      <x:c r="D21" s="3945"/>
      <x:c r="E21" s="3945"/>
      <x:c r="F21" s="3945"/>
      <x:c r="G21" s="3945"/>
      <x:c r="H21" s="3945"/>
      <x:c r="I21" s="3945"/>
      <x:c r="J21" s="3945"/>
      <x:c r="K21" s="3945"/>
      <x:c r="L21" s="3945"/>
      <x:c r="M21" s="3945"/>
      <x:c r="N21" s="3945"/>
      <x:c r="O21" s="3945"/>
      <x:c r="P21" s="3945"/>
      <x:c r="Q21" s="3945"/>
      <x:c r="R21" s="3945"/>
      <x:c r="S21" s="3945"/>
      <x:c r="T21" s="3945"/>
      <x:c r="U21" s="3945"/>
      <x:c r="V21" s="3945"/>
      <x:c r="W21" s="3945"/>
      <x:c r="X21" s="3945"/>
      <x:c r="Y21" s="3945"/>
      <x:c r="Z21" s="3945"/>
      <x:c r="AA21" s="3945"/>
      <x:c r="AB21" s="3945"/>
      <x:c r="AC21" s="3945"/>
      <x:c r="AD21" s="3945"/>
    </x:row>
    <x:row r="22">
      <x:c r="A22" s="3945"/>
      <x:c r="B22" s="3945"/>
      <x:c r="C22" s="3945"/>
      <x:c r="D22" s="3945"/>
      <x:c r="E22" s="3945"/>
      <x:c r="F22" s="3945"/>
      <x:c r="G22" s="3945"/>
      <x:c r="H22" s="3945"/>
      <x:c r="I22" s="3945"/>
      <x:c r="J22" s="3945"/>
      <x:c r="K22" s="3945"/>
      <x:c r="L22" s="3945"/>
      <x:c r="M22" s="3945"/>
      <x:c r="N22" s="3945"/>
      <x:c r="O22" s="3945"/>
      <x:c r="P22" s="3945"/>
      <x:c r="Q22" s="3945"/>
      <x:c r="R22" s="3945"/>
      <x:c r="S22" s="3945"/>
      <x:c r="T22" s="3945"/>
      <x:c r="U22" s="3945"/>
      <x:c r="V22" s="3945"/>
      <x:c r="W22" s="3945"/>
      <x:c r="X22" s="3945"/>
      <x:c r="Y22" s="3945"/>
      <x:c r="Z22" s="3945"/>
      <x:c r="AA22" s="3945"/>
      <x:c r="AB22" s="3945"/>
      <x:c r="AC22" s="3945"/>
      <x:c r="AD22" s="3945"/>
    </x:row>
    <x:row r="23">
      <x:c r="A23" s="3945"/>
      <x:c r="B23" s="3945"/>
      <x:c r="C23" s="3945"/>
      <x:c r="D23" s="3945"/>
      <x:c r="E23" s="3945"/>
      <x:c r="F23" s="3945"/>
      <x:c r="G23" s="3945"/>
      <x:c r="H23" s="3945"/>
      <x:c r="I23" s="3945"/>
      <x:c r="J23" s="3945"/>
      <x:c r="K23" s="3945"/>
      <x:c r="L23" s="3945"/>
      <x:c r="M23" s="3945"/>
      <x:c r="N23" s="3945"/>
      <x:c r="O23" s="3945"/>
      <x:c r="P23" s="3945"/>
      <x:c r="Q23" s="3945"/>
      <x:c r="R23" s="3945"/>
      <x:c r="S23" s="3945"/>
      <x:c r="T23" s="3945"/>
      <x:c r="U23" s="3945"/>
      <x:c r="V23" s="3945"/>
      <x:c r="W23" s="3945"/>
      <x:c r="X23" s="3945"/>
      <x:c r="Y23" s="3945"/>
      <x:c r="Z23" s="3945"/>
      <x:c r="AA23" s="3945"/>
      <x:c r="AB23" s="3945"/>
      <x:c r="AC23" s="3945"/>
      <x:c r="AD23" s="3945"/>
    </x:row>
    <x:row r="24">
      <x:c r="A24" s="4428" t="str">
        <x:v>P5
OPERACIÓN
readiness · tiempos
recursos · ubicación</x:v>
      </x:c>
      <x:c r="B24" s="4429"/>
      <x:c r="C24" s="4429"/>
      <x:c r="D24" s="4429"/>
      <x:c r="E24" s="4429"/>
      <x:c r="F24" s="4430"/>
      <x:c r="G24" s="3945"/>
      <x:c r="H24" s="4428" t="str">
        <x:v>P6
CONTRATO
UC · cantidades
paquetes · billing</x:v>
      </x:c>
      <x:c r="I24" s="4429"/>
      <x:c r="J24" s="4429"/>
      <x:c r="K24" s="4429"/>
      <x:c r="L24" s="4429"/>
      <x:c r="M24" s="4430"/>
      <x:c r="N24" s="3945"/>
      <x:c r="O24" s="4428" t="str">
        <x:v>P7
UX / AUTOMATION
autoderivar · confirmar
input mínimo</x:v>
      </x:c>
      <x:c r="P24" s="4429"/>
      <x:c r="Q24" s="4429"/>
      <x:c r="R24" s="4429"/>
      <x:c r="S24" s="4429"/>
      <x:c r="T24" s="4430"/>
      <x:c r="U24" s="3945"/>
      <x:c r="V24" s="4446" t="str">
        <x:v>CONFLICT RESOLVER
precedencia → vigencia → scope
→ contexto → config explícita
→ FAIL CLOSED</x:v>
      </x:c>
      <x:c r="W24" s="4447"/>
      <x:c r="X24" s="4447"/>
      <x:c r="Y24" s="4447"/>
      <x:c r="Z24" s="4447"/>
      <x:c r="AA24" s="4447"/>
      <x:c r="AB24" s="4447"/>
      <x:c r="AC24" s="4447"/>
      <x:c r="AD24" s="4448"/>
    </x:row>
    <x:row r="25">
      <x:c r="A25" s="4434"/>
      <x:c r="B25" s="4435"/>
      <x:c r="C25" s="4435"/>
      <x:c r="D25" s="4435"/>
      <x:c r="E25" s="4435"/>
      <x:c r="F25" s="4436"/>
      <x:c r="G25" s="3945"/>
      <x:c r="H25" s="4434"/>
      <x:c r="I25" s="4435"/>
      <x:c r="J25" s="4435"/>
      <x:c r="K25" s="4435"/>
      <x:c r="L25" s="4435"/>
      <x:c r="M25" s="4436"/>
      <x:c r="N25" s="3945"/>
      <x:c r="O25" s="4434"/>
      <x:c r="P25" s="4435"/>
      <x:c r="Q25" s="4435"/>
      <x:c r="R25" s="4435"/>
      <x:c r="S25" s="4435"/>
      <x:c r="T25" s="4436"/>
      <x:c r="U25" s="3945"/>
      <x:c r="V25" s="4452"/>
      <x:c r="W25" s="4453"/>
      <x:c r="X25" s="4453"/>
      <x:c r="Y25" s="4453"/>
      <x:c r="Z25" s="4453"/>
      <x:c r="AA25" s="4453"/>
      <x:c r="AB25" s="4453"/>
      <x:c r="AC25" s="4453"/>
      <x:c r="AD25" s="4454"/>
    </x:row>
    <x:row r="26">
      <x:c r="A26" s="4434"/>
      <x:c r="B26" s="4435"/>
      <x:c r="C26" s="4435"/>
      <x:c r="D26" s="4435"/>
      <x:c r="E26" s="4435"/>
      <x:c r="F26" s="4436"/>
      <x:c r="G26" s="3945"/>
      <x:c r="H26" s="4434"/>
      <x:c r="I26" s="4435"/>
      <x:c r="J26" s="4435"/>
      <x:c r="K26" s="4435"/>
      <x:c r="L26" s="4435"/>
      <x:c r="M26" s="4436"/>
      <x:c r="N26" s="3945"/>
      <x:c r="O26" s="4434"/>
      <x:c r="P26" s="4435"/>
      <x:c r="Q26" s="4435"/>
      <x:c r="R26" s="4435"/>
      <x:c r="S26" s="4435"/>
      <x:c r="T26" s="4436"/>
      <x:c r="U26" s="3945"/>
      <x:c r="V26" s="4452"/>
      <x:c r="W26" s="4453"/>
      <x:c r="X26" s="4453"/>
      <x:c r="Y26" s="4453"/>
      <x:c r="Z26" s="4453"/>
      <x:c r="AA26" s="4453"/>
      <x:c r="AB26" s="4453"/>
      <x:c r="AC26" s="4453"/>
      <x:c r="AD26" s="4454"/>
    </x:row>
    <x:row r="27">
      <x:c r="A27" s="4434"/>
      <x:c r="B27" s="4435"/>
      <x:c r="C27" s="4435"/>
      <x:c r="D27" s="4435"/>
      <x:c r="E27" s="4435"/>
      <x:c r="F27" s="4436"/>
      <x:c r="G27" s="3945"/>
      <x:c r="H27" s="4434"/>
      <x:c r="I27" s="4435"/>
      <x:c r="J27" s="4435"/>
      <x:c r="K27" s="4435"/>
      <x:c r="L27" s="4435"/>
      <x:c r="M27" s="4436"/>
      <x:c r="N27" s="3945"/>
      <x:c r="O27" s="4434"/>
      <x:c r="P27" s="4435"/>
      <x:c r="Q27" s="4435"/>
      <x:c r="R27" s="4435"/>
      <x:c r="S27" s="4435"/>
      <x:c r="T27" s="4436"/>
      <x:c r="U27" s="3945"/>
      <x:c r="V27" s="4452"/>
      <x:c r="W27" s="4453"/>
      <x:c r="X27" s="4453"/>
      <x:c r="Y27" s="4453"/>
      <x:c r="Z27" s="4453"/>
      <x:c r="AA27" s="4453"/>
      <x:c r="AB27" s="4453"/>
      <x:c r="AC27" s="4453"/>
      <x:c r="AD27" s="4454"/>
    </x:row>
    <x:row r="28">
      <x:c r="A28" s="4434"/>
      <x:c r="B28" s="4435"/>
      <x:c r="C28" s="4435"/>
      <x:c r="D28" s="4435"/>
      <x:c r="E28" s="4435"/>
      <x:c r="F28" s="4436"/>
      <x:c r="G28" s="3945"/>
      <x:c r="H28" s="4434"/>
      <x:c r="I28" s="4435"/>
      <x:c r="J28" s="4435"/>
      <x:c r="K28" s="4435"/>
      <x:c r="L28" s="4435"/>
      <x:c r="M28" s="4436"/>
      <x:c r="N28" s="3945"/>
      <x:c r="O28" s="4434"/>
      <x:c r="P28" s="4435"/>
      <x:c r="Q28" s="4435"/>
      <x:c r="R28" s="4435"/>
      <x:c r="S28" s="4435"/>
      <x:c r="T28" s="4436"/>
      <x:c r="U28" s="3945"/>
      <x:c r="V28" s="4452"/>
      <x:c r="W28" s="4453"/>
      <x:c r="X28" s="4453"/>
      <x:c r="Y28" s="4453"/>
      <x:c r="Z28" s="4453"/>
      <x:c r="AA28" s="4453"/>
      <x:c r="AB28" s="4453"/>
      <x:c r="AC28" s="4453"/>
      <x:c r="AD28" s="4454"/>
    </x:row>
    <x:row r="29">
      <x:c r="A29" s="4440"/>
      <x:c r="B29" s="4441"/>
      <x:c r="C29" s="4441"/>
      <x:c r="D29" s="4441"/>
      <x:c r="E29" s="4441"/>
      <x:c r="F29" s="4442"/>
      <x:c r="G29" s="3945"/>
      <x:c r="H29" s="4440"/>
      <x:c r="I29" s="4441"/>
      <x:c r="J29" s="4441"/>
      <x:c r="K29" s="4441"/>
      <x:c r="L29" s="4441"/>
      <x:c r="M29" s="4442"/>
      <x:c r="N29" s="3945"/>
      <x:c r="O29" s="4440"/>
      <x:c r="P29" s="4441"/>
      <x:c r="Q29" s="4441"/>
      <x:c r="R29" s="4441"/>
      <x:c r="S29" s="4441"/>
      <x:c r="T29" s="4442"/>
      <x:c r="U29" s="3945"/>
      <x:c r="V29" s="4458"/>
      <x:c r="W29" s="4459"/>
      <x:c r="X29" s="4459"/>
      <x:c r="Y29" s="4459"/>
      <x:c r="Z29" s="4459"/>
      <x:c r="AA29" s="4459"/>
      <x:c r="AB29" s="4459"/>
      <x:c r="AC29" s="4459"/>
      <x:c r="AD29" s="4460"/>
    </x:row>
    <x:row r="30">
      <x:c r="A30" s="3945"/>
      <x:c r="B30" s="3945"/>
      <x:c r="C30" s="3945"/>
      <x:c r="D30" s="3945"/>
      <x:c r="E30" s="3945"/>
      <x:c r="F30" s="3945"/>
      <x:c r="G30" s="3945"/>
      <x:c r="H30" s="3945"/>
      <x:c r="I30" s="3945"/>
      <x:c r="J30" s="3945"/>
      <x:c r="K30" s="3945"/>
      <x:c r="L30" s="3945"/>
      <x:c r="M30" s="3945"/>
      <x:c r="N30" s="3945"/>
      <x:c r="O30" s="3945"/>
      <x:c r="P30" s="3945"/>
      <x:c r="Q30" s="3945"/>
      <x:c r="R30" s="3945"/>
      <x:c r="S30" s="3945"/>
      <x:c r="T30" s="3945"/>
      <x:c r="U30" s="3945"/>
      <x:c r="V30" s="3945"/>
      <x:c r="W30" s="3945"/>
      <x:c r="X30" s="3945"/>
      <x:c r="Y30" s="3945"/>
      <x:c r="Z30" s="3945"/>
      <x:c r="AA30" s="3945"/>
      <x:c r="AB30" s="3945"/>
      <x:c r="AC30" s="3945"/>
      <x:c r="AD30" s="3945"/>
    </x:row>
    <x:row r="31">
      <x:c r="A31" s="3945"/>
      <x:c r="B31" s="3945"/>
      <x:c r="C31" s="3945"/>
      <x:c r="D31" s="3945"/>
      <x:c r="E31" s="3945"/>
      <x:c r="F31" s="3945"/>
      <x:c r="G31" s="3945"/>
      <x:c r="H31" s="3945"/>
      <x:c r="I31" s="3945"/>
      <x:c r="J31" s="3945"/>
      <x:c r="K31" s="3945"/>
      <x:c r="L31" s="3945"/>
      <x:c r="M31" s="3945"/>
      <x:c r="N31" s="3945"/>
      <x:c r="O31" s="3945"/>
      <x:c r="P31" s="3945"/>
      <x:c r="Q31" s="3945"/>
      <x:c r="R31" s="3945"/>
      <x:c r="S31" s="3945"/>
      <x:c r="T31" s="3945"/>
      <x:c r="U31" s="3945"/>
      <x:c r="V31" s="3945"/>
      <x:c r="W31" s="3945"/>
      <x:c r="X31" s="3945"/>
      <x:c r="Y31" s="3945"/>
      <x:c r="Z31" s="3945"/>
      <x:c r="AA31" s="3945"/>
      <x:c r="AB31" s="3945"/>
      <x:c r="AC31" s="3945"/>
      <x:c r="AD31" s="3945"/>
    </x:row>
    <x:row r="32">
      <x:c r="A32" s="4465" t="str">
        <x:v>03 — 74 REGLAS CANÓNICAS</x:v>
      </x:c>
      <x:c r="B32" s="4465"/>
      <x:c r="C32" s="4465"/>
      <x:c r="D32" s="4465"/>
      <x:c r="E32" s="4465"/>
      <x:c r="F32" s="4465"/>
      <x:c r="G32" s="4465"/>
      <x:c r="H32" s="4465"/>
      <x:c r="I32" s="4465"/>
      <x:c r="J32" s="4465"/>
      <x:c r="K32" s="4465"/>
      <x:c r="L32" s="4465"/>
      <x:c r="M32" s="4465"/>
      <x:c r="N32" s="4465"/>
      <x:c r="O32" s="4465"/>
      <x:c r="P32" s="4465"/>
      <x:c r="Q32" s="4465"/>
      <x:c r="R32" s="4465"/>
      <x:c r="S32" s="4465"/>
      <x:c r="T32" s="4465"/>
      <x:c r="U32" s="4465"/>
      <x:c r="V32" s="4465"/>
      <x:c r="W32" s="4465"/>
      <x:c r="X32" s="4465"/>
      <x:c r="Y32" s="4465"/>
      <x:c r="Z32" s="4465"/>
      <x:c r="AA32" s="4465"/>
      <x:c r="AB32" s="4465"/>
      <x:c r="AC32" s="4465"/>
      <x:c r="AD32" s="4465"/>
    </x:row>
    <x:row r="33">
      <x:c r="A33" s="3945"/>
      <x:c r="B33" s="3945"/>
      <x:c r="C33" s="3945"/>
      <x:c r="D33" s="3945"/>
      <x:c r="E33" s="3945"/>
      <x:c r="F33" s="3945"/>
      <x:c r="G33" s="3945"/>
      <x:c r="H33" s="3945"/>
      <x:c r="I33" s="3945"/>
      <x:c r="J33" s="3945"/>
      <x:c r="K33" s="3945"/>
      <x:c r="L33" s="3945"/>
      <x:c r="M33" s="3945"/>
      <x:c r="N33" s="3945"/>
      <x:c r="O33" s="3945"/>
      <x:c r="P33" s="3945"/>
      <x:c r="Q33" s="3945"/>
      <x:c r="R33" s="3945"/>
      <x:c r="S33" s="3945"/>
      <x:c r="T33" s="3945"/>
      <x:c r="U33" s="3945"/>
      <x:c r="V33" s="3945"/>
      <x:c r="W33" s="3945"/>
      <x:c r="X33" s="3945"/>
      <x:c r="Y33" s="3945"/>
      <x:c r="Z33" s="3945"/>
      <x:c r="AA33" s="3945"/>
      <x:c r="AB33" s="3945"/>
      <x:c r="AC33" s="3945"/>
      <x:c r="AD33" s="3945"/>
    </x:row>
    <x:row r="34">
      <x:c r="A34" s="4449" t="str">
        <x:v>ROUTING / IDENTIDAD
8 reglas</x:v>
      </x:c>
      <x:c r="B34" s="4450"/>
      <x:c r="C34" s="4450"/>
      <x:c r="D34" s="4450"/>
      <x:c r="E34" s="4450"/>
      <x:c r="F34" s="4451"/>
      <x:c r="G34" s="3945"/>
      <x:c r="H34" s="4449" t="str">
        <x:v>PLANIFICACIÓN
12 reglas</x:v>
      </x:c>
      <x:c r="I34" s="4450"/>
      <x:c r="J34" s="4450"/>
      <x:c r="K34" s="4450"/>
      <x:c r="L34" s="4450"/>
      <x:c r="M34" s="4451"/>
      <x:c r="N34" s="3945"/>
      <x:c r="O34" s="4428" t="str">
        <x:v>EJECUCIÓN
18 reglas</x:v>
      </x:c>
      <x:c r="P34" s="4429"/>
      <x:c r="Q34" s="4429"/>
      <x:c r="R34" s="4429"/>
      <x:c r="S34" s="4429"/>
      <x:c r="T34" s="4430"/>
      <x:c r="U34" s="3945"/>
      <x:c r="V34" s="4431" t="str">
        <x:v>HABILITA + CONTROL
20 reglas</x:v>
      </x:c>
      <x:c r="W34" s="4432"/>
      <x:c r="X34" s="4432"/>
      <x:c r="Y34" s="4432"/>
      <x:c r="Z34" s="4432"/>
      <x:c r="AA34" s="4432"/>
      <x:c r="AB34" s="4432"/>
      <x:c r="AC34" s="4432"/>
      <x:c r="AD34" s="4433"/>
    </x:row>
    <x:row r="35">
      <x:c r="A35" s="4455"/>
      <x:c r="B35" s="4456"/>
      <x:c r="C35" s="4456"/>
      <x:c r="D35" s="4456"/>
      <x:c r="E35" s="4456"/>
      <x:c r="F35" s="4457"/>
      <x:c r="G35" s="3945"/>
      <x:c r="H35" s="4455"/>
      <x:c r="I35" s="4456"/>
      <x:c r="J35" s="4456"/>
      <x:c r="K35" s="4456"/>
      <x:c r="L35" s="4456"/>
      <x:c r="M35" s="4457"/>
      <x:c r="N35" s="3945"/>
      <x:c r="O35" s="4434"/>
      <x:c r="P35" s="4435"/>
      <x:c r="Q35" s="4435"/>
      <x:c r="R35" s="4435"/>
      <x:c r="S35" s="4435"/>
      <x:c r="T35" s="4436"/>
      <x:c r="U35" s="3945"/>
      <x:c r="V35" s="4437"/>
      <x:c r="W35" s="4438"/>
      <x:c r="X35" s="4438"/>
      <x:c r="Y35" s="4438"/>
      <x:c r="Z35" s="4438"/>
      <x:c r="AA35" s="4438"/>
      <x:c r="AB35" s="4438"/>
      <x:c r="AC35" s="4438"/>
      <x:c r="AD35" s="4439"/>
    </x:row>
    <x:row r="36">
      <x:c r="A36" s="4455"/>
      <x:c r="B36" s="4456"/>
      <x:c r="C36" s="4456"/>
      <x:c r="D36" s="4456"/>
      <x:c r="E36" s="4456"/>
      <x:c r="F36" s="4457"/>
      <x:c r="G36" s="3945"/>
      <x:c r="H36" s="4455"/>
      <x:c r="I36" s="4456"/>
      <x:c r="J36" s="4456"/>
      <x:c r="K36" s="4456"/>
      <x:c r="L36" s="4456"/>
      <x:c r="M36" s="4457"/>
      <x:c r="N36" s="3945"/>
      <x:c r="O36" s="4434"/>
      <x:c r="P36" s="4435"/>
      <x:c r="Q36" s="4435"/>
      <x:c r="R36" s="4435"/>
      <x:c r="S36" s="4435"/>
      <x:c r="T36" s="4436"/>
      <x:c r="U36" s="3945"/>
      <x:c r="V36" s="4437"/>
      <x:c r="W36" s="4438"/>
      <x:c r="X36" s="4438"/>
      <x:c r="Y36" s="4438"/>
      <x:c r="Z36" s="4438"/>
      <x:c r="AA36" s="4438"/>
      <x:c r="AB36" s="4438"/>
      <x:c r="AC36" s="4438"/>
      <x:c r="AD36" s="4439"/>
    </x:row>
    <x:row r="37">
      <x:c r="A37" s="4455"/>
      <x:c r="B37" s="4456"/>
      <x:c r="C37" s="4456"/>
      <x:c r="D37" s="4456"/>
      <x:c r="E37" s="4456"/>
      <x:c r="F37" s="4457"/>
      <x:c r="G37" s="3945"/>
      <x:c r="H37" s="4455"/>
      <x:c r="I37" s="4456"/>
      <x:c r="J37" s="4456"/>
      <x:c r="K37" s="4456"/>
      <x:c r="L37" s="4456"/>
      <x:c r="M37" s="4457"/>
      <x:c r="N37" s="3945"/>
      <x:c r="O37" s="4434"/>
      <x:c r="P37" s="4435"/>
      <x:c r="Q37" s="4435"/>
      <x:c r="R37" s="4435"/>
      <x:c r="S37" s="4435"/>
      <x:c r="T37" s="4436"/>
      <x:c r="U37" s="3945"/>
      <x:c r="V37" s="4437"/>
      <x:c r="W37" s="4438"/>
      <x:c r="X37" s="4438"/>
      <x:c r="Y37" s="4438"/>
      <x:c r="Z37" s="4438"/>
      <x:c r="AA37" s="4438"/>
      <x:c r="AB37" s="4438"/>
      <x:c r="AC37" s="4438"/>
      <x:c r="AD37" s="4439"/>
    </x:row>
    <x:row r="38">
      <x:c r="A38" s="4455"/>
      <x:c r="B38" s="4456"/>
      <x:c r="C38" s="4456"/>
      <x:c r="D38" s="4456"/>
      <x:c r="E38" s="4456"/>
      <x:c r="F38" s="4457"/>
      <x:c r="G38" s="3945"/>
      <x:c r="H38" s="4455"/>
      <x:c r="I38" s="4456"/>
      <x:c r="J38" s="4456"/>
      <x:c r="K38" s="4456"/>
      <x:c r="L38" s="4456"/>
      <x:c r="M38" s="4457"/>
      <x:c r="N38" s="3945"/>
      <x:c r="O38" s="4434"/>
      <x:c r="P38" s="4435"/>
      <x:c r="Q38" s="4435"/>
      <x:c r="R38" s="4435"/>
      <x:c r="S38" s="4435"/>
      <x:c r="T38" s="4436"/>
      <x:c r="U38" s="3945"/>
      <x:c r="V38" s="4437"/>
      <x:c r="W38" s="4438"/>
      <x:c r="X38" s="4438"/>
      <x:c r="Y38" s="4438"/>
      <x:c r="Z38" s="4438"/>
      <x:c r="AA38" s="4438"/>
      <x:c r="AB38" s="4438"/>
      <x:c r="AC38" s="4438"/>
      <x:c r="AD38" s="4439"/>
    </x:row>
    <x:row r="39">
      <x:c r="A39" s="4461"/>
      <x:c r="B39" s="4462"/>
      <x:c r="C39" s="4462"/>
      <x:c r="D39" s="4462"/>
      <x:c r="E39" s="4462"/>
      <x:c r="F39" s="4463"/>
      <x:c r="G39" s="3945"/>
      <x:c r="H39" s="4461"/>
      <x:c r="I39" s="4462"/>
      <x:c r="J39" s="4462"/>
      <x:c r="K39" s="4462"/>
      <x:c r="L39" s="4462"/>
      <x:c r="M39" s="4463"/>
      <x:c r="N39" s="3945"/>
      <x:c r="O39" s="4440"/>
      <x:c r="P39" s="4441"/>
      <x:c r="Q39" s="4441"/>
      <x:c r="R39" s="4441"/>
      <x:c r="S39" s="4441"/>
      <x:c r="T39" s="4442"/>
      <x:c r="U39" s="3945"/>
      <x:c r="V39" s="4443"/>
      <x:c r="W39" s="4444"/>
      <x:c r="X39" s="4444"/>
      <x:c r="Y39" s="4444"/>
      <x:c r="Z39" s="4444"/>
      <x:c r="AA39" s="4444"/>
      <x:c r="AB39" s="4444"/>
      <x:c r="AC39" s="4444"/>
      <x:c r="AD39" s="4445"/>
    </x:row>
    <x:row r="40">
      <x:c r="A40" s="3945"/>
      <x:c r="B40" s="3945"/>
      <x:c r="C40" s="3945"/>
      <x:c r="D40" s="3945"/>
      <x:c r="E40" s="3945"/>
      <x:c r="F40" s="3945"/>
      <x:c r="G40" s="3945"/>
      <x:c r="H40" s="3945"/>
      <x:c r="I40" s="3945"/>
      <x:c r="J40" s="3945"/>
      <x:c r="K40" s="3945"/>
      <x:c r="L40" s="3945"/>
      <x:c r="M40" s="3945"/>
      <x:c r="N40" s="3945"/>
      <x:c r="O40" s="3945"/>
      <x:c r="P40" s="3945"/>
      <x:c r="Q40" s="3945"/>
      <x:c r="R40" s="3945"/>
      <x:c r="S40" s="3945"/>
      <x:c r="T40" s="3945"/>
      <x:c r="U40" s="3945"/>
      <x:c r="V40" s="3945"/>
      <x:c r="W40" s="3945"/>
      <x:c r="X40" s="3945"/>
      <x:c r="Y40" s="3945"/>
      <x:c r="Z40" s="3945"/>
      <x:c r="AA40" s="3945"/>
      <x:c r="AB40" s="3945"/>
      <x:c r="AC40" s="3945"/>
      <x:c r="AD40" s="3945"/>
    </x:row>
    <x:row r="41">
      <x:c r="A41" s="3945"/>
      <x:c r="B41" s="3945"/>
      <x:c r="C41" s="3945"/>
      <x:c r="D41" s="3945"/>
      <x:c r="E41" s="3945"/>
      <x:c r="F41" s="3945"/>
      <x:c r="G41" s="3945"/>
      <x:c r="H41" s="3945"/>
      <x:c r="I41" s="3945"/>
      <x:c r="J41" s="3945"/>
      <x:c r="K41" s="3945"/>
      <x:c r="L41" s="3945"/>
      <x:c r="M41" s="3945"/>
      <x:c r="N41" s="3945"/>
      <x:c r="O41" s="3945"/>
      <x:c r="P41" s="3945"/>
      <x:c r="Q41" s="3945"/>
      <x:c r="R41" s="3945"/>
      <x:c r="S41" s="3945"/>
      <x:c r="T41" s="3945"/>
      <x:c r="U41" s="3945"/>
      <x:c r="V41" s="3945"/>
      <x:c r="W41" s="3945"/>
      <x:c r="X41" s="3945"/>
      <x:c r="Y41" s="3945"/>
      <x:c r="Z41" s="3945"/>
      <x:c r="AA41" s="3945"/>
      <x:c r="AB41" s="3945"/>
      <x:c r="AC41" s="3945"/>
      <x:c r="AD41" s="3945"/>
    </x:row>
    <x:row r="42">
      <x:c r="A42" s="4428" t="str">
        <x:v>CERTIFICACIÓN
11 reglas</x:v>
      </x:c>
      <x:c r="B42" s="4429"/>
      <x:c r="C42" s="4429"/>
      <x:c r="D42" s="4429"/>
      <x:c r="E42" s="4429"/>
      <x:c r="F42" s="4429"/>
      <x:c r="G42" s="4429"/>
      <x:c r="H42" s="4430"/>
      <x:c r="I42" s="3945"/>
      <x:c r="J42" s="4428" t="str">
        <x:v>FACTURACIÓN
3 reglas</x:v>
      </x:c>
      <x:c r="K42" s="4429"/>
      <x:c r="L42" s="4429"/>
      <x:c r="M42" s="4429"/>
      <x:c r="N42" s="4429"/>
      <x:c r="O42" s="4429"/>
      <x:c r="P42" s="4429"/>
      <x:c r="Q42" s="4430"/>
      <x:c r="R42" s="3945"/>
      <x:c r="S42" s="4446" t="str">
        <x:v>TRACE / CORRECCIÓN
2 reglas
+ DecisionTrace transversal</x:v>
      </x:c>
      <x:c r="T42" s="4447"/>
      <x:c r="U42" s="4447"/>
      <x:c r="V42" s="4447"/>
      <x:c r="W42" s="4447"/>
      <x:c r="X42" s="4447"/>
      <x:c r="Y42" s="4447"/>
      <x:c r="Z42" s="4447"/>
      <x:c r="AA42" s="4447"/>
      <x:c r="AB42" s="4447"/>
      <x:c r="AC42" s="4447"/>
      <x:c r="AD42" s="4448"/>
    </x:row>
    <x:row r="43">
      <x:c r="A43" s="4434"/>
      <x:c r="B43" s="4435"/>
      <x:c r="C43" s="4435"/>
      <x:c r="D43" s="4435"/>
      <x:c r="E43" s="4435"/>
      <x:c r="F43" s="4435"/>
      <x:c r="G43" s="4435"/>
      <x:c r="H43" s="4436"/>
      <x:c r="I43" s="3945"/>
      <x:c r="J43" s="4434"/>
      <x:c r="K43" s="4435"/>
      <x:c r="L43" s="4435"/>
      <x:c r="M43" s="4435"/>
      <x:c r="N43" s="4435"/>
      <x:c r="O43" s="4435"/>
      <x:c r="P43" s="4435"/>
      <x:c r="Q43" s="4436"/>
      <x:c r="R43" s="3945"/>
      <x:c r="S43" s="4452"/>
      <x:c r="T43" s="4453"/>
      <x:c r="U43" s="4453"/>
      <x:c r="V43" s="4453"/>
      <x:c r="W43" s="4453"/>
      <x:c r="X43" s="4453"/>
      <x:c r="Y43" s="4453"/>
      <x:c r="Z43" s="4453"/>
      <x:c r="AA43" s="4453"/>
      <x:c r="AB43" s="4453"/>
      <x:c r="AC43" s="4453"/>
      <x:c r="AD43" s="4454"/>
    </x:row>
    <x:row r="44">
      <x:c r="A44" s="4434"/>
      <x:c r="B44" s="4435"/>
      <x:c r="C44" s="4435"/>
      <x:c r="D44" s="4435"/>
      <x:c r="E44" s="4435"/>
      <x:c r="F44" s="4435"/>
      <x:c r="G44" s="4435"/>
      <x:c r="H44" s="4436"/>
      <x:c r="I44" s="3945"/>
      <x:c r="J44" s="4434"/>
      <x:c r="K44" s="4435"/>
      <x:c r="L44" s="4435"/>
      <x:c r="M44" s="4435"/>
      <x:c r="N44" s="4435"/>
      <x:c r="O44" s="4435"/>
      <x:c r="P44" s="4435"/>
      <x:c r="Q44" s="4436"/>
      <x:c r="R44" s="3945"/>
      <x:c r="S44" s="4452"/>
      <x:c r="T44" s="4453"/>
      <x:c r="U44" s="4453"/>
      <x:c r="V44" s="4453"/>
      <x:c r="W44" s="4453"/>
      <x:c r="X44" s="4453"/>
      <x:c r="Y44" s="4453"/>
      <x:c r="Z44" s="4453"/>
      <x:c r="AA44" s="4453"/>
      <x:c r="AB44" s="4453"/>
      <x:c r="AC44" s="4453"/>
      <x:c r="AD44" s="4454"/>
    </x:row>
    <x:row r="45">
      <x:c r="A45" s="4434"/>
      <x:c r="B45" s="4435"/>
      <x:c r="C45" s="4435"/>
      <x:c r="D45" s="4435"/>
      <x:c r="E45" s="4435"/>
      <x:c r="F45" s="4435"/>
      <x:c r="G45" s="4435"/>
      <x:c r="H45" s="4436"/>
      <x:c r="I45" s="3945"/>
      <x:c r="J45" s="4434"/>
      <x:c r="K45" s="4435"/>
      <x:c r="L45" s="4435"/>
      <x:c r="M45" s="4435"/>
      <x:c r="N45" s="4435"/>
      <x:c r="O45" s="4435"/>
      <x:c r="P45" s="4435"/>
      <x:c r="Q45" s="4436"/>
      <x:c r="R45" s="3945"/>
      <x:c r="S45" s="4452"/>
      <x:c r="T45" s="4453"/>
      <x:c r="U45" s="4453"/>
      <x:c r="V45" s="4453"/>
      <x:c r="W45" s="4453"/>
      <x:c r="X45" s="4453"/>
      <x:c r="Y45" s="4453"/>
      <x:c r="Z45" s="4453"/>
      <x:c r="AA45" s="4453"/>
      <x:c r="AB45" s="4453"/>
      <x:c r="AC45" s="4453"/>
      <x:c r="AD45" s="4454"/>
    </x:row>
    <x:row r="46">
      <x:c r="A46" s="4434"/>
      <x:c r="B46" s="4435"/>
      <x:c r="C46" s="4435"/>
      <x:c r="D46" s="4435"/>
      <x:c r="E46" s="4435"/>
      <x:c r="F46" s="4435"/>
      <x:c r="G46" s="4435"/>
      <x:c r="H46" s="4436"/>
      <x:c r="I46" s="3945"/>
      <x:c r="J46" s="4434"/>
      <x:c r="K46" s="4435"/>
      <x:c r="L46" s="4435"/>
      <x:c r="M46" s="4435"/>
      <x:c r="N46" s="4435"/>
      <x:c r="O46" s="4435"/>
      <x:c r="P46" s="4435"/>
      <x:c r="Q46" s="4436"/>
      <x:c r="R46" s="3945"/>
      <x:c r="S46" s="4452"/>
      <x:c r="T46" s="4453"/>
      <x:c r="U46" s="4453"/>
      <x:c r="V46" s="4453"/>
      <x:c r="W46" s="4453"/>
      <x:c r="X46" s="4453"/>
      <x:c r="Y46" s="4453"/>
      <x:c r="Z46" s="4453"/>
      <x:c r="AA46" s="4453"/>
      <x:c r="AB46" s="4453"/>
      <x:c r="AC46" s="4453"/>
      <x:c r="AD46" s="4454"/>
    </x:row>
    <x:row r="47">
      <x:c r="A47" s="4440"/>
      <x:c r="B47" s="4441"/>
      <x:c r="C47" s="4441"/>
      <x:c r="D47" s="4441"/>
      <x:c r="E47" s="4441"/>
      <x:c r="F47" s="4441"/>
      <x:c r="G47" s="4441"/>
      <x:c r="H47" s="4442"/>
      <x:c r="I47" s="3945"/>
      <x:c r="J47" s="4440"/>
      <x:c r="K47" s="4441"/>
      <x:c r="L47" s="4441"/>
      <x:c r="M47" s="4441"/>
      <x:c r="N47" s="4441"/>
      <x:c r="O47" s="4441"/>
      <x:c r="P47" s="4441"/>
      <x:c r="Q47" s="4442"/>
      <x:c r="R47" s="3945"/>
      <x:c r="S47" s="4458"/>
      <x:c r="T47" s="4459"/>
      <x:c r="U47" s="4459"/>
      <x:c r="V47" s="4459"/>
      <x:c r="W47" s="4459"/>
      <x:c r="X47" s="4459"/>
      <x:c r="Y47" s="4459"/>
      <x:c r="Z47" s="4459"/>
      <x:c r="AA47" s="4459"/>
      <x:c r="AB47" s="4459"/>
      <x:c r="AC47" s="4459"/>
      <x:c r="AD47" s="4460"/>
    </x:row>
    <x:row r="48">
      <x:c r="A48" s="3945"/>
      <x:c r="B48" s="3945"/>
      <x:c r="C48" s="3945"/>
      <x:c r="D48" s="3945"/>
      <x:c r="E48" s="3945"/>
      <x:c r="F48" s="3945"/>
      <x:c r="G48" s="3945"/>
      <x:c r="H48" s="3945"/>
      <x:c r="I48" s="3945"/>
      <x:c r="J48" s="3945"/>
      <x:c r="K48" s="3945"/>
      <x:c r="L48" s="3945"/>
      <x:c r="M48" s="3945"/>
      <x:c r="N48" s="3945"/>
      <x:c r="O48" s="3945"/>
      <x:c r="P48" s="3945"/>
      <x:c r="Q48" s="3945"/>
      <x:c r="R48" s="3945"/>
      <x:c r="S48" s="3945"/>
      <x:c r="T48" s="3945"/>
      <x:c r="U48" s="3945"/>
      <x:c r="V48" s="3945"/>
      <x:c r="W48" s="3945"/>
      <x:c r="X48" s="3945"/>
      <x:c r="Y48" s="3945"/>
      <x:c r="Z48" s="3945"/>
      <x:c r="AA48" s="3945"/>
      <x:c r="AB48" s="3945"/>
      <x:c r="AC48" s="3945"/>
      <x:c r="AD48" s="3945"/>
    </x:row>
    <x:row r="49">
      <x:c r="A49" s="3945"/>
      <x:c r="B49" s="3945"/>
      <x:c r="C49" s="3945"/>
      <x:c r="D49" s="3945"/>
      <x:c r="E49" s="3945"/>
      <x:c r="F49" s="3945"/>
      <x:c r="G49" s="3945"/>
      <x:c r="H49" s="3945"/>
      <x:c r="I49" s="3945"/>
      <x:c r="J49" s="3945"/>
      <x:c r="K49" s="3945"/>
      <x:c r="L49" s="3945"/>
      <x:c r="M49" s="3945"/>
      <x:c r="N49" s="3945"/>
      <x:c r="O49" s="3945"/>
      <x:c r="P49" s="3945"/>
      <x:c r="Q49" s="3945"/>
      <x:c r="R49" s="3945"/>
      <x:c r="S49" s="3945"/>
      <x:c r="T49" s="3945"/>
      <x:c r="U49" s="3945"/>
      <x:c r="V49" s="3945"/>
      <x:c r="W49" s="3945"/>
      <x:c r="X49" s="3945"/>
      <x:c r="Y49" s="3945"/>
      <x:c r="Z49" s="3945"/>
      <x:c r="AA49" s="3945"/>
      <x:c r="AB49" s="3945"/>
      <x:c r="AC49" s="3945"/>
      <x:c r="AD49" s="3945"/>
    </x:row>
    <x:row r="50">
      <x:c r="A50" s="4465" t="str">
        <x:v>04 — DECISION ENVELOPE</x:v>
      </x:c>
      <x:c r="B50" s="4465"/>
      <x:c r="C50" s="4465"/>
      <x:c r="D50" s="4465"/>
      <x:c r="E50" s="4465"/>
      <x:c r="F50" s="4465"/>
      <x:c r="G50" s="4465"/>
      <x:c r="H50" s="4465"/>
      <x:c r="I50" s="4465"/>
      <x:c r="J50" s="4465"/>
      <x:c r="K50" s="4465"/>
      <x:c r="L50" s="4465"/>
      <x:c r="M50" s="4465"/>
      <x:c r="N50" s="4465"/>
      <x:c r="O50" s="4465"/>
      <x:c r="P50" s="4465"/>
      <x:c r="Q50" s="4465"/>
      <x:c r="R50" s="4465"/>
      <x:c r="S50" s="4465"/>
      <x:c r="T50" s="4465"/>
      <x:c r="U50" s="4465"/>
      <x:c r="V50" s="4465"/>
      <x:c r="W50" s="4465"/>
      <x:c r="X50" s="4465"/>
      <x:c r="Y50" s="4465"/>
      <x:c r="Z50" s="4465"/>
      <x:c r="AA50" s="4465"/>
      <x:c r="AB50" s="4465"/>
      <x:c r="AC50" s="4465"/>
      <x:c r="AD50" s="4465"/>
    </x:row>
    <x:row r="51">
      <x:c r="A51" s="3945"/>
      <x:c r="B51" s="3945"/>
      <x:c r="C51" s="3945"/>
      <x:c r="D51" s="3945"/>
      <x:c r="E51" s="3945"/>
      <x:c r="F51" s="3945"/>
      <x:c r="G51" s="3945"/>
      <x:c r="H51" s="3945"/>
      <x:c r="I51" s="3945"/>
      <x:c r="J51" s="3945"/>
      <x:c r="K51" s="3945"/>
      <x:c r="L51" s="3945"/>
      <x:c r="M51" s="3945"/>
      <x:c r="N51" s="3945"/>
      <x:c r="O51" s="3945"/>
      <x:c r="P51" s="3945"/>
      <x:c r="Q51" s="3945"/>
      <x:c r="R51" s="3945"/>
      <x:c r="S51" s="3945"/>
      <x:c r="T51" s="3945"/>
      <x:c r="U51" s="3945"/>
      <x:c r="V51" s="3945"/>
      <x:c r="W51" s="3945"/>
      <x:c r="X51" s="3945"/>
      <x:c r="Y51" s="3945"/>
      <x:c r="Z51" s="3945"/>
      <x:c r="AA51" s="3945"/>
      <x:c r="AB51" s="3945"/>
      <x:c r="AC51" s="3945"/>
      <x:c r="AD51" s="3945"/>
    </x:row>
    <x:row r="52">
      <x:c r="A52" s="4428" t="str">
        <x:v>DECISION
ALLOW · BLOCK
WARN · CONFIRM</x:v>
      </x:c>
      <x:c r="B52" s="4429"/>
      <x:c r="C52" s="4429"/>
      <x:c r="D52" s="4429"/>
      <x:c r="E52" s="4430"/>
      <x:c r="F52" s="3945"/>
      <x:c r="G52" s="4428" t="str">
        <x:v>TARGET STATE
si corresponde</x:v>
      </x:c>
      <x:c r="H52" s="4429"/>
      <x:c r="I52" s="4429"/>
      <x:c r="J52" s="4429"/>
      <x:c r="K52" s="4430"/>
      <x:c r="L52" s="3945"/>
      <x:c r="M52" s="4431" t="str">
        <x:v>BLOCKS /
WARNINGS /
CONFIRMATIONS</x:v>
      </x:c>
      <x:c r="N52" s="4432"/>
      <x:c r="O52" s="4432"/>
      <x:c r="P52" s="4432"/>
      <x:c r="Q52" s="4433"/>
      <x:c r="R52" s="3945"/>
      <x:c r="S52" s="4449" t="str">
        <x:v>SIDE EFFECTS
crear · cerrar · versionar
emitir</x:v>
      </x:c>
      <x:c r="T52" s="4450"/>
      <x:c r="U52" s="4450"/>
      <x:c r="V52" s="4450"/>
      <x:c r="W52" s="4451"/>
      <x:c r="X52" s="3945"/>
      <x:c r="Y52" s="4449" t="str">
        <x:v>RULES APPLIED
+ RULESET VERSION
+ ACTOR</x:v>
      </x:c>
      <x:c r="Z52" s="4450"/>
      <x:c r="AA52" s="4450"/>
      <x:c r="AB52" s="4450"/>
      <x:c r="AC52" s="4450"/>
      <x:c r="AD52" s="4451"/>
    </x:row>
    <x:row r="53">
      <x:c r="A53" s="4434"/>
      <x:c r="B53" s="4435"/>
      <x:c r="C53" s="4435"/>
      <x:c r="D53" s="4435"/>
      <x:c r="E53" s="4436"/>
      <x:c r="F53" s="3945"/>
      <x:c r="G53" s="4434"/>
      <x:c r="H53" s="4435"/>
      <x:c r="I53" s="4435"/>
      <x:c r="J53" s="4435"/>
      <x:c r="K53" s="4436"/>
      <x:c r="L53" s="3945"/>
      <x:c r="M53" s="4437"/>
      <x:c r="N53" s="4438"/>
      <x:c r="O53" s="4438"/>
      <x:c r="P53" s="4438"/>
      <x:c r="Q53" s="4439"/>
      <x:c r="R53" s="3945"/>
      <x:c r="S53" s="4455"/>
      <x:c r="T53" s="4456"/>
      <x:c r="U53" s="4456"/>
      <x:c r="V53" s="4456"/>
      <x:c r="W53" s="4457"/>
      <x:c r="X53" s="3945"/>
      <x:c r="Y53" s="4455"/>
      <x:c r="Z53" s="4456"/>
      <x:c r="AA53" s="4456"/>
      <x:c r="AB53" s="4456"/>
      <x:c r="AC53" s="4456"/>
      <x:c r="AD53" s="4457"/>
    </x:row>
    <x:row r="54">
      <x:c r="A54" s="4434"/>
      <x:c r="B54" s="4435"/>
      <x:c r="C54" s="4435"/>
      <x:c r="D54" s="4435"/>
      <x:c r="E54" s="4436"/>
      <x:c r="F54" s="3945"/>
      <x:c r="G54" s="4434"/>
      <x:c r="H54" s="4435"/>
      <x:c r="I54" s="4435"/>
      <x:c r="J54" s="4435"/>
      <x:c r="K54" s="4436"/>
      <x:c r="L54" s="3945"/>
      <x:c r="M54" s="4437"/>
      <x:c r="N54" s="4438"/>
      <x:c r="O54" s="4438"/>
      <x:c r="P54" s="4438"/>
      <x:c r="Q54" s="4439"/>
      <x:c r="R54" s="3945"/>
      <x:c r="S54" s="4455"/>
      <x:c r="T54" s="4456"/>
      <x:c r="U54" s="4456"/>
      <x:c r="V54" s="4456"/>
      <x:c r="W54" s="4457"/>
      <x:c r="X54" s="3945"/>
      <x:c r="Y54" s="4455"/>
      <x:c r="Z54" s="4456"/>
      <x:c r="AA54" s="4456"/>
      <x:c r="AB54" s="4456"/>
      <x:c r="AC54" s="4456"/>
      <x:c r="AD54" s="4457"/>
    </x:row>
    <x:row r="55">
      <x:c r="A55" s="4434"/>
      <x:c r="B55" s="4435"/>
      <x:c r="C55" s="4435"/>
      <x:c r="D55" s="4435"/>
      <x:c r="E55" s="4436"/>
      <x:c r="F55" s="3945"/>
      <x:c r="G55" s="4434"/>
      <x:c r="H55" s="4435"/>
      <x:c r="I55" s="4435"/>
      <x:c r="J55" s="4435"/>
      <x:c r="K55" s="4436"/>
      <x:c r="L55" s="3945"/>
      <x:c r="M55" s="4437"/>
      <x:c r="N55" s="4438"/>
      <x:c r="O55" s="4438"/>
      <x:c r="P55" s="4438"/>
      <x:c r="Q55" s="4439"/>
      <x:c r="R55" s="3945"/>
      <x:c r="S55" s="4455"/>
      <x:c r="T55" s="4456"/>
      <x:c r="U55" s="4456"/>
      <x:c r="V55" s="4456"/>
      <x:c r="W55" s="4457"/>
      <x:c r="X55" s="3945"/>
      <x:c r="Y55" s="4455"/>
      <x:c r="Z55" s="4456"/>
      <x:c r="AA55" s="4456"/>
      <x:c r="AB55" s="4456"/>
      <x:c r="AC55" s="4456"/>
      <x:c r="AD55" s="4457"/>
    </x:row>
    <x:row r="56">
      <x:c r="A56" s="4434"/>
      <x:c r="B56" s="4435"/>
      <x:c r="C56" s="4435"/>
      <x:c r="D56" s="4435"/>
      <x:c r="E56" s="4436"/>
      <x:c r="F56" s="3945"/>
      <x:c r="G56" s="4434"/>
      <x:c r="H56" s="4435"/>
      <x:c r="I56" s="4435"/>
      <x:c r="J56" s="4435"/>
      <x:c r="K56" s="4436"/>
      <x:c r="L56" s="3945"/>
      <x:c r="M56" s="4437"/>
      <x:c r="N56" s="4438"/>
      <x:c r="O56" s="4438"/>
      <x:c r="P56" s="4438"/>
      <x:c r="Q56" s="4439"/>
      <x:c r="R56" s="3945"/>
      <x:c r="S56" s="4455"/>
      <x:c r="T56" s="4456"/>
      <x:c r="U56" s="4456"/>
      <x:c r="V56" s="4456"/>
      <x:c r="W56" s="4457"/>
      <x:c r="X56" s="3945"/>
      <x:c r="Y56" s="4455"/>
      <x:c r="Z56" s="4456"/>
      <x:c r="AA56" s="4456"/>
      <x:c r="AB56" s="4456"/>
      <x:c r="AC56" s="4456"/>
      <x:c r="AD56" s="4457"/>
    </x:row>
    <x:row r="57">
      <x:c r="A57" s="4440"/>
      <x:c r="B57" s="4441"/>
      <x:c r="C57" s="4441"/>
      <x:c r="D57" s="4441"/>
      <x:c r="E57" s="4442"/>
      <x:c r="F57" s="3945"/>
      <x:c r="G57" s="4440"/>
      <x:c r="H57" s="4441"/>
      <x:c r="I57" s="4441"/>
      <x:c r="J57" s="4441"/>
      <x:c r="K57" s="4442"/>
      <x:c r="L57" s="3945"/>
      <x:c r="M57" s="4443"/>
      <x:c r="N57" s="4444"/>
      <x:c r="O57" s="4444"/>
      <x:c r="P57" s="4444"/>
      <x:c r="Q57" s="4445"/>
      <x:c r="R57" s="3945"/>
      <x:c r="S57" s="4461"/>
      <x:c r="T57" s="4462"/>
      <x:c r="U57" s="4462"/>
      <x:c r="V57" s="4462"/>
      <x:c r="W57" s="4463"/>
      <x:c r="X57" s="3945"/>
      <x:c r="Y57" s="4461"/>
      <x:c r="Z57" s="4462"/>
      <x:c r="AA57" s="4462"/>
      <x:c r="AB57" s="4462"/>
      <x:c r="AC57" s="4462"/>
      <x:c r="AD57" s="4463"/>
    </x:row>
    <x:row r="58">
      <x:c r="A58" s="3945"/>
      <x:c r="B58" s="3945"/>
      <x:c r="C58" s="3945"/>
      <x:c r="D58" s="3945"/>
      <x:c r="E58" s="3945"/>
      <x:c r="F58" s="3945"/>
      <x:c r="G58" s="3945"/>
      <x:c r="H58" s="3945"/>
      <x:c r="I58" s="3945"/>
      <x:c r="J58" s="3945"/>
      <x:c r="K58" s="3945"/>
      <x:c r="L58" s="3945"/>
      <x:c r="M58" s="3945"/>
      <x:c r="N58" s="3945"/>
      <x:c r="O58" s="3945"/>
      <x:c r="P58" s="3945"/>
      <x:c r="Q58" s="3945"/>
      <x:c r="R58" s="3945"/>
      <x:c r="S58" s="3945"/>
      <x:c r="T58" s="3945"/>
      <x:c r="U58" s="3945"/>
      <x:c r="V58" s="3945"/>
      <x:c r="W58" s="3945"/>
      <x:c r="X58" s="3945"/>
      <x:c r="Y58" s="3945"/>
      <x:c r="Z58" s="3945"/>
      <x:c r="AA58" s="3945"/>
      <x:c r="AB58" s="3945"/>
      <x:c r="AC58" s="3945"/>
      <x:c r="AD58" s="3945"/>
    </x:row>
    <x:row r="59">
      <x:c r="A59" s="3945"/>
      <x:c r="B59" s="3945"/>
      <x:c r="C59" s="3945"/>
      <x:c r="D59" s="3945"/>
      <x:c r="E59" s="3945"/>
      <x:c r="F59" s="3945"/>
      <x:c r="G59" s="3945"/>
      <x:c r="H59" s="3945"/>
      <x:c r="I59" s="3945"/>
      <x:c r="J59" s="3945"/>
      <x:c r="K59" s="3945"/>
      <x:c r="L59" s="3945"/>
      <x:c r="M59" s="3945"/>
      <x:c r="N59" s="3945"/>
      <x:c r="O59" s="3945"/>
      <x:c r="P59" s="3945"/>
      <x:c r="Q59" s="3945"/>
      <x:c r="R59" s="3945"/>
      <x:c r="S59" s="3945"/>
      <x:c r="T59" s="3945"/>
      <x:c r="U59" s="3945"/>
      <x:c r="V59" s="3945"/>
      <x:c r="W59" s="3945"/>
      <x:c r="X59" s="3945"/>
      <x:c r="Y59" s="3945"/>
      <x:c r="Z59" s="3945"/>
      <x:c r="AA59" s="3945"/>
      <x:c r="AB59" s="3945"/>
      <x:c r="AC59" s="3945"/>
      <x:c r="AD59" s="3945"/>
    </x:row>
    <x:row r="60">
      <x:c r="A60" s="4465" t="str">
        <x:v>05 — TRACE + IDEMPOTENCY BUS</x:v>
      </x:c>
      <x:c r="B60" s="4465"/>
      <x:c r="C60" s="4465"/>
      <x:c r="D60" s="4465"/>
      <x:c r="E60" s="4465"/>
      <x:c r="F60" s="4465"/>
      <x:c r="G60" s="4465"/>
      <x:c r="H60" s="4465"/>
      <x:c r="I60" s="4465"/>
      <x:c r="J60" s="4465"/>
      <x:c r="K60" s="4465"/>
      <x:c r="L60" s="4465"/>
      <x:c r="M60" s="4465"/>
      <x:c r="N60" s="4465"/>
      <x:c r="O60" s="4465"/>
      <x:c r="P60" s="4465"/>
      <x:c r="Q60" s="4465"/>
      <x:c r="R60" s="4465"/>
      <x:c r="S60" s="4465"/>
      <x:c r="T60" s="4465"/>
      <x:c r="U60" s="4465"/>
      <x:c r="V60" s="4465"/>
      <x:c r="W60" s="4465"/>
      <x:c r="X60" s="4465"/>
      <x:c r="Y60" s="4465"/>
      <x:c r="Z60" s="4465"/>
      <x:c r="AA60" s="4465"/>
      <x:c r="AB60" s="4465"/>
      <x:c r="AC60" s="4465"/>
      <x:c r="AD60" s="4465"/>
    </x:row>
    <x:row r="61">
      <x:c r="A61" s="3945"/>
      <x:c r="B61" s="3945"/>
      <x:c r="C61" s="3945"/>
      <x:c r="D61" s="3945"/>
      <x:c r="E61" s="3945"/>
      <x:c r="F61" s="3945"/>
      <x:c r="G61" s="3945"/>
      <x:c r="H61" s="3945"/>
      <x:c r="I61" s="3945"/>
      <x:c r="J61" s="3945"/>
      <x:c r="K61" s="3945"/>
      <x:c r="L61" s="3945"/>
      <x:c r="M61" s="3945"/>
      <x:c r="N61" s="3945"/>
      <x:c r="O61" s="3945"/>
      <x:c r="P61" s="3945"/>
      <x:c r="Q61" s="3945"/>
      <x:c r="R61" s="3945"/>
      <x:c r="S61" s="3945"/>
      <x:c r="T61" s="3945"/>
      <x:c r="U61" s="3945"/>
      <x:c r="V61" s="3945"/>
      <x:c r="W61" s="3945"/>
      <x:c r="X61" s="3945"/>
      <x:c r="Y61" s="3945"/>
      <x:c r="Z61" s="3945"/>
      <x:c r="AA61" s="3945"/>
      <x:c r="AB61" s="3945"/>
      <x:c r="AC61" s="3945"/>
      <x:c r="AD61" s="3945"/>
    </x:row>
    <x:row r="62">
      <x:c r="A62" s="4428" t="str">
        <x:v>DecisionTrace
inputs normalizados
reglas candidatas + ganadora
resultado</x:v>
      </x:c>
      <x:c r="B62" s="4429"/>
      <x:c r="C62" s="4429"/>
      <x:c r="D62" s="4429"/>
      <x:c r="E62" s="4429"/>
      <x:c r="F62" s="4429"/>
      <x:c r="G62" s="4429"/>
      <x:c r="H62" s="4429"/>
      <x:c r="I62" s="4430"/>
      <x:c r="J62" s="3945"/>
      <x:c r="K62" s="4449" t="str">
        <x:v>CORRELATION KEY
mismo evento + mismo contexto
= NO duplicar side effects</x:v>
      </x:c>
      <x:c r="L62" s="4450"/>
      <x:c r="M62" s="4450"/>
      <x:c r="N62" s="4450"/>
      <x:c r="O62" s="4450"/>
      <x:c r="P62" s="4450"/>
      <x:c r="Q62" s="4450"/>
      <x:c r="R62" s="4451"/>
      <x:c r="S62" s="3945"/>
      <x:c r="T62" s="4428" t="str">
        <x:v>VERSIONED DECISION
si cambia ruleset/contexto
→ nueva DecisionTrace
NO overwrite</x:v>
      </x:c>
      <x:c r="U62" s="4429"/>
      <x:c r="V62" s="4429"/>
      <x:c r="W62" s="4429"/>
      <x:c r="X62" s="4429"/>
      <x:c r="Y62" s="4429"/>
      <x:c r="Z62" s="4429"/>
      <x:c r="AA62" s="4429"/>
      <x:c r="AB62" s="4429"/>
      <x:c r="AC62" s="4429"/>
      <x:c r="AD62" s="4430"/>
    </x:row>
    <x:row r="63">
      <x:c r="A63" s="4434"/>
      <x:c r="B63" s="4435"/>
      <x:c r="C63" s="4435"/>
      <x:c r="D63" s="4435"/>
      <x:c r="E63" s="4435"/>
      <x:c r="F63" s="4435"/>
      <x:c r="G63" s="4435"/>
      <x:c r="H63" s="4435"/>
      <x:c r="I63" s="4436"/>
      <x:c r="J63" s="3945"/>
      <x:c r="K63" s="4455"/>
      <x:c r="L63" s="4456"/>
      <x:c r="M63" s="4456"/>
      <x:c r="N63" s="4456"/>
      <x:c r="O63" s="4456"/>
      <x:c r="P63" s="4456"/>
      <x:c r="Q63" s="4456"/>
      <x:c r="R63" s="4457"/>
      <x:c r="S63" s="3945"/>
      <x:c r="T63" s="4434"/>
      <x:c r="U63" s="4435"/>
      <x:c r="V63" s="4435"/>
      <x:c r="W63" s="4435"/>
      <x:c r="X63" s="4435"/>
      <x:c r="Y63" s="4435"/>
      <x:c r="Z63" s="4435"/>
      <x:c r="AA63" s="4435"/>
      <x:c r="AB63" s="4435"/>
      <x:c r="AC63" s="4435"/>
      <x:c r="AD63" s="4436"/>
    </x:row>
    <x:row r="64">
      <x:c r="A64" s="4434"/>
      <x:c r="B64" s="4435"/>
      <x:c r="C64" s="4435"/>
      <x:c r="D64" s="4435"/>
      <x:c r="E64" s="4435"/>
      <x:c r="F64" s="4435"/>
      <x:c r="G64" s="4435"/>
      <x:c r="H64" s="4435"/>
      <x:c r="I64" s="4436"/>
      <x:c r="J64" s="3945"/>
      <x:c r="K64" s="4455"/>
      <x:c r="L64" s="4456"/>
      <x:c r="M64" s="4456"/>
      <x:c r="N64" s="4456"/>
      <x:c r="O64" s="4456"/>
      <x:c r="P64" s="4456"/>
      <x:c r="Q64" s="4456"/>
      <x:c r="R64" s="4457"/>
      <x:c r="S64" s="3945"/>
      <x:c r="T64" s="4434"/>
      <x:c r="U64" s="4435"/>
      <x:c r="V64" s="4435"/>
      <x:c r="W64" s="4435"/>
      <x:c r="X64" s="4435"/>
      <x:c r="Y64" s="4435"/>
      <x:c r="Z64" s="4435"/>
      <x:c r="AA64" s="4435"/>
      <x:c r="AB64" s="4435"/>
      <x:c r="AC64" s="4435"/>
      <x:c r="AD64" s="4436"/>
    </x:row>
    <x:row r="65">
      <x:c r="A65" s="4434"/>
      <x:c r="B65" s="4435"/>
      <x:c r="C65" s="4435"/>
      <x:c r="D65" s="4435"/>
      <x:c r="E65" s="4435"/>
      <x:c r="F65" s="4435"/>
      <x:c r="G65" s="4435"/>
      <x:c r="H65" s="4435"/>
      <x:c r="I65" s="4436"/>
      <x:c r="J65" s="3945"/>
      <x:c r="K65" s="4455"/>
      <x:c r="L65" s="4456"/>
      <x:c r="M65" s="4456"/>
      <x:c r="N65" s="4456"/>
      <x:c r="O65" s="4456"/>
      <x:c r="P65" s="4456"/>
      <x:c r="Q65" s="4456"/>
      <x:c r="R65" s="4457"/>
      <x:c r="S65" s="3945"/>
      <x:c r="T65" s="4434"/>
      <x:c r="U65" s="4435"/>
      <x:c r="V65" s="4435"/>
      <x:c r="W65" s="4435"/>
      <x:c r="X65" s="4435"/>
      <x:c r="Y65" s="4435"/>
      <x:c r="Z65" s="4435"/>
      <x:c r="AA65" s="4435"/>
      <x:c r="AB65" s="4435"/>
      <x:c r="AC65" s="4435"/>
      <x:c r="AD65" s="4436"/>
    </x:row>
    <x:row r="66">
      <x:c r="A66" s="4434"/>
      <x:c r="B66" s="4435"/>
      <x:c r="C66" s="4435"/>
      <x:c r="D66" s="4435"/>
      <x:c r="E66" s="4435"/>
      <x:c r="F66" s="4435"/>
      <x:c r="G66" s="4435"/>
      <x:c r="H66" s="4435"/>
      <x:c r="I66" s="4436"/>
      <x:c r="J66" s="3945"/>
      <x:c r="K66" s="4455"/>
      <x:c r="L66" s="4456"/>
      <x:c r="M66" s="4456"/>
      <x:c r="N66" s="4456"/>
      <x:c r="O66" s="4456"/>
      <x:c r="P66" s="4456"/>
      <x:c r="Q66" s="4456"/>
      <x:c r="R66" s="4457"/>
      <x:c r="S66" s="3945"/>
      <x:c r="T66" s="4434"/>
      <x:c r="U66" s="4435"/>
      <x:c r="V66" s="4435"/>
      <x:c r="W66" s="4435"/>
      <x:c r="X66" s="4435"/>
      <x:c r="Y66" s="4435"/>
      <x:c r="Z66" s="4435"/>
      <x:c r="AA66" s="4435"/>
      <x:c r="AB66" s="4435"/>
      <x:c r="AC66" s="4435"/>
      <x:c r="AD66" s="4436"/>
    </x:row>
    <x:row r="67">
      <x:c r="A67" s="4434"/>
      <x:c r="B67" s="4435"/>
      <x:c r="C67" s="4435"/>
      <x:c r="D67" s="4435"/>
      <x:c r="E67" s="4435"/>
      <x:c r="F67" s="4435"/>
      <x:c r="G67" s="4435"/>
      <x:c r="H67" s="4435"/>
      <x:c r="I67" s="4436"/>
      <x:c r="J67" s="3945"/>
      <x:c r="K67" s="4455"/>
      <x:c r="L67" s="4456"/>
      <x:c r="M67" s="4456"/>
      <x:c r="N67" s="4456"/>
      <x:c r="O67" s="4456"/>
      <x:c r="P67" s="4456"/>
      <x:c r="Q67" s="4456"/>
      <x:c r="R67" s="4457"/>
      <x:c r="S67" s="3945"/>
      <x:c r="T67" s="4434"/>
      <x:c r="U67" s="4435"/>
      <x:c r="V67" s="4435"/>
      <x:c r="W67" s="4435"/>
      <x:c r="X67" s="4435"/>
      <x:c r="Y67" s="4435"/>
      <x:c r="Z67" s="4435"/>
      <x:c r="AA67" s="4435"/>
      <x:c r="AB67" s="4435"/>
      <x:c r="AC67" s="4435"/>
      <x:c r="AD67" s="4436"/>
    </x:row>
    <x:row r="68">
      <x:c r="A68" s="4440"/>
      <x:c r="B68" s="4441"/>
      <x:c r="C68" s="4441"/>
      <x:c r="D68" s="4441"/>
      <x:c r="E68" s="4441"/>
      <x:c r="F68" s="4441"/>
      <x:c r="G68" s="4441"/>
      <x:c r="H68" s="4441"/>
      <x:c r="I68" s="4442"/>
      <x:c r="J68" s="3945"/>
      <x:c r="K68" s="4461"/>
      <x:c r="L68" s="4462"/>
      <x:c r="M68" s="4462"/>
      <x:c r="N68" s="4462"/>
      <x:c r="O68" s="4462"/>
      <x:c r="P68" s="4462"/>
      <x:c r="Q68" s="4462"/>
      <x:c r="R68" s="4463"/>
      <x:c r="S68" s="3945"/>
      <x:c r="T68" s="4440"/>
      <x:c r="U68" s="4441"/>
      <x:c r="V68" s="4441"/>
      <x:c r="W68" s="4441"/>
      <x:c r="X68" s="4441"/>
      <x:c r="Y68" s="4441"/>
      <x:c r="Z68" s="4441"/>
      <x:c r="AA68" s="4441"/>
      <x:c r="AB68" s="4441"/>
      <x:c r="AC68" s="4441"/>
      <x:c r="AD68" s="4442"/>
    </x:row>
    <x:row r="69">
      <x:c r="A69" s="3945"/>
      <x:c r="B69" s="3945"/>
      <x:c r="C69" s="3945"/>
      <x:c r="D69" s="3945"/>
      <x:c r="E69" s="3945"/>
      <x:c r="F69" s="3945"/>
      <x:c r="G69" s="3945"/>
      <x:c r="H69" s="3945"/>
      <x:c r="I69" s="3945"/>
      <x:c r="J69" s="3945"/>
      <x:c r="K69" s="3945"/>
      <x:c r="L69" s="3945"/>
      <x:c r="M69" s="3945"/>
      <x:c r="N69" s="3945"/>
      <x:c r="O69" s="3945"/>
      <x:c r="P69" s="3945"/>
      <x:c r="Q69" s="3945"/>
      <x:c r="R69" s="3945"/>
      <x:c r="S69" s="3945"/>
      <x:c r="T69" s="3945"/>
      <x:c r="U69" s="3945"/>
      <x:c r="V69" s="3945"/>
      <x:c r="W69" s="3945"/>
      <x:c r="X69" s="3945"/>
      <x:c r="Y69" s="3945"/>
      <x:c r="Z69" s="3945"/>
      <x:c r="AA69" s="3945"/>
      <x:c r="AB69" s="3945"/>
      <x:c r="AC69" s="3945"/>
      <x:c r="AD69" s="3945"/>
    </x:row>
    <x:row r="70">
      <x:c r="A70" s="3945"/>
      <x:c r="B70" s="3945"/>
      <x:c r="C70" s="3945"/>
      <x:c r="D70" s="3945"/>
      <x:c r="E70" s="3945"/>
      <x:c r="F70" s="3945"/>
      <x:c r="G70" s="3945"/>
      <x:c r="H70" s="3945"/>
      <x:c r="I70" s="3945"/>
      <x:c r="J70" s="3945"/>
      <x:c r="K70" s="3945"/>
      <x:c r="L70" s="3945"/>
      <x:c r="M70" s="3945"/>
      <x:c r="N70" s="3945"/>
      <x:c r="O70" s="3945"/>
      <x:c r="P70" s="3945"/>
      <x:c r="Q70" s="3945"/>
      <x:c r="R70" s="3945"/>
      <x:c r="S70" s="3945"/>
      <x:c r="T70" s="3945"/>
      <x:c r="U70" s="3945"/>
      <x:c r="V70" s="3945"/>
      <x:c r="W70" s="3945"/>
      <x:c r="X70" s="3945"/>
      <x:c r="Y70" s="3945"/>
      <x:c r="Z70" s="3945"/>
      <x:c r="AA70" s="3945"/>
      <x:c r="AB70" s="3945"/>
      <x:c r="AC70" s="3945"/>
      <x:c r="AD70" s="3945"/>
    </x:row>
    <x:row r="71">
      <x:c r="A71" s="4465" t="str">
        <x:v>06 — EJEMPLOS DE CONFLICTO RESUELTO</x:v>
      </x:c>
      <x:c r="B71" s="4465"/>
      <x:c r="C71" s="4465"/>
      <x:c r="D71" s="4465"/>
      <x:c r="E71" s="4465"/>
      <x:c r="F71" s="4465"/>
      <x:c r="G71" s="4465"/>
      <x:c r="H71" s="4465"/>
      <x:c r="I71" s="4465"/>
      <x:c r="J71" s="4465"/>
      <x:c r="K71" s="4465"/>
      <x:c r="L71" s="4465"/>
      <x:c r="M71" s="4465"/>
      <x:c r="N71" s="4465"/>
      <x:c r="O71" s="4465"/>
      <x:c r="P71" s="4465"/>
      <x:c r="Q71" s="4465"/>
      <x:c r="R71" s="4465"/>
      <x:c r="S71" s="4465"/>
      <x:c r="T71" s="4465"/>
      <x:c r="U71" s="4465"/>
      <x:c r="V71" s="4465"/>
      <x:c r="W71" s="4465"/>
      <x:c r="X71" s="4465"/>
      <x:c r="Y71" s="4465"/>
      <x:c r="Z71" s="4465"/>
      <x:c r="AA71" s="4465"/>
      <x:c r="AB71" s="4465"/>
      <x:c r="AC71" s="4465"/>
      <x:c r="AD71" s="4465"/>
    </x:row>
    <x:row r="72">
      <x:c r="A72" s="3945"/>
      <x:c r="B72" s="3945"/>
      <x:c r="C72" s="3945"/>
      <x:c r="D72" s="3945"/>
      <x:c r="E72" s="3945"/>
      <x:c r="F72" s="3945"/>
      <x:c r="G72" s="3945"/>
      <x:c r="H72" s="3945"/>
      <x:c r="I72" s="3945"/>
      <x:c r="J72" s="3945"/>
      <x:c r="K72" s="3945"/>
      <x:c r="L72" s="3945"/>
      <x:c r="M72" s="3945"/>
      <x:c r="N72" s="3945"/>
      <x:c r="O72" s="3945"/>
      <x:c r="P72" s="3945"/>
      <x:c r="Q72" s="3945"/>
      <x:c r="R72" s="3945"/>
      <x:c r="S72" s="3945"/>
      <x:c r="T72" s="3945"/>
      <x:c r="U72" s="3945"/>
      <x:c r="V72" s="3945"/>
      <x:c r="W72" s="3945"/>
      <x:c r="X72" s="3945"/>
      <x:c r="Y72" s="3945"/>
      <x:c r="Z72" s="3945"/>
      <x:c r="AA72" s="3945"/>
      <x:c r="AB72" s="3945"/>
      <x:c r="AC72" s="3945"/>
      <x:c r="AD72" s="3945"/>
    </x:row>
    <x:row r="73">
      <x:c r="A73" s="4446" t="str">
        <x:v>CASO A
Contrato permite trabajo urgente
P6 = ALLOW
pero PTW requerido no vigente
P1 = BLOCK
RESULTADO: BLOCK</x:v>
      </x:c>
      <x:c r="B73" s="4447"/>
      <x:c r="C73" s="4447"/>
      <x:c r="D73" s="4447"/>
      <x:c r="E73" s="4447"/>
      <x:c r="F73" s="4447"/>
      <x:c r="G73" s="4447"/>
      <x:c r="H73" s="4447"/>
      <x:c r="I73" s="4448"/>
      <x:c r="J73" s="3945"/>
      <x:c r="K73" s="4449" t="str">
        <x:v>CASO B
Default TP-01 dice handover
P4 = mantener Parte
cliente tiene ReglaCorte específica
P4 más específica = split
RESULTADO: regla específica</x:v>
      </x:c>
      <x:c r="L73" s="4450"/>
      <x:c r="M73" s="4450"/>
      <x:c r="N73" s="4450"/>
      <x:c r="O73" s="4450"/>
      <x:c r="P73" s="4450"/>
      <x:c r="Q73" s="4450"/>
      <x:c r="R73" s="4450"/>
      <x:c r="S73" s="4451"/>
      <x:c r="T73" s="3945"/>
      <x:c r="U73" s="4446" t="str">
        <x:v>CASO C
UC aceptada
fuente operativa se enmienda
P0 lineage invalidation
ReglaFacturacion P6 intentaría facturar
RESULTADO: BLOCK + recalcular</x:v>
      </x:c>
      <x:c r="V73" s="4447"/>
      <x:c r="W73" s="4447"/>
      <x:c r="X73" s="4447"/>
      <x:c r="Y73" s="4447"/>
      <x:c r="Z73" s="4447"/>
      <x:c r="AA73" s="4447"/>
      <x:c r="AB73" s="4447"/>
      <x:c r="AC73" s="4447"/>
      <x:c r="AD73" s="4448"/>
    </x:row>
    <x:row r="74">
      <x:c r="A74" s="4452"/>
      <x:c r="B74" s="4453"/>
      <x:c r="C74" s="4453"/>
      <x:c r="D74" s="4453"/>
      <x:c r="E74" s="4453"/>
      <x:c r="F74" s="4453"/>
      <x:c r="G74" s="4453"/>
      <x:c r="H74" s="4453"/>
      <x:c r="I74" s="4454"/>
      <x:c r="J74" s="3945"/>
      <x:c r="K74" s="4455"/>
      <x:c r="L74" s="4456"/>
      <x:c r="M74" s="4456"/>
      <x:c r="N74" s="4456"/>
      <x:c r="O74" s="4456"/>
      <x:c r="P74" s="4456"/>
      <x:c r="Q74" s="4456"/>
      <x:c r="R74" s="4456"/>
      <x:c r="S74" s="4457"/>
      <x:c r="T74" s="3945"/>
      <x:c r="U74" s="4452"/>
      <x:c r="V74" s="4453"/>
      <x:c r="W74" s="4453"/>
      <x:c r="X74" s="4453"/>
      <x:c r="Y74" s="4453"/>
      <x:c r="Z74" s="4453"/>
      <x:c r="AA74" s="4453"/>
      <x:c r="AB74" s="4453"/>
      <x:c r="AC74" s="4453"/>
      <x:c r="AD74" s="4454"/>
    </x:row>
    <x:row r="75">
      <x:c r="A75" s="4452"/>
      <x:c r="B75" s="4453"/>
      <x:c r="C75" s="4453"/>
      <x:c r="D75" s="4453"/>
      <x:c r="E75" s="4453"/>
      <x:c r="F75" s="4453"/>
      <x:c r="G75" s="4453"/>
      <x:c r="H75" s="4453"/>
      <x:c r="I75" s="4454"/>
      <x:c r="J75" s="3945"/>
      <x:c r="K75" s="4455"/>
      <x:c r="L75" s="4456"/>
      <x:c r="M75" s="4456"/>
      <x:c r="N75" s="4456"/>
      <x:c r="O75" s="4456"/>
      <x:c r="P75" s="4456"/>
      <x:c r="Q75" s="4456"/>
      <x:c r="R75" s="4456"/>
      <x:c r="S75" s="4457"/>
      <x:c r="T75" s="3945"/>
      <x:c r="U75" s="4452"/>
      <x:c r="V75" s="4453"/>
      <x:c r="W75" s="4453"/>
      <x:c r="X75" s="4453"/>
      <x:c r="Y75" s="4453"/>
      <x:c r="Z75" s="4453"/>
      <x:c r="AA75" s="4453"/>
      <x:c r="AB75" s="4453"/>
      <x:c r="AC75" s="4453"/>
      <x:c r="AD75" s="4454"/>
    </x:row>
    <x:row r="76">
      <x:c r="A76" s="4452"/>
      <x:c r="B76" s="4453"/>
      <x:c r="C76" s="4453"/>
      <x:c r="D76" s="4453"/>
      <x:c r="E76" s="4453"/>
      <x:c r="F76" s="4453"/>
      <x:c r="G76" s="4453"/>
      <x:c r="H76" s="4453"/>
      <x:c r="I76" s="4454"/>
      <x:c r="J76" s="3945"/>
      <x:c r="K76" s="4455"/>
      <x:c r="L76" s="4456"/>
      <x:c r="M76" s="4456"/>
      <x:c r="N76" s="4456"/>
      <x:c r="O76" s="4456"/>
      <x:c r="P76" s="4456"/>
      <x:c r="Q76" s="4456"/>
      <x:c r="R76" s="4456"/>
      <x:c r="S76" s="4457"/>
      <x:c r="T76" s="3945"/>
      <x:c r="U76" s="4452"/>
      <x:c r="V76" s="4453"/>
      <x:c r="W76" s="4453"/>
      <x:c r="X76" s="4453"/>
      <x:c r="Y76" s="4453"/>
      <x:c r="Z76" s="4453"/>
      <x:c r="AA76" s="4453"/>
      <x:c r="AB76" s="4453"/>
      <x:c r="AC76" s="4453"/>
      <x:c r="AD76" s="4454"/>
    </x:row>
    <x:row r="77">
      <x:c r="A77" s="4452"/>
      <x:c r="B77" s="4453"/>
      <x:c r="C77" s="4453"/>
      <x:c r="D77" s="4453"/>
      <x:c r="E77" s="4453"/>
      <x:c r="F77" s="4453"/>
      <x:c r="G77" s="4453"/>
      <x:c r="H77" s="4453"/>
      <x:c r="I77" s="4454"/>
      <x:c r="J77" s="3945"/>
      <x:c r="K77" s="4455"/>
      <x:c r="L77" s="4456"/>
      <x:c r="M77" s="4456"/>
      <x:c r="N77" s="4456"/>
      <x:c r="O77" s="4456"/>
      <x:c r="P77" s="4456"/>
      <x:c r="Q77" s="4456"/>
      <x:c r="R77" s="4456"/>
      <x:c r="S77" s="4457"/>
      <x:c r="T77" s="3945"/>
      <x:c r="U77" s="4452"/>
      <x:c r="V77" s="4453"/>
      <x:c r="W77" s="4453"/>
      <x:c r="X77" s="4453"/>
      <x:c r="Y77" s="4453"/>
      <x:c r="Z77" s="4453"/>
      <x:c r="AA77" s="4453"/>
      <x:c r="AB77" s="4453"/>
      <x:c r="AC77" s="4453"/>
      <x:c r="AD77" s="4454"/>
    </x:row>
    <x:row r="78">
      <x:c r="A78" s="4452"/>
      <x:c r="B78" s="4453"/>
      <x:c r="C78" s="4453"/>
      <x:c r="D78" s="4453"/>
      <x:c r="E78" s="4453"/>
      <x:c r="F78" s="4453"/>
      <x:c r="G78" s="4453"/>
      <x:c r="H78" s="4453"/>
      <x:c r="I78" s="4454"/>
      <x:c r="J78" s="3945"/>
      <x:c r="K78" s="4455"/>
      <x:c r="L78" s="4456"/>
      <x:c r="M78" s="4456"/>
      <x:c r="N78" s="4456"/>
      <x:c r="O78" s="4456"/>
      <x:c r="P78" s="4456"/>
      <x:c r="Q78" s="4456"/>
      <x:c r="R78" s="4456"/>
      <x:c r="S78" s="4457"/>
      <x:c r="T78" s="3945"/>
      <x:c r="U78" s="4452"/>
      <x:c r="V78" s="4453"/>
      <x:c r="W78" s="4453"/>
      <x:c r="X78" s="4453"/>
      <x:c r="Y78" s="4453"/>
      <x:c r="Z78" s="4453"/>
      <x:c r="AA78" s="4453"/>
      <x:c r="AB78" s="4453"/>
      <x:c r="AC78" s="4453"/>
      <x:c r="AD78" s="4454"/>
    </x:row>
    <x:row r="79">
      <x:c r="A79" s="4452"/>
      <x:c r="B79" s="4453"/>
      <x:c r="C79" s="4453"/>
      <x:c r="D79" s="4453"/>
      <x:c r="E79" s="4453"/>
      <x:c r="F79" s="4453"/>
      <x:c r="G79" s="4453"/>
      <x:c r="H79" s="4453"/>
      <x:c r="I79" s="4454"/>
      <x:c r="J79" s="3945"/>
      <x:c r="K79" s="4455"/>
      <x:c r="L79" s="4456"/>
      <x:c r="M79" s="4456"/>
      <x:c r="N79" s="4456"/>
      <x:c r="O79" s="4456"/>
      <x:c r="P79" s="4456"/>
      <x:c r="Q79" s="4456"/>
      <x:c r="R79" s="4456"/>
      <x:c r="S79" s="4457"/>
      <x:c r="T79" s="3945"/>
      <x:c r="U79" s="4452"/>
      <x:c r="V79" s="4453"/>
      <x:c r="W79" s="4453"/>
      <x:c r="X79" s="4453"/>
      <x:c r="Y79" s="4453"/>
      <x:c r="Z79" s="4453"/>
      <x:c r="AA79" s="4453"/>
      <x:c r="AB79" s="4453"/>
      <x:c r="AC79" s="4453"/>
      <x:c r="AD79" s="4454"/>
    </x:row>
    <x:row r="80">
      <x:c r="A80" s="4452"/>
      <x:c r="B80" s="4453"/>
      <x:c r="C80" s="4453"/>
      <x:c r="D80" s="4453"/>
      <x:c r="E80" s="4453"/>
      <x:c r="F80" s="4453"/>
      <x:c r="G80" s="4453"/>
      <x:c r="H80" s="4453"/>
      <x:c r="I80" s="4454"/>
      <x:c r="J80" s="3945"/>
      <x:c r="K80" s="4455"/>
      <x:c r="L80" s="4456"/>
      <x:c r="M80" s="4456"/>
      <x:c r="N80" s="4456"/>
      <x:c r="O80" s="4456"/>
      <x:c r="P80" s="4456"/>
      <x:c r="Q80" s="4456"/>
      <x:c r="R80" s="4456"/>
      <x:c r="S80" s="4457"/>
      <x:c r="T80" s="3945"/>
      <x:c r="U80" s="4452"/>
      <x:c r="V80" s="4453"/>
      <x:c r="W80" s="4453"/>
      <x:c r="X80" s="4453"/>
      <x:c r="Y80" s="4453"/>
      <x:c r="Z80" s="4453"/>
      <x:c r="AA80" s="4453"/>
      <x:c r="AB80" s="4453"/>
      <x:c r="AC80" s="4453"/>
      <x:c r="AD80" s="4454"/>
    </x:row>
    <x:row r="81">
      <x:c r="A81" s="4458"/>
      <x:c r="B81" s="4459"/>
      <x:c r="C81" s="4459"/>
      <x:c r="D81" s="4459"/>
      <x:c r="E81" s="4459"/>
      <x:c r="F81" s="4459"/>
      <x:c r="G81" s="4459"/>
      <x:c r="H81" s="4459"/>
      <x:c r="I81" s="4460"/>
      <x:c r="J81" s="3945"/>
      <x:c r="K81" s="4461"/>
      <x:c r="L81" s="4462"/>
      <x:c r="M81" s="4462"/>
      <x:c r="N81" s="4462"/>
      <x:c r="O81" s="4462"/>
      <x:c r="P81" s="4462"/>
      <x:c r="Q81" s="4462"/>
      <x:c r="R81" s="4462"/>
      <x:c r="S81" s="4463"/>
      <x:c r="T81" s="3945"/>
      <x:c r="U81" s="4458"/>
      <x:c r="V81" s="4459"/>
      <x:c r="W81" s="4459"/>
      <x:c r="X81" s="4459"/>
      <x:c r="Y81" s="4459"/>
      <x:c r="Z81" s="4459"/>
      <x:c r="AA81" s="4459"/>
      <x:c r="AB81" s="4459"/>
      <x:c r="AC81" s="4459"/>
      <x:c r="AD81" s="4460"/>
    </x:row>
    <x:row r="82">
      <x:c r="A82" s="3945"/>
      <x:c r="B82" s="3945"/>
      <x:c r="C82" s="3945"/>
      <x:c r="D82" s="3945"/>
      <x:c r="E82" s="3945"/>
      <x:c r="F82" s="3945"/>
      <x:c r="G82" s="3945"/>
      <x:c r="H82" s="3945"/>
      <x:c r="I82" s="3945"/>
      <x:c r="J82" s="3945"/>
      <x:c r="K82" s="3945"/>
      <x:c r="L82" s="3945"/>
      <x:c r="M82" s="3945"/>
      <x:c r="N82" s="3945"/>
      <x:c r="O82" s="3945"/>
      <x:c r="P82" s="3945"/>
      <x:c r="Q82" s="3945"/>
      <x:c r="R82" s="3945"/>
      <x:c r="S82" s="3945"/>
      <x:c r="T82" s="3945"/>
      <x:c r="U82" s="3945"/>
      <x:c r="V82" s="3945"/>
      <x:c r="W82" s="3945"/>
      <x:c r="X82" s="3945"/>
      <x:c r="Y82" s="3945"/>
      <x:c r="Z82" s="3945"/>
      <x:c r="AA82" s="3945"/>
      <x:c r="AB82" s="3945"/>
      <x:c r="AC82" s="3945"/>
      <x:c r="AD82" s="3945"/>
    </x:row>
    <x:row r="83">
      <x:c r="A83" s="3945"/>
      <x:c r="B83" s="3945"/>
      <x:c r="C83" s="3945"/>
      <x:c r="D83" s="3945"/>
      <x:c r="E83" s="3945"/>
      <x:c r="F83" s="3945"/>
      <x:c r="G83" s="3945"/>
      <x:c r="H83" s="3945"/>
      <x:c r="I83" s="3945"/>
      <x:c r="J83" s="3945"/>
      <x:c r="K83" s="3945"/>
      <x:c r="L83" s="3945"/>
      <x:c r="M83" s="3945"/>
      <x:c r="N83" s="3945"/>
      <x:c r="O83" s="3945"/>
      <x:c r="P83" s="3945"/>
      <x:c r="Q83" s="3945"/>
      <x:c r="R83" s="3945"/>
      <x:c r="S83" s="3945"/>
      <x:c r="T83" s="3945"/>
      <x:c r="U83" s="3945"/>
      <x:c r="V83" s="3945"/>
      <x:c r="W83" s="3945"/>
      <x:c r="X83" s="3945"/>
      <x:c r="Y83" s="3945"/>
      <x:c r="Z83" s="3945"/>
      <x:c r="AA83" s="3945"/>
      <x:c r="AB83" s="3945"/>
      <x:c r="AC83" s="3945"/>
      <x:c r="AD83" s="3945"/>
    </x:row>
    <x:row r="84">
      <x:c r="A84" s="3945"/>
      <x:c r="B84" s="3945"/>
      <x:c r="C84" s="3945"/>
      <x:c r="D84" s="3945"/>
      <x:c r="E84" s="3945"/>
      <x:c r="F84" s="3945"/>
      <x:c r="G84" s="3945"/>
      <x:c r="H84" s="3945"/>
      <x:c r="I84" s="3945"/>
      <x:c r="J84" s="3945"/>
      <x:c r="K84" s="3945"/>
      <x:c r="L84" s="3945"/>
      <x:c r="M84" s="3945"/>
      <x:c r="N84" s="3945"/>
      <x:c r="O84" s="3945"/>
      <x:c r="P84" s="3945"/>
      <x:c r="Q84" s="3945"/>
      <x:c r="R84" s="3945"/>
      <x:c r="S84" s="3945"/>
      <x:c r="T84" s="3945"/>
      <x:c r="U84" s="3945"/>
      <x:c r="V84" s="3945"/>
      <x:c r="W84" s="3945"/>
      <x:c r="X84" s="3945"/>
      <x:c r="Y84" s="3945"/>
      <x:c r="Z84" s="3945"/>
      <x:c r="AA84" s="3945"/>
      <x:c r="AB84" s="3945"/>
      <x:c r="AC84" s="3945"/>
      <x:c r="AD84" s="3945"/>
    </x:row>
    <x:row r="85">
      <x:c r="A85" s="4465" t="str">
        <x:v>07 — REGLA MADRE</x:v>
      </x:c>
      <x:c r="B85" s="4465"/>
      <x:c r="C85" s="4465"/>
      <x:c r="D85" s="4465"/>
      <x:c r="E85" s="4465"/>
      <x:c r="F85" s="4465"/>
      <x:c r="G85" s="4465"/>
      <x:c r="H85" s="4465"/>
      <x:c r="I85" s="4465"/>
      <x:c r="J85" s="4465"/>
      <x:c r="K85" s="4465"/>
      <x:c r="L85" s="4465"/>
      <x:c r="M85" s="4465"/>
      <x:c r="N85" s="4465"/>
      <x:c r="O85" s="4465"/>
      <x:c r="P85" s="4465"/>
      <x:c r="Q85" s="4465"/>
      <x:c r="R85" s="4465"/>
      <x:c r="S85" s="4465"/>
      <x:c r="T85" s="4465"/>
      <x:c r="U85" s="4465"/>
      <x:c r="V85" s="4465"/>
      <x:c r="W85" s="4465"/>
      <x:c r="X85" s="4465"/>
      <x:c r="Y85" s="4465"/>
      <x:c r="Z85" s="4465"/>
      <x:c r="AA85" s="4465"/>
      <x:c r="AB85" s="4465"/>
      <x:c r="AC85" s="4465"/>
      <x:c r="AD85" s="4465"/>
    </x:row>
    <x:row r="86">
      <x:c r="A86" s="3945"/>
      <x:c r="B86" s="3945"/>
      <x:c r="C86" s="3945"/>
      <x:c r="D86" s="3945"/>
      <x:c r="E86" s="3945"/>
      <x:c r="F86" s="3945"/>
      <x:c r="G86" s="3945"/>
      <x:c r="H86" s="3945"/>
      <x:c r="I86" s="3945"/>
      <x:c r="J86" s="3945"/>
      <x:c r="K86" s="3945"/>
      <x:c r="L86" s="3945"/>
      <x:c r="M86" s="3945"/>
      <x:c r="N86" s="3945"/>
      <x:c r="O86" s="3945"/>
      <x:c r="P86" s="3945"/>
      <x:c r="Q86" s="3945"/>
      <x:c r="R86" s="3945"/>
      <x:c r="S86" s="3945"/>
      <x:c r="T86" s="3945"/>
      <x:c r="U86" s="3945"/>
      <x:c r="V86" s="3945"/>
      <x:c r="W86" s="3945"/>
      <x:c r="X86" s="3945"/>
      <x:c r="Y86" s="3945"/>
      <x:c r="Z86" s="3945"/>
      <x:c r="AA86" s="3945"/>
      <x:c r="AB86" s="3945"/>
      <x:c r="AC86" s="3945"/>
      <x:c r="AD86" s="3945"/>
    </x:row>
    <x:row r="87">
      <x:c r="A87" s="4464" t="str">
        <x:v>EL MOTOR NO CREA UNA SEGUNDA VERDAD.
Planificación decide intención. Ejecución registra realidad. Habilita determina gates y respuesta. Certificación interpreta comercialmente. Facturación consume aceptación. El Rule Engine únicamente coordina esas responsabilidades mediante reglas versionadas y deja evidencia de por qué cada decisión ocurrió.</x:v>
      </x:c>
      <x:c r="B87" s="4464"/>
      <x:c r="C87" s="4464"/>
      <x:c r="D87" s="4464"/>
      <x:c r="E87" s="4464"/>
      <x:c r="F87" s="4464"/>
      <x:c r="G87" s="4464"/>
      <x:c r="H87" s="4464"/>
      <x:c r="I87" s="4464"/>
      <x:c r="J87" s="4464"/>
      <x:c r="K87" s="4464"/>
      <x:c r="L87" s="4464"/>
      <x:c r="M87" s="4464"/>
      <x:c r="N87" s="4464"/>
      <x:c r="O87" s="4464"/>
      <x:c r="P87" s="4464"/>
      <x:c r="Q87" s="4464"/>
      <x:c r="R87" s="4464"/>
      <x:c r="S87" s="4464"/>
      <x:c r="T87" s="4464"/>
      <x:c r="U87" s="4464"/>
      <x:c r="V87" s="4464"/>
      <x:c r="W87" s="4464"/>
      <x:c r="X87" s="4464"/>
      <x:c r="Y87" s="4464"/>
      <x:c r="Z87" s="4464"/>
      <x:c r="AA87" s="4464"/>
      <x:c r="AB87" s="4464"/>
      <x:c r="AC87" s="4464"/>
      <x:c r="AD87" s="4464"/>
    </x:row>
    <x:row r="88">
      <x:c r="A88" s="4464"/>
      <x:c r="B88" s="4464"/>
      <x:c r="C88" s="4464"/>
      <x:c r="D88" s="4464"/>
      <x:c r="E88" s="4464"/>
      <x:c r="F88" s="4464"/>
      <x:c r="G88" s="4464"/>
      <x:c r="H88" s="4464"/>
      <x:c r="I88" s="4464"/>
      <x:c r="J88" s="4464"/>
      <x:c r="K88" s="4464"/>
      <x:c r="L88" s="4464"/>
      <x:c r="M88" s="4464"/>
      <x:c r="N88" s="4464"/>
      <x:c r="O88" s="4464"/>
      <x:c r="P88" s="4464"/>
      <x:c r="Q88" s="4464"/>
      <x:c r="R88" s="4464"/>
      <x:c r="S88" s="4464"/>
      <x:c r="T88" s="4464"/>
      <x:c r="U88" s="4464"/>
      <x:c r="V88" s="4464"/>
      <x:c r="W88" s="4464"/>
      <x:c r="X88" s="4464"/>
      <x:c r="Y88" s="4464"/>
      <x:c r="Z88" s="4464"/>
      <x:c r="AA88" s="4464"/>
      <x:c r="AB88" s="4464"/>
      <x:c r="AC88" s="4464"/>
      <x:c r="AD88" s="4464"/>
    </x:row>
    <x:row r="89">
      <x:c r="A89" s="4464"/>
      <x:c r="B89" s="4464"/>
      <x:c r="C89" s="4464"/>
      <x:c r="D89" s="4464"/>
      <x:c r="E89" s="4464"/>
      <x:c r="F89" s="4464"/>
      <x:c r="G89" s="4464"/>
      <x:c r="H89" s="4464"/>
      <x:c r="I89" s="4464"/>
      <x:c r="J89" s="4464"/>
      <x:c r="K89" s="4464"/>
      <x:c r="L89" s="4464"/>
      <x:c r="M89" s="4464"/>
      <x:c r="N89" s="4464"/>
      <x:c r="O89" s="4464"/>
      <x:c r="P89" s="4464"/>
      <x:c r="Q89" s="4464"/>
      <x:c r="R89" s="4464"/>
      <x:c r="S89" s="4464"/>
      <x:c r="T89" s="4464"/>
      <x:c r="U89" s="4464"/>
      <x:c r="V89" s="4464"/>
      <x:c r="W89" s="4464"/>
      <x:c r="X89" s="4464"/>
      <x:c r="Y89" s="4464"/>
      <x:c r="Z89" s="4464"/>
      <x:c r="AA89" s="4464"/>
      <x:c r="AB89" s="4464"/>
      <x:c r="AC89" s="4464"/>
      <x:c r="AD89" s="4464"/>
    </x:row>
    <x:row r="90">
      <x:c r="A90" s="4464"/>
      <x:c r="B90" s="4464"/>
      <x:c r="C90" s="4464"/>
      <x:c r="D90" s="4464"/>
      <x:c r="E90" s="4464"/>
      <x:c r="F90" s="4464"/>
      <x:c r="G90" s="4464"/>
      <x:c r="H90" s="4464"/>
      <x:c r="I90" s="4464"/>
      <x:c r="J90" s="4464"/>
      <x:c r="K90" s="4464"/>
      <x:c r="L90" s="4464"/>
      <x:c r="M90" s="4464"/>
      <x:c r="N90" s="4464"/>
      <x:c r="O90" s="4464"/>
      <x:c r="P90" s="4464"/>
      <x:c r="Q90" s="4464"/>
      <x:c r="R90" s="4464"/>
      <x:c r="S90" s="4464"/>
      <x:c r="T90" s="4464"/>
      <x:c r="U90" s="4464"/>
      <x:c r="V90" s="4464"/>
      <x:c r="W90" s="4464"/>
      <x:c r="X90" s="4464"/>
      <x:c r="Y90" s="4464"/>
      <x:c r="Z90" s="4464"/>
      <x:c r="AA90" s="4464"/>
      <x:c r="AB90" s="4464"/>
      <x:c r="AC90" s="4464"/>
      <x:c r="AD90" s="4464"/>
    </x:row>
    <x:row r="91">
      <x:c r="A91" s="4464"/>
      <x:c r="B91" s="4464"/>
      <x:c r="C91" s="4464"/>
      <x:c r="D91" s="4464"/>
      <x:c r="E91" s="4464"/>
      <x:c r="F91" s="4464"/>
      <x:c r="G91" s="4464"/>
      <x:c r="H91" s="4464"/>
      <x:c r="I91" s="4464"/>
      <x:c r="J91" s="4464"/>
      <x:c r="K91" s="4464"/>
      <x:c r="L91" s="4464"/>
      <x:c r="M91" s="4464"/>
      <x:c r="N91" s="4464"/>
      <x:c r="O91" s="4464"/>
      <x:c r="P91" s="4464"/>
      <x:c r="Q91" s="4464"/>
      <x:c r="R91" s="4464"/>
      <x:c r="S91" s="4464"/>
      <x:c r="T91" s="4464"/>
      <x:c r="U91" s="4464"/>
      <x:c r="V91" s="4464"/>
      <x:c r="W91" s="4464"/>
      <x:c r="X91" s="4464"/>
      <x:c r="Y91" s="4464"/>
      <x:c r="Z91" s="4464"/>
      <x:c r="AA91" s="4464"/>
      <x:c r="AB91" s="4464"/>
      <x:c r="AC91" s="4464"/>
      <x:c r="AD91" s="4464"/>
    </x:row>
    <x:row r="92">
      <x:c r="A92" s="4464"/>
      <x:c r="B92" s="4464"/>
      <x:c r="C92" s="4464"/>
      <x:c r="D92" s="4464"/>
      <x:c r="E92" s="4464"/>
      <x:c r="F92" s="4464"/>
      <x:c r="G92" s="4464"/>
      <x:c r="H92" s="4464"/>
      <x:c r="I92" s="4464"/>
      <x:c r="J92" s="4464"/>
      <x:c r="K92" s="4464"/>
      <x:c r="L92" s="4464"/>
      <x:c r="M92" s="4464"/>
      <x:c r="N92" s="4464"/>
      <x:c r="O92" s="4464"/>
      <x:c r="P92" s="4464"/>
      <x:c r="Q92" s="4464"/>
      <x:c r="R92" s="4464"/>
      <x:c r="S92" s="4464"/>
      <x:c r="T92" s="4464"/>
      <x:c r="U92" s="4464"/>
      <x:c r="V92" s="4464"/>
      <x:c r="W92" s="4464"/>
      <x:c r="X92" s="4464"/>
      <x:c r="Y92" s="4464"/>
      <x:c r="Z92" s="4464"/>
      <x:c r="AA92" s="4464"/>
      <x:c r="AB92" s="4464"/>
      <x:c r="AC92" s="4464"/>
      <x:c r="AD92" s="4464"/>
    </x:row>
    <x:row r="93">
      <x:c r="A93" s="4464"/>
      <x:c r="B93" s="4464"/>
      <x:c r="C93" s="4464"/>
      <x:c r="D93" s="4464"/>
      <x:c r="E93" s="4464"/>
      <x:c r="F93" s="4464"/>
      <x:c r="G93" s="4464"/>
      <x:c r="H93" s="4464"/>
      <x:c r="I93" s="4464"/>
      <x:c r="J93" s="4464"/>
      <x:c r="K93" s="4464"/>
      <x:c r="L93" s="4464"/>
      <x:c r="M93" s="4464"/>
      <x:c r="N93" s="4464"/>
      <x:c r="O93" s="4464"/>
      <x:c r="P93" s="4464"/>
      <x:c r="Q93" s="4464"/>
      <x:c r="R93" s="4464"/>
      <x:c r="S93" s="4464"/>
      <x:c r="T93" s="4464"/>
      <x:c r="U93" s="4464"/>
      <x:c r="V93" s="4464"/>
      <x:c r="W93" s="4464"/>
      <x:c r="X93" s="4464"/>
      <x:c r="Y93" s="4464"/>
      <x:c r="Z93" s="4464"/>
      <x:c r="AA93" s="4464"/>
      <x:c r="AB93" s="4464"/>
      <x:c r="AC93" s="4464"/>
      <x:c r="AD93" s="4464"/>
    </x:row>
    <x:row r="94">
      <x:c r="A94" s="4464"/>
      <x:c r="B94" s="4464"/>
      <x:c r="C94" s="4464"/>
      <x:c r="D94" s="4464"/>
      <x:c r="E94" s="4464"/>
      <x:c r="F94" s="4464"/>
      <x:c r="G94" s="4464"/>
      <x:c r="H94" s="4464"/>
      <x:c r="I94" s="4464"/>
      <x:c r="J94" s="4464"/>
      <x:c r="K94" s="4464"/>
      <x:c r="L94" s="4464"/>
      <x:c r="M94" s="4464"/>
      <x:c r="N94" s="4464"/>
      <x:c r="O94" s="4464"/>
      <x:c r="P94" s="4464"/>
      <x:c r="Q94" s="4464"/>
      <x:c r="R94" s="4464"/>
      <x:c r="S94" s="4464"/>
      <x:c r="T94" s="4464"/>
      <x:c r="U94" s="4464"/>
      <x:c r="V94" s="4464"/>
      <x:c r="W94" s="4464"/>
      <x:c r="X94" s="4464"/>
      <x:c r="Y94" s="4464"/>
      <x:c r="Z94" s="4464"/>
      <x:c r="AA94" s="4464"/>
      <x:c r="AB94" s="4464"/>
      <x:c r="AC94" s="4464"/>
      <x:c r="AD94" s="4464"/>
    </x:row>
  </x:sheetData>
  <x:mergeCells>
    <x:mergeCell ref="A1:AD1"/>
    <x:mergeCell ref="A2:AD2"/>
    <x:mergeCell ref="A4:AD4"/>
    <x:mergeCell ref="A6:E10"/>
    <x:mergeCell ref="G6:K10"/>
    <x:mergeCell ref="M6:Q10"/>
    <x:mergeCell ref="S6:W10"/>
    <x:mergeCell ref="Y6:AD10"/>
    <x:mergeCell ref="A13:AD13"/>
    <x:mergeCell ref="A15:E20"/>
    <x:mergeCell ref="G15:K20"/>
    <x:mergeCell ref="M15:Q20"/>
    <x:mergeCell ref="S15:W20"/>
    <x:mergeCell ref="Y15:AD20"/>
    <x:mergeCell ref="A24:F29"/>
    <x:mergeCell ref="H24:M29"/>
    <x:mergeCell ref="O24:T29"/>
    <x:mergeCell ref="V24:AD29"/>
    <x:mergeCell ref="A32:AD32"/>
    <x:mergeCell ref="A34:F39"/>
    <x:mergeCell ref="H34:M39"/>
    <x:mergeCell ref="O34:T39"/>
    <x:mergeCell ref="V34:AD39"/>
    <x:mergeCell ref="A42:H47"/>
    <x:mergeCell ref="J42:Q47"/>
    <x:mergeCell ref="S42:AD47"/>
    <x:mergeCell ref="A50:AD50"/>
    <x:mergeCell ref="A52:E57"/>
    <x:mergeCell ref="G52:K57"/>
    <x:mergeCell ref="M52:Q57"/>
    <x:mergeCell ref="S52:W57"/>
    <x:mergeCell ref="Y52:AD57"/>
    <x:mergeCell ref="A60:AD60"/>
    <x:mergeCell ref="A62:I68"/>
    <x:mergeCell ref="K62:R68"/>
    <x:mergeCell ref="T62:AD68"/>
    <x:mergeCell ref="A71:AD71"/>
    <x:mergeCell ref="A73:I81"/>
    <x:mergeCell ref="K73:S81"/>
    <x:mergeCell ref="U73:AD81"/>
    <x:mergeCell ref="A85:AD85"/>
    <x:mergeCell ref="A87:AD94"/>
  </x:mergeCells>
  <x:pageMargins left="0.7" right="0.7" top="0.75" bottom="0.75" header="0.3" footer="0.3"/>
</x:worksheet>
</file>

<file path=xl/worksheets/sheet67.xml><?xml version="1.0" encoding="utf-8"?>
<x:worksheet xmlns:x="http://schemas.openxmlformats.org/spreadsheetml/2006/main">
  <x:sheetFormatPr defaultRowHeight="15"/>
  <x:cols>
    <x:col min="1" max="1" width="9" hidden="0" customWidth="1"/>
    <x:col min="2" max="2" width="10" hidden="0" customWidth="1"/>
    <x:col min="3" max="3" width="22" hidden="0" customWidth="1"/>
    <x:col min="4" max="4" width="18" hidden="0" customWidth="1"/>
    <x:col min="5" max="5" width="34" hidden="0" customWidth="1"/>
    <x:col min="6" max="6" width="30" hidden="0" customWidth="1"/>
    <x:col min="7" max="7" width="32" hidden="0" customWidth="1"/>
    <x:col min="8" max="8" width="24" hidden="0" customWidth="1"/>
    <x:col min="9" max="9" width="34" hidden="0" customWidth="1"/>
    <x:col min="10" max="10" width="18" hidden="0" customWidth="1"/>
    <x:col min="11" max="11" width="10" hidden="0" customWidth="1"/>
    <x:col min="12" max="12" width="10" hidden="0" customWidth="1"/>
    <x:col min="13" max="13" width="34" hidden="0" customWidth="1"/>
    <x:col min="14" max="14" width="38" hidden="0" customWidth="1"/>
    <x:col min="15" max="15" width="30" hidden="0" customWidth="1"/>
    <x:col min="16" max="16" width="18" hidden="0" customWidth="1"/>
  </x:cols>
  <x:sheetData>
    <x:row r="1">
      <x:c r="A1" s="4480" t="str">
        <x:v>MATRIZ DE AUTOMATIZACIÓN / CAPTURA DE CAMPO v0.1</x:v>
      </x:c>
      <x:c r="B1" s="4480"/>
      <x:c r="C1" s="4480"/>
      <x:c r="D1" s="4480"/>
      <x:c r="E1" s="4480"/>
      <x:c r="F1" s="4480"/>
      <x:c r="G1" s="4480"/>
      <x:c r="H1" s="4480"/>
      <x:c r="I1" s="4480"/>
      <x:c r="J1" s="4480"/>
      <x:c r="K1" s="4480"/>
      <x:c r="L1" s="4480"/>
      <x:c r="M1" s="4480"/>
      <x:c r="N1" s="4480"/>
      <x:c r="O1" s="4480"/>
      <x:c r="P1" s="4480"/>
    </x:row>
    <x:row r="2">
      <x:c r="A2" s="4481" t="str">
        <x:v>Objetivo: ninguna persona vuelve a escribir datos que el sistema ya puede conocer. El Parte se acumula por eventos/microinteracciones; ≤120 s es el techo por interacción crítica, no un formulario final.</x:v>
      </x:c>
      <x:c r="B2" s="4481"/>
      <x:c r="C2" s="4481"/>
      <x:c r="D2" s="4481"/>
      <x:c r="E2" s="4481"/>
      <x:c r="F2" s="4481"/>
      <x:c r="G2" s="4481"/>
      <x:c r="H2" s="4481"/>
      <x:c r="I2" s="4481"/>
      <x:c r="J2" s="4481"/>
      <x:c r="K2" s="4481"/>
      <x:c r="L2" s="4481"/>
      <x:c r="M2" s="4481"/>
      <x:c r="N2" s="4481"/>
      <x:c r="O2" s="4481"/>
      <x:c r="P2" s="4481"/>
    </x:row>
    <x:row r="3">
      <x:c r="A3" s="3945"/>
      <x:c r="B3" s="3945"/>
      <x:c r="C3" s="3945"/>
      <x:c r="D3" s="3945"/>
      <x:c r="E3" s="3945"/>
      <x:c r="F3" s="3945"/>
      <x:c r="G3" s="3945"/>
      <x:c r="H3" s="3945"/>
      <x:c r="I3" s="3945"/>
      <x:c r="J3" s="3945"/>
      <x:c r="K3" s="3945"/>
      <x:c r="L3" s="3945"/>
      <x:c r="M3" s="3945"/>
      <x:c r="N3" s="3945"/>
      <x:c r="O3" s="3945"/>
      <x:c r="P3" s="3945"/>
    </x:row>
    <x:row r="4">
      <x:c r="A4" s="4482" t="str">
        <x:v>ID</x:v>
      </x:c>
      <x:c r="B4" s="4482" t="str">
        <x:v>Interacción</x:v>
      </x:c>
      <x:c r="C4" s="4482" t="str">
        <x:v>Flujo</x:v>
      </x:c>
      <x:c r="D4" s="4482" t="str">
        <x:v>Actor</x:v>
      </x:c>
      <x:c r="E4" s="4482" t="str">
        <x:v>Dato / acción</x:v>
      </x:c>
      <x:c r="F4" s="4482" t="str">
        <x:v>Objeto canónico</x:v>
      </x:c>
      <x:c r="G4" s="4482" t="str">
        <x:v>Fuente primaria</x:v>
      </x:c>
      <x:c r="H4" s="4482" t="str">
        <x:v>Modo captura</x:v>
      </x:c>
      <x:c r="I4" s="4482" t="str">
        <x:v>Acción humana</x:v>
      </x:c>
      <x:c r="J4" s="4482" t="str">
        <x:v>Obligatorio</x:v>
      </x:c>
      <x:c r="K4" s="4482" t="str">
        <x:v>Touch</x:v>
      </x:c>
      <x:c r="L4" s="4482" t="str">
        <x:v>Seg. est.</x:v>
      </x:c>
      <x:c r="M4" s="4482" t="str">
        <x:v>Confirmación / confianza</x:v>
      </x:c>
      <x:c r="N4" s="4482" t="str">
        <x:v>Fallback offline/ambiguo</x:v>
      </x:c>
      <x:c r="O4" s="4482" t="str">
        <x:v>Reglas relacionadas</x:v>
      </x:c>
      <x:c r="P4" s="4482" t="str">
        <x:v>Estado</x:v>
      </x:c>
    </x:row>
    <x:row r="5" ht="62" customHeight="1">
      <x:c r="A5" s="3947" t="str">
        <x:v>CAP-001</x:v>
      </x:c>
      <x:c r="B5" s="3947" t="str">
        <x:v>UX-01</x:v>
      </x:c>
      <x:c r="C5" s="3947" t="str">
        <x:v>Start Work planificado</x:v>
      </x:c>
      <x:c r="D5" s="3947" t="str">
        <x:v>Operario</x:v>
      </x:c>
      <x:c r="E5" s="3947" t="str">
        <x:v>Usuario/persona</x:v>
      </x:c>
      <x:c r="F5" s="3947" t="str">
        <x:v>Persona</x:v>
      </x:c>
      <x:c r="G5" s="3947" t="str">
        <x:v>sesión autenticada</x:v>
      </x:c>
      <x:c r="H5" s="4483" t="str">
        <x:v>AUTODERIVADO</x:v>
      </x:c>
      <x:c r="I5" s="3947" t="str">
        <x:v>ninguna</x:v>
      </x:c>
      <x:c r="J5" s="3947" t="str">
        <x:v>Sí</x:v>
      </x:c>
      <x:c r="K5" s="4483" t="n">
        <x:v>0</x:v>
      </x:c>
      <x:c r="L5" s="4483" t="n">
        <x:v>0</x:v>
      </x:c>
      <x:c r="M5" s="3947" t="str">
        <x:v>Identidad fuerte por sesión</x:v>
      </x:c>
      <x:c r="N5" s="3947" t="str">
        <x:v>Bloquear si sesión inválida</x:v>
      </x:c>
      <x:c r="O5" s="3947" t="str">
        <x:v>RUL-024,RUL-074</x:v>
      </x:c>
      <x:c r="P5" s="3947" t="str">
        <x:v>BASELINE</x:v>
      </x:c>
    </x:row>
    <x:row r="6" ht="62" customHeight="1">
      <x:c r="A6" s="3947" t="str">
        <x:v>CAP-002</x:v>
      </x:c>
      <x:c r="B6" s="3947" t="str">
        <x:v>UX-01</x:v>
      </x:c>
      <x:c r="C6" s="3947" t="str">
        <x:v>Start Work planificado</x:v>
      </x:c>
      <x:c r="D6" s="3947" t="str">
        <x:v>Operario</x:v>
      </x:c>
      <x:c r="E6" s="3947" t="str">
        <x:v>Perfil operativo</x:v>
      </x:c>
      <x:c r="F6" s="3947" t="str">
        <x:v>PersonaPerfilOperativo</x:v>
      </x:c>
      <x:c r="G6" s="3947" t="str">
        <x:v>maestro + vigencia</x:v>
      </x:c>
      <x:c r="H6" s="4483" t="str">
        <x:v>AUTODERIVADO</x:v>
      </x:c>
      <x:c r="I6" s="3947" t="str">
        <x:v>ninguna</x:v>
      </x:c>
      <x:c r="J6" s="3947" t="str">
        <x:v>Sí</x:v>
      </x:c>
      <x:c r="K6" s="4483" t="n">
        <x:v>0</x:v>
      </x:c>
      <x:c r="L6" s="4483" t="n">
        <x:v>0</x:v>
      </x:c>
      <x:c r="M6" s="3947" t="str">
        <x:v>Debe estar vigente</x:v>
      </x:c>
      <x:c r="N6" s="3947" t="str">
        <x:v>Si ambiguo, bloquear ruteo</x:v>
      </x:c>
      <x:c r="O6" s="3947" t="str">
        <x:v>RUL-001,RUL-012</x:v>
      </x:c>
      <x:c r="P6" s="3947" t="str">
        <x:v>BASELINE</x:v>
      </x:c>
    </x:row>
    <x:row r="7" ht="62" customHeight="1">
      <x:c r="A7" s="3947" t="str">
        <x:v>CAP-003</x:v>
      </x:c>
      <x:c r="B7" s="3947" t="str">
        <x:v>UX-01</x:v>
      </x:c>
      <x:c r="C7" s="3947" t="str">
        <x:v>Start Work planificado</x:v>
      </x:c>
      <x:c r="D7" s="3947" t="str">
        <x:v>Operario</x:v>
      </x:c>
      <x:c r="E7" s="3947" t="str">
        <x:v>Fecha/hora inicio</x:v>
      </x:c>
      <x:c r="F7" s="3947" t="str">
        <x:v>Evento/UE</x:v>
      </x:c>
      <x:c r="G7" s="3947" t="str">
        <x:v>reloj dispositivo/backend</x:v>
      </x:c>
      <x:c r="H7" s="4483" t="str">
        <x:v>AUTODERIVADO</x:v>
      </x:c>
      <x:c r="I7" s="3947" t="str">
        <x:v>ninguna</x:v>
      </x:c>
      <x:c r="J7" s="3947" t="str">
        <x:v>Sí</x:v>
      </x:c>
      <x:c r="K7" s="4483" t="n">
        <x:v>0</x:v>
      </x:c>
      <x:c r="L7" s="4483" t="n">
        <x:v>0</x:v>
      </x:c>
      <x:c r="M7" s="3947" t="str">
        <x:v>timestamp + fuente</x:v>
      </x:c>
      <x:c r="N7" s="3947" t="str">
        <x:v>guardar local y reconciliar</x:v>
      </x:c>
      <x:c r="O7" s="3947" t="str">
        <x:v>RUL-023,RUL-074</x:v>
      </x:c>
      <x:c r="P7" s="3947" t="str">
        <x:v>BASELINE</x:v>
      </x:c>
    </x:row>
    <x:row r="8" ht="62" customHeight="1">
      <x:c r="A8" s="3947" t="str">
        <x:v>CAP-004</x:v>
      </x:c>
      <x:c r="B8" s="3947" t="str">
        <x:v>UX-01</x:v>
      </x:c>
      <x:c r="C8" s="3947" t="str">
        <x:v>Start Work planificado</x:v>
      </x:c>
      <x:c r="D8" s="3947" t="str">
        <x:v>Operario</x:v>
      </x:c>
      <x:c r="E8" s="3947" t="str">
        <x:v>Asignación/plan vigente</x:v>
      </x:c>
      <x:c r="F8" s="3947" t="str">
        <x:v>AsignacionPlanificada</x:v>
      </x:c>
      <x:c r="G8" s="3947" t="str">
        <x:v>ExecutionContextBundle</x:v>
      </x:c>
      <x:c r="H8" s="4483" t="str">
        <x:v>AUTODERIVADO</x:v>
      </x:c>
      <x:c r="I8" s="3947" t="str">
        <x:v>ninguna</x:v>
      </x:c>
      <x:c r="J8" s="3947" t="str">
        <x:v>Sí</x:v>
      </x:c>
      <x:c r="K8" s="4483" t="n">
        <x:v>0</x:v>
      </x:c>
      <x:c r="L8" s="4483" t="n">
        <x:v>0</x:v>
      </x:c>
      <x:c r="M8" s="3947" t="str">
        <x:v>bundle vigente</x:v>
      </x:c>
      <x:c r="N8" s="3947" t="str">
        <x:v>si vencido: reevaluar/fallback</x:v>
      </x:c>
      <x:c r="O8" s="3947" t="str">
        <x:v>RUL-016,RUL-017</x:v>
      </x:c>
      <x:c r="P8" s="3947" t="str">
        <x:v>BASELINE</x:v>
      </x:c>
    </x:row>
    <x:row r="9" ht="62" customHeight="1">
      <x:c r="A9" s="3947" t="str">
        <x:v>CAP-005</x:v>
      </x:c>
      <x:c r="B9" s="3947" t="str">
        <x:v>UX-01</x:v>
      </x:c>
      <x:c r="C9" s="3947" t="str">
        <x:v>Start Work planificado</x:v>
      </x:c>
      <x:c r="D9" s="3947" t="str">
        <x:v>Operario</x:v>
      </x:c>
      <x:c r="E9" s="3947" t="str">
        <x:v>Cliente</x:v>
      </x:c>
      <x:c r="F9" s="3947" t="str">
        <x:v>Cliente</x:v>
      </x:c>
      <x:c r="G9" s="3947" t="str">
        <x:v>PlanificacionVersion / contexto</x:v>
      </x:c>
      <x:c r="H9" s="4483" t="str">
        <x:v>AUTODERIVADO</x:v>
      </x:c>
      <x:c r="I9" s="3947" t="str">
        <x:v>ninguna</x:v>
      </x:c>
      <x:c r="J9" s="3947" t="str">
        <x:v>Sí</x:v>
      </x:c>
      <x:c r="K9" s="4483" t="n">
        <x:v>0</x:v>
      </x:c>
      <x:c r="L9" s="4483" t="n">
        <x:v>0</x:v>
      </x:c>
      <x:c r="M9" s="3947" t="str">
        <x:v>fuente versionada</x:v>
      </x:c>
      <x:c r="N9" s="3947" t="str">
        <x:v>no pedir texto libre</x:v>
      </x:c>
      <x:c r="O9" s="3947" t="str">
        <x:v>RUL-017</x:v>
      </x:c>
      <x:c r="P9" s="3947" t="str">
        <x:v>BASELINE</x:v>
      </x:c>
    </x:row>
    <x:row r="10" ht="62" customHeight="1">
      <x:c r="A10" s="3947" t="str">
        <x:v>CAP-006</x:v>
      </x:c>
      <x:c r="B10" s="3947" t="str">
        <x:v>UX-01</x:v>
      </x:c>
      <x:c r="C10" s="3947" t="str">
        <x:v>Start Work planificado</x:v>
      </x:c>
      <x:c r="D10" s="3947" t="str">
        <x:v>Operario</x:v>
      </x:c>
      <x:c r="E10" s="3947" t="str">
        <x:v>ContratoServicio / contexto contractual</x:v>
      </x:c>
      <x:c r="F10" s="3947" t="str">
        <x:v>ContratoServicio</x:v>
      </x:c>
      <x:c r="G10" s="3947" t="str">
        <x:v>Plan / configuración</x:v>
      </x:c>
      <x:c r="H10" s="4483" t="str">
        <x:v>AUTODERIVADO</x:v>
      </x:c>
      <x:c r="I10" s="3947" t="str">
        <x:v>ninguna</x:v>
      </x:c>
      <x:c r="J10" s="3947" t="str">
        <x:v>Cond.</x:v>
      </x:c>
      <x:c r="K10" s="4483" t="n">
        <x:v>0</x:v>
      </x:c>
      <x:c r="L10" s="4483" t="n">
        <x:v>0</x:v>
      </x:c>
      <x:c r="M10" s="3947" t="str">
        <x:v>puede estar pendiente en emergencia</x:v>
      </x:c>
      <x:c r="N10" s="3947" t="str">
        <x:v>marcar PENDIENTE, no inventar</x:v>
      </x:c>
      <x:c r="O10" s="3947" t="str">
        <x:v>RUL-036,RUL-038</x:v>
      </x:c>
      <x:c r="P10" s="3947" t="str">
        <x:v>BASELINE</x:v>
      </x:c>
    </x:row>
    <x:row r="11" ht="62" customHeight="1">
      <x:c r="A11" s="3947" t="str">
        <x:v>CAP-007</x:v>
      </x:c>
      <x:c r="B11" s="3947" t="str">
        <x:v>UX-01</x:v>
      </x:c>
      <x:c r="C11" s="3947" t="str">
        <x:v>Start Work planificado</x:v>
      </x:c>
      <x:c r="D11" s="3947" t="str">
        <x:v>Operario</x:v>
      </x:c>
      <x:c r="E11" s="3947" t="str">
        <x:v>TipoParte</x:v>
      </x:c>
      <x:c r="F11" s="3947" t="str">
        <x:v>TipoParte</x:v>
      </x:c>
      <x:c r="G11" s="3947" t="str">
        <x:v>Motor de Ruteo</x:v>
      </x:c>
      <x:c r="H11" s="4483" t="str">
        <x:v>AUTODERIVADO</x:v>
      </x:c>
      <x:c r="I11" s="3947" t="str">
        <x:v>ninguna</x:v>
      </x:c>
      <x:c r="J11" s="3947" t="str">
        <x:v>Sí</x:v>
      </x:c>
      <x:c r="K11" s="4483" t="n">
        <x:v>0</x:v>
      </x:c>
      <x:c r="L11" s="4483" t="n">
        <x:v>0</x:v>
      </x:c>
      <x:c r="M11" s="3947" t="str">
        <x:v>DecisionTrace explica ruteo</x:v>
      </x:c>
      <x:c r="N11" s="3947" t="str">
        <x:v>si ambiguo pedir confirmación mínima</x:v>
      </x:c>
      <x:c r="O11" s="3947" t="str">
        <x:v>RUL-001,RUL-002</x:v>
      </x:c>
      <x:c r="P11" s="3947" t="str">
        <x:v>BASELINE</x:v>
      </x:c>
    </x:row>
    <x:row r="12" ht="62" customHeight="1">
      <x:c r="A12" s="3947" t="str">
        <x:v>CAP-008</x:v>
      </x:c>
      <x:c r="B12" s="3947" t="str">
        <x:v>UX-01</x:v>
      </x:c>
      <x:c r="C12" s="3947" t="str">
        <x:v>Start Work planificado</x:v>
      </x:c>
      <x:c r="D12" s="3947" t="str">
        <x:v>Operario</x:v>
      </x:c>
      <x:c r="E12" s="3947" t="str">
        <x:v>Parte / UE</x:v>
      </x:c>
      <x:c r="F12" s="3947" t="str">
        <x:v>Parte / UnidadEjecucion</x:v>
      </x:c>
      <x:c r="G12" s="3947" t="str">
        <x:v>Motor + plan</x:v>
      </x:c>
      <x:c r="H12" s="4483" t="str">
        <x:v>AUTODERIVADO</x:v>
      </x:c>
      <x:c r="I12" s="3947" t="str">
        <x:v>ninguna</x:v>
      </x:c>
      <x:c r="J12" s="3947" t="str">
        <x:v>Sí</x:v>
      </x:c>
      <x:c r="K12" s="4483" t="n">
        <x:v>0</x:v>
      </x:c>
      <x:c r="L12" s="4483" t="n">
        <x:v>0</x:v>
      </x:c>
      <x:c r="M12" s="3947" t="str">
        <x:v>creación idempotente</x:v>
      </x:c>
      <x:c r="N12" s="3947" t="str">
        <x:v>correlation key offline</x:v>
      </x:c>
      <x:c r="O12" s="3947" t="str">
        <x:v>RUL-021,RUL-074</x:v>
      </x:c>
      <x:c r="P12" s="3947" t="str">
        <x:v>BASELINE</x:v>
      </x:c>
    </x:row>
    <x:row r="13" ht="62" customHeight="1">
      <x:c r="A13" s="3947" t="str">
        <x:v>CAP-009</x:v>
      </x:c>
      <x:c r="B13" s="3947" t="str">
        <x:v>UX-01</x:v>
      </x:c>
      <x:c r="C13" s="3947" t="str">
        <x:v>Start Work planificado</x:v>
      </x:c>
      <x:c r="D13" s="3947" t="str">
        <x:v>Operario</x:v>
      </x:c>
      <x:c r="E13" s="3947" t="str">
        <x:v>Personas previstas</x:v>
      </x:c>
      <x:c r="F13" s="3947" t="str">
        <x:v>AsignacionPersonaPlanificada</x:v>
      </x:c>
      <x:c r="G13" s="3947" t="str">
        <x:v>Planificación</x:v>
      </x:c>
      <x:c r="H13" s="4483" t="str">
        <x:v>AUTODERIVADO_VISIBLE</x:v>
      </x:c>
      <x:c r="I13" s="3947" t="str">
        <x:v>ver lista</x:v>
      </x:c>
      <x:c r="J13" s="3947" t="str">
        <x:v>Cond.</x:v>
      </x:c>
      <x:c r="K13" s="4483" t="n">
        <x:v>0</x:v>
      </x:c>
      <x:c r="L13" s="4483" t="n">
        <x:v>0</x:v>
      </x:c>
      <x:c r="M13" s="3947" t="str">
        <x:v>mostrar solo contexto relevante</x:v>
      </x:c>
      <x:c r="N13" s="3947" t="str">
        <x:v>permitir excepción/reemplazo</x:v>
      </x:c>
      <x:c r="O13" s="3947" t="str">
        <x:v>RUL-012,RUL-025</x:v>
      </x:c>
      <x:c r="P13" s="3947" t="str">
        <x:v>BASELINE</x:v>
      </x:c>
    </x:row>
    <x:row r="14" ht="62" customHeight="1">
      <x:c r="A14" s="3947" t="str">
        <x:v>CAP-010</x:v>
      </x:c>
      <x:c r="B14" s="3947" t="str">
        <x:v>UX-01</x:v>
      </x:c>
      <x:c r="C14" s="3947" t="str">
        <x:v>Start Work planificado</x:v>
      </x:c>
      <x:c r="D14" s="3947" t="str">
        <x:v>Operario</x:v>
      </x:c>
      <x:c r="E14" s="3947" t="str">
        <x:v>Recursos previstos</x:v>
      </x:c>
      <x:c r="F14" s="3947" t="str">
        <x:v>AsignacionRecursoPlanificada</x:v>
      </x:c>
      <x:c r="G14" s="3947" t="str">
        <x:v>Planificación</x:v>
      </x:c>
      <x:c r="H14" s="4483" t="str">
        <x:v>AUTODERIVADO_VISIBLE</x:v>
      </x:c>
      <x:c r="I14" s="3947" t="str">
        <x:v>ver lista</x:v>
      </x:c>
      <x:c r="J14" s="3947" t="str">
        <x:v>Cond.</x:v>
      </x:c>
      <x:c r="K14" s="4483" t="n">
        <x:v>0</x:v>
      </x:c>
      <x:c r="L14" s="4483" t="n">
        <x:v>0</x:v>
      </x:c>
      <x:c r="M14" s="3947" t="str">
        <x:v>mostrar solo contexto relevante</x:v>
      </x:c>
      <x:c r="N14" s="3947" t="str">
        <x:v>permitir excepción/reemplazo</x:v>
      </x:c>
      <x:c r="O14" s="3947" t="str">
        <x:v>RUL-012,RUL-026</x:v>
      </x:c>
      <x:c r="P14" s="3947" t="str">
        <x:v>BASELINE</x:v>
      </x:c>
    </x:row>
    <x:row r="15" ht="62" customHeight="1">
      <x:c r="A15" s="3947" t="str">
        <x:v>CAP-011</x:v>
      </x:c>
      <x:c r="B15" s="3947" t="str">
        <x:v>UX-01</x:v>
      </x:c>
      <x:c r="C15" s="3947" t="str">
        <x:v>Start Work planificado</x:v>
      </x:c>
      <x:c r="D15" s="3947" t="str">
        <x:v>Operario</x:v>
      </x:c>
      <x:c r="E15" s="3947" t="str">
        <x:v>Ubicación candidata</x:v>
      </x:c>
      <x:c r="F15" s="3947" t="str">
        <x:v>UbicacionTecnica</x:v>
      </x:c>
      <x:c r="G15" s="3947" t="str">
        <x:v>Plan + GPS/contexto</x:v>
      </x:c>
      <x:c r="H15" s="4484" t="str">
        <x:v>PRECARGADO_CONFIRMAR</x:v>
      </x:c>
      <x:c r="I15" s="3947" t="str">
        <x:v>1 tap confirmar/corregir</x:v>
      </x:c>
      <x:c r="J15" s="3947" t="str">
        <x:v>Sí</x:v>
      </x:c>
      <x:c r="K15" s="4485" t="n">
        <x:v>1</x:v>
      </x:c>
      <x:c r="L15" s="4485" t="n">
        <x:v>3</x:v>
      </x:c>
      <x:c r="M15" s="3947" t="str">
        <x:v>confirmar si GPS/plan no coinciden</x:v>
      </x:c>
      <x:c r="N15" s="3947" t="str">
        <x:v>lista corta/última conocida</x:v>
      </x:c>
      <x:c r="O15" s="3947" t="str">
        <x:v>RUL-031</x:v>
      </x:c>
      <x:c r="P15" s="3947" t="str">
        <x:v>BASELINE</x:v>
      </x:c>
    </x:row>
    <x:row r="16" ht="62" customHeight="1">
      <x:c r="A16" s="3947" t="str">
        <x:v>CAP-012</x:v>
      </x:c>
      <x:c r="B16" s="3947" t="str">
        <x:v>UX-01</x:v>
      </x:c>
      <x:c r="C16" s="3947" t="str">
        <x:v>Start Work planificado</x:v>
      </x:c>
      <x:c r="D16" s="3947" t="str">
        <x:v>Operario</x:v>
      </x:c>
      <x:c r="E16" s="3947" t="str">
        <x:v>Estado Habilita/documental</x:v>
      </x:c>
      <x:c r="F16" s="3947" t="str">
        <x:v>EvaluacionHabilitacion</x:v>
      </x:c>
      <x:c r="G16" s="3947" t="str">
        <x:v>Habilita</x:v>
      </x:c>
      <x:c r="H16" s="4483" t="str">
        <x:v>AUTODERIVADO_VISIBLE</x:v>
      </x:c>
      <x:c r="I16" s="3947" t="str">
        <x:v>solo ver blocker/warning</x:v>
      </x:c>
      <x:c r="J16" s="3947" t="str">
        <x:v>Sí</x:v>
      </x:c>
      <x:c r="K16" s="4483" t="n">
        <x:v>0</x:v>
      </x:c>
      <x:c r="L16" s="4483" t="n">
        <x:v>0</x:v>
      </x:c>
      <x:c r="M16" s="3947" t="str">
        <x:v>hard gate</x:v>
      </x:c>
      <x:c r="N16" s="3947" t="str">
        <x:v>offline usa snapshot válido</x:v>
      </x:c>
      <x:c r="O16" s="3947" t="str">
        <x:v>RUL-022,RUL-039,RUL-040</x:v>
      </x:c>
      <x:c r="P16" s="3947" t="str">
        <x:v>BASELINE</x:v>
      </x:c>
    </x:row>
    <x:row r="17" ht="62" customHeight="1">
      <x:c r="A17" s="3947" t="str">
        <x:v>CAP-013</x:v>
      </x:c>
      <x:c r="B17" s="3947" t="str">
        <x:v>UX-01</x:v>
      </x:c>
      <x:c r="C17" s="3947" t="str">
        <x:v>Start Work planificado</x:v>
      </x:c>
      <x:c r="D17" s="3947" t="str">
        <x:v>Operario</x:v>
      </x:c>
      <x:c r="E17" s="3947" t="str">
        <x:v>PTW aplicable/vigente</x:v>
      </x:c>
      <x:c r="F17" s="3947" t="str">
        <x:v>PermisoTrabajo</x:v>
      </x:c>
      <x:c r="G17" s="3947" t="str">
        <x:v>Habilita/PTW</x:v>
      </x:c>
      <x:c r="H17" s="4483" t="str">
        <x:v>AUTODERIVADO_VISIBLE</x:v>
      </x:c>
      <x:c r="I17" s="3947" t="str">
        <x:v>solo ver/confirmar alcance si ambiguo</x:v>
      </x:c>
      <x:c r="J17" s="3947" t="str">
        <x:v>Cond.</x:v>
      </x:c>
      <x:c r="K17" s="4483" t="n">
        <x:v>0</x:v>
      </x:c>
      <x:c r="L17" s="4483" t="n">
        <x:v>0</x:v>
      </x:c>
      <x:c r="M17" s="3947" t="str">
        <x:v>debe estar VIGENTE si requerido</x:v>
      </x:c>
      <x:c r="N17" s="3947" t="str">
        <x:v>sin PTW vigente bloquear</x:v>
      </x:c>
      <x:c r="O17" s="3947" t="str">
        <x:v>RUL-042,RUL-043</x:v>
      </x:c>
      <x:c r="P17" s="3947" t="str">
        <x:v>BASELINE</x:v>
      </x:c>
    </x:row>
    <x:row r="18" ht="62" customHeight="1">
      <x:c r="A18" s="3947" t="str">
        <x:v>CAP-014</x:v>
      </x:c>
      <x:c r="B18" s="3947" t="str">
        <x:v>UX-01</x:v>
      </x:c>
      <x:c r="C18" s="3947" t="str">
        <x:v>Start Work planificado</x:v>
      </x:c>
      <x:c r="D18" s="3947" t="str">
        <x:v>Operario</x:v>
      </x:c>
      <x:c r="E18" s="3947" t="str">
        <x:v>Iniciar trabajo</x:v>
      </x:c>
      <x:c r="F18" s="3947" t="str">
        <x:v>UE state transition</x:v>
      </x:c>
      <x:c r="G18" s="3947" t="str">
        <x:v>State Machine</x:v>
      </x:c>
      <x:c r="H18" s="4485" t="str">
        <x:v>INPUT_HUMANO</x:v>
      </x:c>
      <x:c r="I18" s="3947" t="str">
        <x:v>tap INICIAR</x:v>
      </x:c>
      <x:c r="J18" s="3947" t="str">
        <x:v>Sí</x:v>
      </x:c>
      <x:c r="K18" s="4485" t="n">
        <x:v>1</x:v>
      </x:c>
      <x:c r="L18" s="4485" t="n">
        <x:v>2</x:v>
      </x:c>
      <x:c r="M18" s="3947" t="str">
        <x:v>acción explícita</x:v>
      </x:c>
      <x:c r="N18" s="3947" t="str">
        <x:v>guardar evento local idempotente</x:v>
      </x:c>
      <x:c r="O18" s="3947" t="str">
        <x:v>RUL-022,RUL-023</x:v>
      </x:c>
      <x:c r="P18" s="3947" t="str">
        <x:v>BASELINE</x:v>
      </x:c>
    </x:row>
    <x:row r="19" ht="62" customHeight="1">
      <x:c r="A19" s="3947" t="str">
        <x:v>CAP-015</x:v>
      </x:c>
      <x:c r="B19" s="3947" t="str">
        <x:v>UX-02</x:v>
      </x:c>
      <x:c r="C19" s="3947" t="str">
        <x:v>Inicio emergente/offline</x:v>
      </x:c>
      <x:c r="D19" s="3947" t="str">
        <x:v>Operario</x:v>
      </x:c>
      <x:c r="E19" s="3947" t="str">
        <x:v>Usuario/hora/ubicación candidata</x:v>
      </x:c>
      <x:c r="F19" s="3947" t="str">
        <x:v>Persona/Event/Ubicacion</x:v>
      </x:c>
      <x:c r="G19" s="3947" t="str">
        <x:v>sesión+reloj+GPS/contexto</x:v>
      </x:c>
      <x:c r="H19" s="4483" t="str">
        <x:v>AUTODERIVADO_VISIBLE</x:v>
      </x:c>
      <x:c r="I19" s="3947" t="str">
        <x:v>confirmar ubicación</x:v>
      </x:c>
      <x:c r="J19" s="3947" t="str">
        <x:v>Sí</x:v>
      </x:c>
      <x:c r="K19" s="4485" t="n">
        <x:v>1</x:v>
      </x:c>
      <x:c r="L19" s="4485" t="n">
        <x:v>3</x:v>
      </x:c>
      <x:c r="M19" s="3947" t="str">
        <x:v>ubicación requiere confirmación</x:v>
      </x:c>
      <x:c r="N19" s="3947" t="str">
        <x:v>última ubicación/selección corta</x:v>
      </x:c>
      <x:c r="O19" s="3947" t="str">
        <x:v>RUL-024,RUL-031</x:v>
      </x:c>
      <x:c r="P19" s="3947" t="str">
        <x:v>BASELINE</x:v>
      </x:c>
    </x:row>
    <x:row r="20" ht="62" customHeight="1">
      <x:c r="A20" s="3947" t="str">
        <x:v>CAP-016</x:v>
      </x:c>
      <x:c r="B20" s="3947" t="str">
        <x:v>UX-02</x:v>
      </x:c>
      <x:c r="C20" s="3947" t="str">
        <x:v>Inicio emergente/offline</x:v>
      </x:c>
      <x:c r="D20" s="3947" t="str">
        <x:v>Operario</x:v>
      </x:c>
      <x:c r="E20" s="3947" t="str">
        <x:v>Qué tarea urgente aparece</x:v>
      </x:c>
      <x:c r="F20" s="3947" t="str">
        <x:v>Demanda/UE emergente</x:v>
      </x:c>
      <x:c r="G20" s="3947" t="str">
        <x:v>persona en campo</x:v>
      </x:c>
      <x:c r="H20" s="4485" t="str">
        <x:v>SHORT_INPUT</x:v>
      </x:c>
      <x:c r="I20" s="3947" t="str">
        <x:v>voz o texto corto</x:v>
      </x:c>
      <x:c r="J20" s="3947" t="str">
        <x:v>Sí</x:v>
      </x:c>
      <x:c r="K20" s="4485" t="n">
        <x:v>1</x:v>
      </x:c>
      <x:c r="L20" s="4485" t="n">
        <x:v>20</x:v>
      </x:c>
      <x:c r="M20" s="3947" t="str">
        <x:v>input humano inevitable</x:v>
      </x:c>
      <x:c r="N20" s="3947" t="str">
        <x:v>voz local/offline</x:v>
      </x:c>
      <x:c r="O20" s="3947" t="str">
        <x:v>RUL-036</x:v>
      </x:c>
      <x:c r="P20" s="3947" t="str">
        <x:v>BASELINE</x:v>
      </x:c>
    </x:row>
    <x:row r="21" ht="62" customHeight="1">
      <x:c r="A21" s="3947" t="str">
        <x:v>CAP-017</x:v>
      </x:c>
      <x:c r="B21" s="3947" t="str">
        <x:v>UX-02</x:v>
      </x:c>
      <x:c r="C21" s="3947" t="str">
        <x:v>Inicio emergente/offline</x:v>
      </x:c>
      <x:c r="D21" s="3947" t="str">
        <x:v>Operario</x:v>
      </x:c>
      <x:c r="E21" s="3947" t="str">
        <x:v>Motivo de emergencia</x:v>
      </x:c>
      <x:c r="F21" s="3947" t="str">
        <x:v>EventoOperativo</x:v>
      </x:c>
      <x:c r="G21" s="3947" t="str">
        <x:v>catálogo corto</x:v>
      </x:c>
      <x:c r="H21" s="4484" t="str">
        <x:v>SELECT</x:v>
      </x:c>
      <x:c r="I21" s="3947" t="str">
        <x:v>1 selección</x:v>
      </x:c>
      <x:c r="J21" s="3947" t="str">
        <x:v>Sí</x:v>
      </x:c>
      <x:c r="K21" s="4485" t="n">
        <x:v>1</x:v>
      </x:c>
      <x:c r="L21" s="4485" t="n">
        <x:v>4</x:v>
      </x:c>
      <x:c r="M21" s="3947" t="str">
        <x:v>catálogo contextual</x:v>
      </x:c>
      <x:c r="N21" s="3947" t="str">
        <x:v>opción OTRO + breve texto</x:v>
      </x:c>
      <x:c r="O21" s="3947" t="str">
        <x:v>RUL-036,RUL-037</x:v>
      </x:c>
      <x:c r="P21" s="3947" t="str">
        <x:v>BASELINE</x:v>
      </x:c>
    </x:row>
    <x:row r="22" ht="62" customHeight="1">
      <x:c r="A22" s="3947" t="str">
        <x:v>CAP-018</x:v>
      </x:c>
      <x:c r="B22" s="3947" t="str">
        <x:v>UX-02</x:v>
      </x:c>
      <x:c r="C22" s="3947" t="str">
        <x:v>Inicio emergente/offline</x:v>
      </x:c>
      <x:c r="D22" s="3947" t="str">
        <x:v>Operario</x:v>
      </x:c>
      <x:c r="E22" s="3947" t="str">
        <x:v>Cliente/contexto candidato</x:v>
      </x:c>
      <x:c r="F22" s="3947" t="str">
        <x:v>Cliente</x:v>
      </x:c>
      <x:c r="G22" s="3947" t="str">
        <x:v>contexto actual/última asignación</x:v>
      </x:c>
      <x:c r="H22" s="4484" t="str">
        <x:v>PRECARGADO_CONFIRMAR</x:v>
      </x:c>
      <x:c r="I22" s="3947" t="str">
        <x:v>confirmar o corregir</x:v>
      </x:c>
      <x:c r="J22" s="3947" t="str">
        <x:v>Cond.</x:v>
      </x:c>
      <x:c r="K22" s="4485" t="n">
        <x:v>1</x:v>
      </x:c>
      <x:c r="L22" s="4485" t="n">
        <x:v>4</x:v>
      </x:c>
      <x:c r="M22" s="3947" t="str">
        <x:v>no asumir si ambiguo</x:v>
      </x:c>
      <x:c r="N22" s="3947" t="str">
        <x:v>dejar AMBIGUO</x:v>
      </x:c>
      <x:c r="O22" s="3947" t="str">
        <x:v>RUL-036</x:v>
      </x:c>
      <x:c r="P22" s="3947" t="str">
        <x:v>BASELINE</x:v>
      </x:c>
    </x:row>
    <x:row r="23" ht="62" customHeight="1">
      <x:c r="A23" s="3947" t="str">
        <x:v>CAP-019</x:v>
      </x:c>
      <x:c r="B23" s="3947" t="str">
        <x:v>UX-02</x:v>
      </x:c>
      <x:c r="C23" s="3947" t="str">
        <x:v>Inicio emergente/offline</x:v>
      </x:c>
      <x:c r="D23" s="3947" t="str">
        <x:v>Operario</x:v>
      </x:c>
      <x:c r="E23" s="3947" t="str">
        <x:v>ContratoServicio/CC/Item</x:v>
      </x:c>
      <x:c r="F23" s="3947" t="str">
        <x:v>ImputacionEjecucion</x:v>
      </x:c>
      <x:c r="G23" s="3947" t="str">
        <x:v>motor contractual</x:v>
      </x:c>
      <x:c r="H23" s="4481" t="str">
        <x:v>BACK_OFFICE</x:v>
      </x:c>
      <x:c r="I23" s="3947" t="str">
        <x:v>ninguna en campo</x:v>
      </x:c>
      <x:c r="J23" s="3947" t="str">
        <x:v>No</x:v>
      </x:c>
      <x:c r="K23" s="4483" t="n">
        <x:v>0</x:v>
      </x:c>
      <x:c r="L23" s="4483" t="n">
        <x:v>0</x:v>
      </x:c>
      <x:c r="M23" s="3947" t="str">
        <x:v>estado=PENDIENTE/AMBIGUO</x:v>
      </x:c>
      <x:c r="N23" s="3947" t="str">
        <x:v>reconciliar después</x:v>
      </x:c>
      <x:c r="O23" s="3947" t="str">
        <x:v>RUL-036,RUL-038</x:v>
      </x:c>
      <x:c r="P23" s="3947" t="str">
        <x:v>BASELINE</x:v>
      </x:c>
    </x:row>
    <x:row r="24" ht="62" customHeight="1">
      <x:c r="A24" s="3947" t="str">
        <x:v>CAP-020</x:v>
      </x:c>
      <x:c r="B24" s="3947" t="str">
        <x:v>UX-02</x:v>
      </x:c>
      <x:c r="C24" s="3947" t="str">
        <x:v>Inicio emergente/offline</x:v>
      </x:c>
      <x:c r="D24" s="3947" t="str">
        <x:v>Supervisor</x:v>
      </x:c>
      <x:c r="E24" s="3947" t="str">
        <x:v>Autorización contingente</x:v>
      </x:c>
      <x:c r="F24" s="3947" t="str">
        <x:v>Override/DecisionTrace</x:v>
      </x:c>
      <x:c r="G24" s="3947" t="str">
        <x:v>ReglaInicioEmergente</x:v>
      </x:c>
      <x:c r="H24" s="4481" t="str">
        <x:v>SUPERVISOR</x:v>
      </x:c>
      <x:c r="I24" s="3947" t="str">
        <x:v>aprobar/rechazar + motivo corto</x:v>
      </x:c>
      <x:c r="J24" s="3947" t="str">
        <x:v>Cond.</x:v>
      </x:c>
      <x:c r="K24" s="4485" t="n">
        <x:v>1</x:v>
      </x:c>
      <x:c r="L24" s="4485" t="n">
        <x:v>15</x:v>
      </x:c>
      <x:c r="M24" s="3947" t="str">
        <x:v>solo rol autorizado</x:v>
      </x:c>
      <x:c r="N24" s="3947" t="str">
        <x:v>token/approval offline si permitido</x:v>
      </x:c>
      <x:c r="O24" s="3947" t="str">
        <x:v>RUL-037,RUL-041</x:v>
      </x:c>
      <x:c r="P24" s="3947" t="str">
        <x:v>BASELINE</x:v>
      </x:c>
    </x:row>
    <x:row r="25" ht="62" customHeight="1">
      <x:c r="A25" s="3947" t="str">
        <x:v>CAP-021</x:v>
      </x:c>
      <x:c r="B25" s="3947" t="str">
        <x:v>UX-02</x:v>
      </x:c>
      <x:c r="C25" s="3947" t="str">
        <x:v>Inicio emergente/offline</x:v>
      </x:c>
      <x:c r="D25" s="3947" t="str">
        <x:v>Operario</x:v>
      </x:c>
      <x:c r="E25" s="3947" t="str">
        <x:v>PTW/Habilita gates</x:v>
      </x:c>
      <x:c r="F25" s="3947" t="str">
        <x:v>PermisoTrabajo/Eval</x:v>
      </x:c>
      <x:c r="G25" s="3947" t="str">
        <x:v>Habilita</x:v>
      </x:c>
      <x:c r="H25" s="4483" t="str">
        <x:v>AUTODERIVADO_VISIBLE</x:v>
      </x:c>
      <x:c r="I25" s="3947" t="str">
        <x:v>resolver solo lo exigido por Habilita</x:v>
      </x:c>
      <x:c r="J25" s="3947" t="str">
        <x:v>Sí</x:v>
      </x:c>
      <x:c r="K25" s="4483" t="n">
        <x:v>0</x:v>
      </x:c>
      <x:c r="L25" s="4483" t="n">
        <x:v>0</x:v>
      </x:c>
      <x:c r="M25" s="3947" t="str">
        <x:v>nunca bypass por contrato</x:v>
      </x:c>
      <x:c r="N25" s="3947" t="str">
        <x:v>bloquear si no verificable</x:v>
      </x:c>
      <x:c r="O25" s="3947" t="str">
        <x:v>RUL-022,RUL-039,RUL-042</x:v>
      </x:c>
      <x:c r="P25" s="3947" t="str">
        <x:v>BASELINE</x:v>
      </x:c>
    </x:row>
    <x:row r="26" ht="62" customHeight="1">
      <x:c r="A26" s="3947" t="str">
        <x:v>CAP-022</x:v>
      </x:c>
      <x:c r="B26" s="3947" t="str">
        <x:v>UX-02</x:v>
      </x:c>
      <x:c r="C26" s="3947" t="str">
        <x:v>Inicio emergente/offline</x:v>
      </x:c>
      <x:c r="D26" s="3947" t="str">
        <x:v>Operario</x:v>
      </x:c>
      <x:c r="E26" s="3947" t="str">
        <x:v>Iniciar trabajo</x:v>
      </x:c>
      <x:c r="F26" s="3947" t="str">
        <x:v>UE</x:v>
      </x:c>
      <x:c r="G26" s="3947" t="str">
        <x:v>State Machine</x:v>
      </x:c>
      <x:c r="H26" s="4485" t="str">
        <x:v>INPUT_HUMANO</x:v>
      </x:c>
      <x:c r="I26" s="3947" t="str">
        <x:v>tap INICIAR</x:v>
      </x:c>
      <x:c r="J26" s="3947" t="str">
        <x:v>Sí</x:v>
      </x:c>
      <x:c r="K26" s="4485" t="n">
        <x:v>1</x:v>
      </x:c>
      <x:c r="L26" s="4485" t="n">
        <x:v>2</x:v>
      </x:c>
      <x:c r="M26" s="3947" t="str">
        <x:v>solo tras autorización/gates</x:v>
      </x:c>
      <x:c r="N26" s="3947" t="str">
        <x:v>idempotente offline</x:v>
      </x:c>
      <x:c r="O26" s="3947" t="str">
        <x:v>RUL-037</x:v>
      </x:c>
      <x:c r="P26" s="3947" t="str">
        <x:v>BASELINE</x:v>
      </x:c>
    </x:row>
    <x:row r="27" ht="62" customHeight="1">
      <x:c r="A27" s="3947" t="str">
        <x:v>CAP-023</x:v>
      </x:c>
      <x:c r="B27" s="3947" t="str">
        <x:v>UX-03</x:v>
      </x:c>
      <x:c r="C27" s="3947" t="str">
        <x:v>Cambio de turno / handover</x:v>
      </x:c>
      <x:c r="D27" s="3947" t="str">
        <x:v>Supervisor/Operario</x:v>
      </x:c>
      <x:c r="E27" s="3947" t="str">
        <x:v>Parte/UE activas</x:v>
      </x:c>
      <x:c r="F27" s="3947" t="str">
        <x:v>Parte/UE</x:v>
      </x:c>
      <x:c r="G27" s="3947" t="str">
        <x:v>contexto activo</x:v>
      </x:c>
      <x:c r="H27" s="4483" t="str">
        <x:v>AUTODERIVADO_VISIBLE</x:v>
      </x:c>
      <x:c r="I27" s="3947" t="str">
        <x:v>ver</x:v>
      </x:c>
      <x:c r="J27" s="3947" t="str">
        <x:v>Sí</x:v>
      </x:c>
      <x:c r="K27" s="4483" t="n">
        <x:v>0</x:v>
      </x:c>
      <x:c r="L27" s="4483" t="n">
        <x:v>0</x:v>
      </x:c>
      <x:c r="M27" s="3947" t="str">
        <x:v>scope automático</x:v>
      </x:c>
      <x:c r="N27" s="3947" t="str">
        <x:v>offline local context</x:v>
      </x:c>
      <x:c r="O27" s="3947" t="str">
        <x:v>RUL-005</x:v>
      </x:c>
      <x:c r="P27" s="3947" t="str">
        <x:v>BASELINE</x:v>
      </x:c>
    </x:row>
    <x:row r="28" ht="62" customHeight="1">
      <x:c r="A28" s="3947" t="str">
        <x:v>CAP-024</x:v>
      </x:c>
      <x:c r="B28" s="3947" t="str">
        <x:v>UX-03</x:v>
      </x:c>
      <x:c r="C28" s="3947" t="str">
        <x:v>Cambio de turno / handover</x:v>
      </x:c>
      <x:c r="D28" s="3947" t="str">
        <x:v>Supervisor/Operario</x:v>
      </x:c>
      <x:c r="E28" s="3947" t="str">
        <x:v>Personas salientes/entrantes</x:v>
      </x:c>
      <x:c r="F28" s="3947" t="str">
        <x:v>AsignacionPersonaEjecucion</x:v>
      </x:c>
      <x:c r="G28" s="3947" t="str">
        <x:v>turno/login/plan</x:v>
      </x:c>
      <x:c r="H28" s="4484" t="str">
        <x:v>PRECARGADO_CONFIRMAR</x:v>
      </x:c>
      <x:c r="I28" s="3947" t="str">
        <x:v>confirmar equipo</x:v>
      </x:c>
      <x:c r="J28" s="3947" t="str">
        <x:v>Sí</x:v>
      </x:c>
      <x:c r="K28" s="4485" t="n">
        <x:v>1</x:v>
      </x:c>
      <x:c r="L28" s="4485" t="n">
        <x:v>5</x:v>
      </x:c>
      <x:c r="M28" s="3947" t="str">
        <x:v>mostrar delta, no roster completo</x:v>
      </x:c>
      <x:c r="N28" s="3947" t="str">
        <x:v>selección rápida de excepción</x:v>
      </x:c>
      <x:c r="O28" s="3947" t="str">
        <x:v>RUL-005,RUL-025</x:v>
      </x:c>
      <x:c r="P28" s="3947" t="str">
        <x:v>BASELINE</x:v>
      </x:c>
    </x:row>
    <x:row r="29" ht="62" customHeight="1">
      <x:c r="A29" s="3947" t="str">
        <x:v>CAP-025</x:v>
      </x:c>
      <x:c r="B29" s="3947" t="str">
        <x:v>UX-03</x:v>
      </x:c>
      <x:c r="C29" s="3947" t="str">
        <x:v>Cambio de turno / handover</x:v>
      </x:c>
      <x:c r="D29" s="3947" t="str">
        <x:v>Supervisor/Operario</x:v>
      </x:c>
      <x:c r="E29" s="3947" t="str">
        <x:v>Recursos activos</x:v>
      </x:c>
      <x:c r="F29" s="3947" t="str">
        <x:v>AsignacionRecursoEjecucion</x:v>
      </x:c>
      <x:c r="G29" s="3947" t="str">
        <x:v>contexto activo</x:v>
      </x:c>
      <x:c r="H29" s="4483" t="str">
        <x:v>AUTODERIVADO_VISIBLE</x:v>
      </x:c>
      <x:c r="I29" s="3947" t="str">
        <x:v>confirmar solo cambios</x:v>
      </x:c>
      <x:c r="J29" s="3947" t="str">
        <x:v>Cond.</x:v>
      </x:c>
      <x:c r="K29" s="4485" t="n">
        <x:v>1</x:v>
      </x:c>
      <x:c r="L29" s="4485" t="n">
        <x:v>3</x:v>
      </x:c>
      <x:c r="M29" s="3947" t="str">
        <x:v>sin cambios = 1 tap</x:v>
      </x:c>
      <x:c r="N29" s="3947" t="str">
        <x:v>registrar excepción</x:v>
      </x:c>
      <x:c r="O29" s="3947" t="str">
        <x:v>RUL-005,RUL-026</x:v>
      </x:c>
      <x:c r="P29" s="3947" t="str">
        <x:v>BASELINE</x:v>
      </x:c>
    </x:row>
    <x:row r="30" ht="62" customHeight="1">
      <x:c r="A30" s="3947" t="str">
        <x:v>CAP-026</x:v>
      </x:c>
      <x:c r="B30" s="3947" t="str">
        <x:v>UX-03</x:v>
      </x:c>
      <x:c r="C30" s="3947" t="str">
        <x:v>Cambio de turno / handover</x:v>
      </x:c>
      <x:c r="D30" s="3947" t="str">
        <x:v>Supervisor/Operario</x:v>
      </x:c>
      <x:c r="E30" s="3947" t="str">
        <x:v>Estado actual del trabajo</x:v>
      </x:c>
      <x:c r="F30" s="3947" t="str">
        <x:v>UE/EventoOperativo</x:v>
      </x:c>
      <x:c r="G30" s="3947" t="str">
        <x:v>estado + últimos eventos</x:v>
      </x:c>
      <x:c r="H30" s="4483" t="str">
        <x:v>AUTODERIVADO_VISIBLE</x:v>
      </x:c>
      <x:c r="I30" s="3947" t="str">
        <x:v>confirmar resumen</x:v>
      </x:c>
      <x:c r="J30" s="3947" t="str">
        <x:v>Sí</x:v>
      </x:c>
      <x:c r="K30" s="4485" t="n">
        <x:v>1</x:v>
      </x:c>
      <x:c r="L30" s="4485" t="n">
        <x:v>3</x:v>
      </x:c>
      <x:c r="M30" s="3947" t="str">
        <x:v>resumen generado</x:v>
      </x:c>
      <x:c r="N30" s="3947" t="str">
        <x:v>nota solo si excepción</x:v>
      </x:c>
      <x:c r="O30" s="3947" t="str">
        <x:v>RUL-005</x:v>
      </x:c>
      <x:c r="P30" s="3947" t="str">
        <x:v>BASELINE</x:v>
      </x:c>
    </x:row>
    <x:row r="31" ht="62" customHeight="1">
      <x:c r="A31" s="3947" t="str">
        <x:v>CAP-027</x:v>
      </x:c>
      <x:c r="B31" s="3947" t="str">
        <x:v>UX-03</x:v>
      </x:c>
      <x:c r="C31" s="3947" t="str">
        <x:v>Cambio de turno / handover</x:v>
      </x:c>
      <x:c r="D31" s="3947" t="str">
        <x:v>Supervisor/Operario</x:v>
      </x:c>
      <x:c r="E31" s="3947" t="str">
        <x:v>Novedad no capturada</x:v>
      </x:c>
      <x:c r="F31" s="3947" t="str">
        <x:v>EventoOperativo</x:v>
      </x:c>
      <x:c r="G31" s="3947" t="str">
        <x:v>persona</x:v>
      </x:c>
      <x:c r="H31" s="4481" t="str">
        <x:v>EXCEPCION_ONLY</x:v>
      </x:c>
      <x:c r="I31" s="3947" t="str">
        <x:v>voz/texto opcional</x:v>
      </x:c>
      <x:c r="J31" s="3947" t="str">
        <x:v>No</x:v>
      </x:c>
      <x:c r="K31" s="4485" t="n">
        <x:v>1</x:v>
      </x:c>
      <x:c r="L31" s="4485" t="n">
        <x:v>15</x:v>
      </x:c>
      <x:c r="M31" s="3947" t="str">
        <x:v>solo si el sistema no la tiene</x:v>
      </x:c>
      <x:c r="N31" s="3947" t="str">
        <x:v>guardar local</x:v>
      </x:c>
      <x:c r="O31" s="3947" t="str">
        <x:v>RUL-005</x:v>
      </x:c>
      <x:c r="P31" s="3947" t="str">
        <x:v>BASELINE</x:v>
      </x:c>
    </x:row>
    <x:row r="32" ht="62" customHeight="1">
      <x:c r="A32" s="3947" t="str">
        <x:v>CAP-028</x:v>
      </x:c>
      <x:c r="B32" s="3947" t="str">
        <x:v>UX-03</x:v>
      </x:c>
      <x:c r="C32" s="3947" t="str">
        <x:v>Cambio de turno / handover</x:v>
      </x:c>
      <x:c r="D32" s="3947" t="str">
        <x:v>Sistema/Habilita</x:v>
      </x:c>
      <x:c r="E32" s="3947" t="str">
        <x:v>Revalidación PTW/documental</x:v>
      </x:c>
      <x:c r="F32" s="3947" t="str">
        <x:v>PTW/Evaluacion</x:v>
      </x:c>
      <x:c r="G32" s="3947" t="str">
        <x:v>Habilita</x:v>
      </x:c>
      <x:c r="H32" s="4483" t="str">
        <x:v>AUTODERIVADO</x:v>
      </x:c>
      <x:c r="I32" s="3947" t="str">
        <x:v>ninguna</x:v>
      </x:c>
      <x:c r="J32" s="3947" t="str">
        <x:v>Sí</x:v>
      </x:c>
      <x:c r="K32" s="4483" t="n">
        <x:v>0</x:v>
      </x:c>
      <x:c r="L32" s="4483" t="n">
        <x:v>0</x:v>
      </x:c>
      <x:c r="M32" s="3947" t="str">
        <x:v>se evalúa tras handover</x:v>
      </x:c>
      <x:c r="N32" s="3947" t="str">
        <x:v>bloquear reinicio si falla</x:v>
      </x:c>
      <x:c r="O32" s="3947" t="str">
        <x:v>RUL-044</x:v>
      </x:c>
      <x:c r="P32" s="3947" t="str">
        <x:v>BASELINE</x:v>
      </x:c>
    </x:row>
    <x:row r="33" ht="62" customHeight="1">
      <x:c r="A33" s="3947" t="str">
        <x:v>CAP-029</x:v>
      </x:c>
      <x:c r="B33" s="3947" t="str">
        <x:v>UX-04</x:v>
      </x:c>
      <x:c r="C33" s="3947" t="str">
        <x:v>Reemplazo persona/recurso</x:v>
      </x:c>
      <x:c r="D33" s="3947" t="str">
        <x:v>Operario/Supervisor</x:v>
      </x:c>
      <x:c r="E33" s="3947" t="str">
        <x:v>Objeto que sale</x:v>
      </x:c>
      <x:c r="F33" s="3947" t="str">
        <x:v>AsignacionPersona/Recurso</x:v>
      </x:c>
      <x:c r="G33" s="3947" t="str">
        <x:v>contexto activo</x:v>
      </x:c>
      <x:c r="H33" s="4484" t="str">
        <x:v>PRECARGADO_CONFIRMAR</x:v>
      </x:c>
      <x:c r="I33" s="3947" t="str">
        <x:v>seleccionar de lista activa</x:v>
      </x:c>
      <x:c r="J33" s="3947" t="str">
        <x:v>Sí</x:v>
      </x:c>
      <x:c r="K33" s="4485" t="n">
        <x:v>1</x:v>
      </x:c>
      <x:c r="L33" s="4485" t="n">
        <x:v>3</x:v>
      </x:c>
      <x:c r="M33" s="3947" t="str">
        <x:v>lista corta</x:v>
      </x:c>
      <x:c r="N33" s="3947" t="str">
        <x:v>—</x:v>
      </x:c>
      <x:c r="O33" s="3947" t="str">
        <x:v>RUL-025,RUL-026</x:v>
      </x:c>
      <x:c r="P33" s="3947" t="str">
        <x:v>BASELINE</x:v>
      </x:c>
    </x:row>
    <x:row r="34" ht="62" customHeight="1">
      <x:c r="A34" s="3947" t="str">
        <x:v>CAP-030</x:v>
      </x:c>
      <x:c r="B34" s="3947" t="str">
        <x:v>UX-04</x:v>
      </x:c>
      <x:c r="C34" s="3947" t="str">
        <x:v>Reemplazo persona/recurso</x:v>
      </x:c>
      <x:c r="D34" s="3947" t="str">
        <x:v>Operario/Supervisor</x:v>
      </x:c>
      <x:c r="E34" s="3947" t="str">
        <x:v>Objeto que entra</x:v>
      </x:c>
      <x:c r="F34" s="3947" t="str">
        <x:v>Persona/Recurso</x:v>
      </x:c>
      <x:c r="G34" s="3947" t="str">
        <x:v>disponibles elegibles</x:v>
      </x:c>
      <x:c r="H34" s="4484" t="str">
        <x:v>SELECT</x:v>
      </x:c>
      <x:c r="I34" s="3947" t="str">
        <x:v>seleccionar candidato</x:v>
      </x:c>
      <x:c r="J34" s="3947" t="str">
        <x:v>Sí</x:v>
      </x:c>
      <x:c r="K34" s="4485" t="n">
        <x:v>1</x:v>
      </x:c>
      <x:c r="L34" s="4485" t="n">
        <x:v>5</x:v>
      </x:c>
      <x:c r="M34" s="3947" t="str">
        <x:v>filtrar por elegibilidad</x:v>
      </x:c>
      <x:c r="N34" s="3947" t="str">
        <x:v>si ninguno: escalar</x:v>
      </x:c>
      <x:c r="O34" s="3947" t="str">
        <x:v>RUL-012,RUL-027</x:v>
      </x:c>
      <x:c r="P34" s="3947" t="str">
        <x:v>BASELINE</x:v>
      </x:c>
    </x:row>
    <x:row r="35" ht="62" customHeight="1">
      <x:c r="A35" s="3947" t="str">
        <x:v>CAP-031</x:v>
      </x:c>
      <x:c r="B35" s="3947" t="str">
        <x:v>UX-04</x:v>
      </x:c>
      <x:c r="C35" s="3947" t="str">
        <x:v>Reemplazo persona/recurso</x:v>
      </x:c>
      <x:c r="D35" s="3947" t="str">
        <x:v>Operario/Supervisor</x:v>
      </x:c>
      <x:c r="E35" s="3947" t="str">
        <x:v>Motivo reemplazo</x:v>
      </x:c>
      <x:c r="F35" s="3947" t="str">
        <x:v>EventoOperativo</x:v>
      </x:c>
      <x:c r="G35" s="3947" t="str">
        <x:v>catálogo</x:v>
      </x:c>
      <x:c r="H35" s="4484" t="str">
        <x:v>SELECT</x:v>
      </x:c>
      <x:c r="I35" s="3947" t="str">
        <x:v>1 selección</x:v>
      </x:c>
      <x:c r="J35" s="3947" t="str">
        <x:v>Sí</x:v>
      </x:c>
      <x:c r="K35" s="4485" t="n">
        <x:v>1</x:v>
      </x:c>
      <x:c r="L35" s="4485" t="n">
        <x:v>4</x:v>
      </x:c>
      <x:c r="M35" s="3947" t="str">
        <x:v>motivo estructurado</x:v>
      </x:c>
      <x:c r="N35" s="3947" t="str">
        <x:v>OTRO + breve texto</x:v>
      </x:c>
      <x:c r="O35" s="3947" t="str">
        <x:v>RUL-025,RUL-026</x:v>
      </x:c>
      <x:c r="P35" s="3947" t="str">
        <x:v>BASELINE</x:v>
      </x:c>
    </x:row>
    <x:row r="36" ht="62" customHeight="1">
      <x:c r="A36" s="3947" t="str">
        <x:v>CAP-032</x:v>
      </x:c>
      <x:c r="B36" s="3947" t="str">
        <x:v>UX-04</x:v>
      </x:c>
      <x:c r="C36" s="3947" t="str">
        <x:v>Reemplazo persona/recurso</x:v>
      </x:c>
      <x:c r="D36" s="3947" t="str">
        <x:v>Sistema</x:v>
      </x:c>
      <x:c r="E36" s="3947" t="str">
        <x:v>Timestamps intervalos</x:v>
      </x:c>
      <x:c r="F36" s="3947" t="str">
        <x:v>Asignaciones ejecución</x:v>
      </x:c>
      <x:c r="G36" s="3947" t="str">
        <x:v>reloj</x:v>
      </x:c>
      <x:c r="H36" s="4483" t="str">
        <x:v>AUTODERIVADO</x:v>
      </x:c>
      <x:c r="I36" s="3947" t="str">
        <x:v>ninguna</x:v>
      </x:c>
      <x:c r="J36" s="3947" t="str">
        <x:v>Sí</x:v>
      </x:c>
      <x:c r="K36" s="4483" t="n">
        <x:v>0</x:v>
      </x:c>
      <x:c r="L36" s="4483" t="n">
        <x:v>0</x:v>
      </x:c>
      <x:c r="M36" s="3947" t="str">
        <x:v>close/open automático</x:v>
      </x:c>
      <x:c r="N36" s="3947" t="str">
        <x:v>offline local</x:v>
      </x:c>
      <x:c r="O36" s="3947" t="str">
        <x:v>RUL-025,RUL-026</x:v>
      </x:c>
      <x:c r="P36" s="3947" t="str">
        <x:v>BASELINE</x:v>
      </x:c>
    </x:row>
    <x:row r="37" ht="62" customHeight="1">
      <x:c r="A37" s="3947" t="str">
        <x:v>CAP-033</x:v>
      </x:c>
      <x:c r="B37" s="3947" t="str">
        <x:v>UX-04</x:v>
      </x:c>
      <x:c r="C37" s="3947" t="str">
        <x:v>Reemplazo persona/recurso</x:v>
      </x:c>
      <x:c r="D37" s="3947" t="str">
        <x:v>Sistema/Habilita</x:v>
      </x:c>
      <x:c r="E37" s="3947" t="str">
        <x:v>Elegibilidad entrante</x:v>
      </x:c>
      <x:c r="F37" s="3947" t="str">
        <x:v>EvaluacionHabilitacion</x:v>
      </x:c>
      <x:c r="G37" s="3947" t="str">
        <x:v>Habilita</x:v>
      </x:c>
      <x:c r="H37" s="4483" t="str">
        <x:v>AUTODERIVADO</x:v>
      </x:c>
      <x:c r="I37" s="3947" t="str">
        <x:v>ninguna</x:v>
      </x:c>
      <x:c r="J37" s="3947" t="str">
        <x:v>Sí</x:v>
      </x:c>
      <x:c r="K37" s="4483" t="n">
        <x:v>0</x:v>
      </x:c>
      <x:c r="L37" s="4483" t="n">
        <x:v>0</x:v>
      </x:c>
      <x:c r="M37" s="3947" t="str">
        <x:v>hard gate si aplica</x:v>
      </x:c>
      <x:c r="N37" s="3947" t="str">
        <x:v>bloquear si no verificable</x:v>
      </x:c>
      <x:c r="O37" s="3947" t="str">
        <x:v>RUL-039,RUL-041</x:v>
      </x:c>
      <x:c r="P37" s="3947" t="str">
        <x:v>BASELINE</x:v>
      </x:c>
    </x:row>
    <x:row r="38" ht="62" customHeight="1">
      <x:c r="A38" s="3947" t="str">
        <x:v>CAP-034</x:v>
      </x:c>
      <x:c r="B38" s="3947" t="str">
        <x:v>UX-05</x:v>
      </x:c>
      <x:c r="C38" s="3947" t="str">
        <x:v>Cambio/confirmación ubicación</x:v>
      </x:c>
      <x:c r="D38" s="3947" t="str">
        <x:v>Operario</x:v>
      </x:c>
      <x:c r="E38" s="3947" t="str">
        <x:v>Ubicación nueva candidata</x:v>
      </x:c>
      <x:c r="F38" s="3947" t="str">
        <x:v>UbicacionTecnica</x:v>
      </x:c>
      <x:c r="G38" s="3947" t="str">
        <x:v>GPS+plan+maestro</x:v>
      </x:c>
      <x:c r="H38" s="4484" t="str">
        <x:v>PRECARGADO_CONFIRMAR</x:v>
      </x:c>
      <x:c r="I38" s="3947" t="str">
        <x:v>confirmar/corregir</x:v>
      </x:c>
      <x:c r="J38" s="3947" t="str">
        <x:v>Sí</x:v>
      </x:c>
      <x:c r="K38" s="4485" t="n">
        <x:v>1</x:v>
      </x:c>
      <x:c r="L38" s="4485" t="n">
        <x:v>4</x:v>
      </x:c>
      <x:c r="M38" s="3947" t="str">
        <x:v>candidato de alta confianza</x:v>
      </x:c>
      <x:c r="N38" s="3947" t="str">
        <x:v>lista de cercanas / búsqueda corta</x:v>
      </x:c>
      <x:c r="O38" s="3947" t="str">
        <x:v>RUL-031</x:v>
      </x:c>
      <x:c r="P38" s="3947" t="str">
        <x:v>BASELINE</x:v>
      </x:c>
    </x:row>
    <x:row r="39" ht="62" customHeight="1">
      <x:c r="A39" s="3947" t="str">
        <x:v>CAP-035</x:v>
      </x:c>
      <x:c r="B39" s="3947" t="str">
        <x:v>UX-05</x:v>
      </x:c>
      <x:c r="C39" s="3947" t="str">
        <x:v>Cambio/confirmación ubicación</x:v>
      </x:c>
      <x:c r="D39" s="3947" t="str">
        <x:v>Sistema</x:v>
      </x:c>
      <x:c r="E39" s="3947" t="str">
        <x:v>¿corta Parte?</x:v>
      </x:c>
      <x:c r="F39" s="3947" t="str">
        <x:v>ReglaCorteTipoParte</x:v>
      </x:c>
      <x:c r="G39" s="3947" t="str">
        <x:v>Rule Engine</x:v>
      </x:c>
      <x:c r="H39" s="4483" t="str">
        <x:v>AUTODERIVADO</x:v>
      </x:c>
      <x:c r="I39" s="3947" t="str">
        <x:v>ninguna</x:v>
      </x:c>
      <x:c r="J39" s="3947" t="str">
        <x:v>Sí</x:v>
      </x:c>
      <x:c r="K39" s="4483" t="n">
        <x:v>0</x:v>
      </x:c>
      <x:c r="L39" s="4483" t="n">
        <x:v>0</x:v>
      </x:c>
      <x:c r="M39" s="3947" t="str">
        <x:v>default no corta</x:v>
      </x:c>
      <x:c r="N39" s="3947" t="str">
        <x:v>si conflicto fail closed/escalar</x:v>
      </x:c>
      <x:c r="O39" s="3947" t="str">
        <x:v>RUL-003,RUL-008</x:v>
      </x:c>
      <x:c r="P39" s="3947" t="str">
        <x:v>BASELINE</x:v>
      </x:c>
    </x:row>
    <x:row r="40" ht="62" customHeight="1">
      <x:c r="A40" s="3947" t="str">
        <x:v>CAP-036</x:v>
      </x:c>
      <x:c r="B40" s="3947" t="str">
        <x:v>UX-05</x:v>
      </x:c>
      <x:c r="C40" s="3947" t="str">
        <x:v>Cambio/confirmación ubicación</x:v>
      </x:c>
      <x:c r="D40" s="3947" t="str">
        <x:v>Sistema</x:v>
      </x:c>
      <x:c r="E40" s="3947" t="str">
        <x:v>Traslado/transición</x:v>
      </x:c>
      <x:c r="F40" s="3947" t="str">
        <x:v>TransicionOperativa</x:v>
      </x:c>
      <x:c r="G40" s="3947" t="str">
        <x:v>contexto temporal</x:v>
      </x:c>
      <x:c r="H40" s="4483" t="str">
        <x:v>AUTODERIVADO_VISIBLE</x:v>
      </x:c>
      <x:c r="I40" s="3947" t="str">
        <x:v>confirmar solo si dudoso</x:v>
      </x:c>
      <x:c r="J40" s="3947" t="str">
        <x:v>Cond.</x:v>
      </x:c>
      <x:c r="K40" s="4483" t="n">
        <x:v>0</x:v>
      </x:c>
      <x:c r="L40" s="4483" t="n">
        <x:v>0</x:v>
      </x:c>
      <x:c r="M40" s="3947" t="str">
        <x:v>crear si tiempo entre scopes</x:v>
      </x:c>
      <x:c r="N40" s="3947" t="str">
        <x:v>manual exception if missing</x:v>
      </x:c>
      <x:c r="O40" s="3947" t="str">
        <x:v>RUL-030</x:v>
      </x:c>
      <x:c r="P40" s="3947" t="str">
        <x:v>BASELINE</x:v>
      </x:c>
    </x:row>
    <x:row r="41" ht="62" customHeight="1">
      <x:c r="A41" s="3947" t="str">
        <x:v>CAP-037</x:v>
      </x:c>
      <x:c r="B41" s="3947" t="str">
        <x:v>UX-06</x:v>
      </x:c>
      <x:c r="C41" s="3947" t="str">
        <x:v>Cambio categoría de tiempo</x:v>
      </x:c>
      <x:c r="D41" s="3947" t="str">
        <x:v>Operario</x:v>
      </x:c>
      <x:c r="E41" s="3947" t="str">
        <x:v>Nueva categoría tiempo</x:v>
      </x:c>
      <x:c r="F41" s="3947" t="str">
        <x:v>EventoTiempo</x:v>
      </x:c>
      <x:c r="G41" s="3947" t="str">
        <x:v>contexto + catálogo TipoParte</x:v>
      </x:c>
      <x:c r="H41" s="4484" t="str">
        <x:v>SELECT</x:v>
      </x:c>
      <x:c r="I41" s="3947" t="str">
        <x:v>1 tap si no autoderivable</x:v>
      </x:c>
      <x:c r="J41" s="3947" t="str">
        <x:v>Cond.</x:v>
      </x:c>
      <x:c r="K41" s="4485" t="n">
        <x:v>1</x:v>
      </x:c>
      <x:c r="L41" s="4485" t="n">
        <x:v>3</x:v>
      </x:c>
      <x:c r="M41" s="3947" t="str">
        <x:v>ideal: inferir por eventos</x:v>
      </x:c>
      <x:c r="N41" s="3947" t="str">
        <x:v>última categoría + confirmación</x:v>
      </x:c>
      <x:c r="O41" s="3947" t="str">
        <x:v>RUL-028,RUL-029</x:v>
      </x:c>
      <x:c r="P41" s="3947" t="str">
        <x:v>BASELINE</x:v>
      </x:c>
    </x:row>
    <x:row r="42" ht="62" customHeight="1">
      <x:c r="A42" s="3947" t="str">
        <x:v>CAP-038</x:v>
      </x:c>
      <x:c r="B42" s="3947" t="str">
        <x:v>UX-06</x:v>
      </x:c>
      <x:c r="C42" s="3947" t="str">
        <x:v>Cambio categoría de tiempo</x:v>
      </x:c>
      <x:c r="D42" s="3947" t="str">
        <x:v>Sistema</x:v>
      </x:c>
      <x:c r="E42" s="3947" t="str">
        <x:v>Fin intervalo anterior / inicio nuevo</x:v>
      </x:c>
      <x:c r="F42" s="3947" t="str">
        <x:v>EventoTiempo</x:v>
      </x:c>
      <x:c r="G42" s="3947" t="str">
        <x:v>reloj + estado</x:v>
      </x:c>
      <x:c r="H42" s="4483" t="str">
        <x:v>AUTODERIVADO</x:v>
      </x:c>
      <x:c r="I42" s="3947" t="str">
        <x:v>ninguna</x:v>
      </x:c>
      <x:c r="J42" s="3947" t="str">
        <x:v>Sí</x:v>
      </x:c>
      <x:c r="K42" s="4483" t="n">
        <x:v>0</x:v>
      </x:c>
      <x:c r="L42" s="4483" t="n">
        <x:v>0</x:v>
      </x:c>
      <x:c r="M42" s="3947" t="str">
        <x:v>sin gaps/solapes</x:v>
      </x:c>
      <x:c r="N42" s="3947" t="str">
        <x:v>cola offline</x:v>
      </x:c>
      <x:c r="O42" s="3947" t="str">
        <x:v>RUL-029</x:v>
      </x:c>
      <x:c r="P42" s="3947" t="str">
        <x:v>BASELINE</x:v>
      </x:c>
    </x:row>
    <x:row r="43" ht="62" customHeight="1">
      <x:c r="A43" s="3947" t="str">
        <x:v>CAP-039</x:v>
      </x:c>
      <x:c r="B43" s="3947" t="str">
        <x:v>UX-06</x:v>
      </x:c>
      <x:c r="C43" s="3947" t="str">
        <x:v>Cambio categoría de tiempo</x:v>
      </x:c>
      <x:c r="D43" s="3947" t="str">
        <x:v>Operario</x:v>
      </x:c>
      <x:c r="E43" s="3947" t="str">
        <x:v>Motivo espera/standby</x:v>
      </x:c>
      <x:c r="F43" s="3947" t="str">
        <x:v>EventoOperativo/EventoTiempo</x:v>
      </x:c>
      <x:c r="G43" s="3947" t="str">
        <x:v>catálogo contextual</x:v>
      </x:c>
      <x:c r="H43" s="4484" t="str">
        <x:v>SELECT</x:v>
      </x:c>
      <x:c r="I43" s="3947" t="str">
        <x:v>1 selección</x:v>
      </x:c>
      <x:c r="J43" s="3947" t="str">
        <x:v>Cond.</x:v>
      </x:c>
      <x:c r="K43" s="4485" t="n">
        <x:v>1</x:v>
      </x:c>
      <x:c r="L43" s="4485" t="n">
        <x:v>4</x:v>
      </x:c>
      <x:c r="M43" s="3947" t="str">
        <x:v>solo categorías que requieren causa</x:v>
      </x:c>
      <x:c r="N43" s="3947" t="str">
        <x:v>OTRO + voz breve</x:v>
      </x:c>
      <x:c r="O43" s="3947" t="str">
        <x:v>RUL-028</x:v>
      </x:c>
      <x:c r="P43" s="3947" t="str">
        <x:v>BASELINE</x:v>
      </x:c>
    </x:row>
    <x:row r="44" ht="62" customHeight="1">
      <x:c r="A44" s="3947" t="str">
        <x:v>CAP-040</x:v>
      </x:c>
      <x:c r="B44" s="3947" t="str">
        <x:v>UX-07</x:v>
      </x:c>
      <x:c r="C44" s="3947" t="str">
        <x:v>Medición/evidencia TP-01</x:v>
      </x:c>
      <x:c r="D44" s="3947" t="str">
        <x:v>Sistema</x:v>
      </x:c>
      <x:c r="E44" s="3947" t="str">
        <x:v>Métrica requerida</x:v>
      </x:c>
      <x:c r="F44" s="3947" t="str">
        <x:v>ReglaMedicion/Componente</x:v>
      </x:c>
      <x:c r="G44" s="3947" t="str">
        <x:v>servicio/TipoParte/item operativo</x:v>
      </x:c>
      <x:c r="H44" s="4483" t="str">
        <x:v>AUTODERIVADO_VISIBLE</x:v>
      </x:c>
      <x:c r="I44" s="3947" t="str">
        <x:v>ver qué medir</x:v>
      </x:c>
      <x:c r="J44" s="3947" t="str">
        <x:v>Cond.</x:v>
      </x:c>
      <x:c r="K44" s="4483" t="n">
        <x:v>0</x:v>
      </x:c>
      <x:c r="L44" s="4483" t="n">
        <x:v>0</x:v>
      </x:c>
      <x:c r="M44" s="3947" t="str">
        <x:v>solo métricas aplicables</x:v>
      </x:c>
      <x:c r="N44" s="3947" t="str">
        <x:v>no mostrar resto</x:v>
      </x:c>
      <x:c r="O44" s="3947" t="str">
        <x:v>RUL-032</x:v>
      </x:c>
      <x:c r="P44" s="3947" t="str">
        <x:v>BASELINE</x:v>
      </x:c>
    </x:row>
    <x:row r="45" ht="62" customHeight="1">
      <x:c r="A45" s="3947" t="str">
        <x:v>CAP-041</x:v>
      </x:c>
      <x:c r="B45" s="3947" t="str">
        <x:v>UX-07</x:v>
      </x:c>
      <x:c r="C45" s="3947" t="str">
        <x:v>Medición/evidencia TP-01</x:v>
      </x:c>
      <x:c r="D45" s="3947" t="str">
        <x:v>Operario</x:v>
      </x:c>
      <x:c r="E45" s="3947" t="str">
        <x:v>Valor medido</x:v>
      </x:c>
      <x:c r="F45" s="3947" t="str">
        <x:v>EjecucionMedicion</x:v>
      </x:c>
      <x:c r="G45" s="3947" t="str">
        <x:v>medición física</x:v>
      </x:c>
      <x:c r="H45" s="4485" t="str">
        <x:v>INPUT_HUMANO</x:v>
      </x:c>
      <x:c r="I45" s="3947" t="str">
        <x:v>número/scan según origen</x:v>
      </x:c>
      <x:c r="J45" s="3947" t="str">
        <x:v>Cond.</x:v>
      </x:c>
      <x:c r="K45" s="4485" t="n">
        <x:v>1</x:v>
      </x:c>
      <x:c r="L45" s="4485" t="n">
        <x:v>8</x:v>
      </x:c>
      <x:c r="M45" s="3947" t="str">
        <x:v>humano si no hay fuente automática</x:v>
      </x:c>
      <x:c r="N45" s="3947" t="str">
        <x:v>guardar local</x:v>
      </x:c>
      <x:c r="O45" s="3947" t="str">
        <x:v>RUL-032</x:v>
      </x:c>
      <x:c r="P45" s="3947" t="str">
        <x:v>BASELINE</x:v>
      </x:c>
    </x:row>
    <x:row r="46" ht="62" customHeight="1">
      <x:c r="A46" s="3947" t="str">
        <x:v>CAP-042</x:v>
      </x:c>
      <x:c r="B46" s="3947" t="str">
        <x:v>UX-07</x:v>
      </x:c>
      <x:c r="C46" s="3947" t="str">
        <x:v>Medición/evidencia TP-01</x:v>
      </x:c>
      <x:c r="D46" s="3947" t="str">
        <x:v>Sistema</x:v>
      </x:c>
      <x:c r="E46" s="3947" t="str">
        <x:v>Unidad de medida</x:v>
      </x:c>
      <x:c r="F46" s="3947" t="str">
        <x:v>UnidadMedida</x:v>
      </x:c>
      <x:c r="G46" s="3947" t="str">
        <x:v>configuración de métrica</x:v>
      </x:c>
      <x:c r="H46" s="4483" t="str">
        <x:v>AUTODERIVADO</x:v>
      </x:c>
      <x:c r="I46" s="3947" t="str">
        <x:v>ninguna</x:v>
      </x:c>
      <x:c r="J46" s="3947" t="str">
        <x:v>Cond.</x:v>
      </x:c>
      <x:c r="K46" s="4483" t="n">
        <x:v>0</x:v>
      </x:c>
      <x:c r="L46" s="4483" t="n">
        <x:v>0</x:v>
      </x:c>
      <x:c r="M46" s="3947" t="str">
        <x:v>no pedir UM al operario</x:v>
      </x:c>
      <x:c r="N46" s="3947" t="str">
        <x:v>—</x:v>
      </x:c>
      <x:c r="O46" s="3947" t="str">
        <x:v>RUL-032</x:v>
      </x:c>
      <x:c r="P46" s="3947" t="str">
        <x:v>BASELINE</x:v>
      </x:c>
    </x:row>
    <x:row r="47" ht="62" customHeight="1">
      <x:c r="A47" s="3947" t="str">
        <x:v>CAP-043</x:v>
      </x:c>
      <x:c r="B47" s="3947" t="str">
        <x:v>UX-07</x:v>
      </x:c>
      <x:c r="C47" s="3947" t="str">
        <x:v>Medición/evidencia TP-01</x:v>
      </x:c>
      <x:c r="D47" s="3947" t="str">
        <x:v>Operario</x:v>
      </x:c>
      <x:c r="E47" s="3947" t="str">
        <x:v>Foto/evidencia</x:v>
      </x:c>
      <x:c r="F47" s="3947" t="str">
        <x:v>Evidencia</x:v>
      </x:c>
      <x:c r="G47" s="3947" t="str">
        <x:v>cámara/archivo</x:v>
      </x:c>
      <x:c r="H47" s="4485" t="str">
        <x:v>EVIDENCE</x:v>
      </x:c>
      <x:c r="I47" s="3947" t="str">
        <x:v>capturar si requerida</x:v>
      </x:c>
      <x:c r="J47" s="3947" t="str">
        <x:v>Cond.</x:v>
      </x:c>
      <x:c r="K47" s="4485" t="n">
        <x:v>1</x:v>
      </x:c>
      <x:c r="L47" s="4485" t="n">
        <x:v>10</x:v>
      </x:c>
      <x:c r="M47" s="3947" t="str">
        <x:v>solo si regla lo exige</x:v>
      </x:c>
      <x:c r="N47" s="3947" t="str">
        <x:v>guardar local/hash</x:v>
      </x:c>
      <x:c r="O47" s="3947" t="str">
        <x:v>RUL-032</x:v>
      </x:c>
      <x:c r="P47" s="3947" t="str">
        <x:v>BASELINE</x:v>
      </x:c>
    </x:row>
    <x:row r="48" ht="62" customHeight="1">
      <x:c r="A48" s="3947" t="str">
        <x:v>CAP-044</x:v>
      </x:c>
      <x:c r="B48" s="3947" t="str">
        <x:v>UX-07</x:v>
      </x:c>
      <x:c r="C48" s="3947" t="str">
        <x:v>Medición/evidencia TP-01</x:v>
      </x:c>
      <x:c r="D48" s="3947" t="str">
        <x:v>Operario</x:v>
      </x:c>
      <x:c r="E48" s="3947" t="str">
        <x:v>Observación excepcional</x:v>
      </x:c>
      <x:c r="F48" s="3947" t="str">
        <x:v>EventoOperativo</x:v>
      </x:c>
      <x:c r="G48" s="3947" t="str">
        <x:v>persona</x:v>
      </x:c>
      <x:c r="H48" s="4481" t="str">
        <x:v>EXCEPCION_ONLY</x:v>
      </x:c>
      <x:c r="I48" s="3947" t="str">
        <x:v>voz/texto corto</x:v>
      </x:c>
      <x:c r="J48" s="3947" t="str">
        <x:v>No</x:v>
      </x:c>
      <x:c r="K48" s="4485" t="n">
        <x:v>1</x:v>
      </x:c>
      <x:c r="L48" s="4485" t="n">
        <x:v>15</x:v>
      </x:c>
      <x:c r="M48" s="3947" t="str">
        <x:v>no pedir observación obligatoria genérica</x:v>
      </x:c>
      <x:c r="N48" s="3947" t="str">
        <x:v>offline voice/text</x:v>
      </x:c>
      <x:c r="O48" s="3947" t="str">
        <x:v>RUL-032</x:v>
      </x:c>
      <x:c r="P48" s="3947" t="str">
        <x:v>BASELINE</x:v>
      </x:c>
    </x:row>
    <x:row r="49" ht="62" customHeight="1">
      <x:c r="A49" s="3947" t="str">
        <x:v>CAP-045</x:v>
      </x:c>
      <x:c r="B49" s="3947" t="str">
        <x:v>UX-08</x:v>
      </x:c>
      <x:c r="C49" s="3947" t="str">
        <x:v>Cierre UnidadEjecucion</x:v>
      </x:c>
      <x:c r="D49" s="3947" t="str">
        <x:v>Sistema</x:v>
      </x:c>
      <x:c r="E49" s="3947" t="str">
        <x:v>Tiempos abiertos/inconsistencias</x:v>
      </x:c>
      <x:c r="F49" s="3947" t="str">
        <x:v>EventoTiempo</x:v>
      </x:c>
      <x:c r="G49" s="3947" t="str">
        <x:v>reglas + intervalos</x:v>
      </x:c>
      <x:c r="H49" s="4483" t="str">
        <x:v>AUTODERIVADO_VISIBLE</x:v>
      </x:c>
      <x:c r="I49" s="3947" t="str">
        <x:v>resolver solo excepción</x:v>
      </x:c>
      <x:c r="J49" s="3947" t="str">
        <x:v>Sí</x:v>
      </x:c>
      <x:c r="K49" s="4483" t="n">
        <x:v>0</x:v>
      </x:c>
      <x:c r="L49" s="4483" t="n">
        <x:v>0</x:v>
      </x:c>
      <x:c r="M49" s="3947" t="str">
        <x:v>check automático</x:v>
      </x:c>
      <x:c r="N49" s="3947" t="str">
        <x:v>mostrar blocker accionable</x:v>
      </x:c>
      <x:c r="O49" s="3947" t="str">
        <x:v>RUL-033</x:v>
      </x:c>
      <x:c r="P49" s="3947" t="str">
        <x:v>BASELINE</x:v>
      </x:c>
    </x:row>
    <x:row r="50" ht="62" customHeight="1">
      <x:c r="A50" s="3947" t="str">
        <x:v>CAP-046</x:v>
      </x:c>
      <x:c r="B50" s="3947" t="str">
        <x:v>UX-08</x:v>
      </x:c>
      <x:c r="C50" s="3947" t="str">
        <x:v>Cierre UnidadEjecucion</x:v>
      </x:c>
      <x:c r="D50" s="3947" t="str">
        <x:v>Sistema</x:v>
      </x:c>
      <x:c r="E50" s="3947" t="str">
        <x:v>Mediciones/evidencias faltantes</x:v>
      </x:c>
      <x:c r="F50" s="3947" t="str">
        <x:v>EjecucionMedicion/Evidencia</x:v>
      </x:c>
      <x:c r="G50" s="3947" t="str">
        <x:v>componentes aplicables</x:v>
      </x:c>
      <x:c r="H50" s="4483" t="str">
        <x:v>AUTODERIVADO_VISIBLE</x:v>
      </x:c>
      <x:c r="I50" s="3947" t="str">
        <x:v>capturar solo faltante</x:v>
      </x:c>
      <x:c r="J50" s="3947" t="str">
        <x:v>Cond.</x:v>
      </x:c>
      <x:c r="K50" s="4483" t="n">
        <x:v>0</x:v>
      </x:c>
      <x:c r="L50" s="4483" t="n">
        <x:v>0</x:v>
      </x:c>
      <x:c r="M50" s="3947" t="str">
        <x:v>check contextual</x:v>
      </x:c>
      <x:c r="N50" s="3947" t="str">
        <x:v>lista mínima</x:v>
      </x:c>
      <x:c r="O50" s="3947" t="str">
        <x:v>RUL-033</x:v>
      </x:c>
      <x:c r="P50" s="3947" t="str">
        <x:v>BASELINE</x:v>
      </x:c>
    </x:row>
    <x:row r="51" ht="62" customHeight="1">
      <x:c r="A51" s="3947" t="str">
        <x:v>CAP-047</x:v>
      </x:c>
      <x:c r="B51" s="3947" t="str">
        <x:v>UX-08</x:v>
      </x:c>
      <x:c r="C51" s="3947" t="str">
        <x:v>Cierre UnidadEjecucion</x:v>
      </x:c>
      <x:c r="D51" s="3947" t="str">
        <x:v>Operario</x:v>
      </x:c>
      <x:c r="E51" s="3947" t="str">
        <x:v>Resultado real</x:v>
      </x:c>
      <x:c r="F51" s="3947" t="str">
        <x:v>UnidadEjecucion</x:v>
      </x:c>
      <x:c r="G51" s="3947" t="str">
        <x:v>catálogo resultado</x:v>
      </x:c>
      <x:c r="H51" s="4484" t="str">
        <x:v>SELECT</x:v>
      </x:c>
      <x:c r="I51" s="3947" t="str">
        <x:v>Completada / no realizada / otro</x:v>
      </x:c>
      <x:c r="J51" s="3947" t="str">
        <x:v>Sí</x:v>
      </x:c>
      <x:c r="K51" s="4485" t="n">
        <x:v>1</x:v>
      </x:c>
      <x:c r="L51" s="4485" t="n">
        <x:v>4</x:v>
      </x:c>
      <x:c r="M51" s="3947" t="str">
        <x:v>1 selección</x:v>
      </x:c>
      <x:c r="N51" s="3947" t="str">
        <x:v>—</x:v>
      </x:c>
      <x:c r="O51" s="3947" t="str">
        <x:v>RUL-033</x:v>
      </x:c>
      <x:c r="P51" s="3947" t="str">
        <x:v>BASELINE</x:v>
      </x:c>
    </x:row>
    <x:row r="52" ht="62" customHeight="1">
      <x:c r="A52" s="3947" t="str">
        <x:v>CAP-048</x:v>
      </x:c>
      <x:c r="B52" s="3947" t="str">
        <x:v>UX-08</x:v>
      </x:c>
      <x:c r="C52" s="3947" t="str">
        <x:v>Cierre UnidadEjecucion</x:v>
      </x:c>
      <x:c r="D52" s="3947" t="str">
        <x:v>Operario</x:v>
      </x:c>
      <x:c r="E52" s="3947" t="str">
        <x:v>Causa si no realizada/desvío</x:v>
      </x:c>
      <x:c r="F52" s="3947" t="str">
        <x:v>EventoOperativo</x:v>
      </x:c>
      <x:c r="G52" s="3947" t="str">
        <x:v>catálogo</x:v>
      </x:c>
      <x:c r="H52" s="4484" t="str">
        <x:v>SELECT</x:v>
      </x:c>
      <x:c r="I52" s="3947" t="str">
        <x:v>1 selección</x:v>
      </x:c>
      <x:c r="J52" s="3947" t="str">
        <x:v>Cond.</x:v>
      </x:c>
      <x:c r="K52" s="4485" t="n">
        <x:v>1</x:v>
      </x:c>
      <x:c r="L52" s="4485" t="n">
        <x:v>4</x:v>
      </x:c>
      <x:c r="M52" s="3947" t="str">
        <x:v>condicional</x:v>
      </x:c>
      <x:c r="N52" s="3947" t="str">
        <x:v>OTRO + voz breve</x:v>
      </x:c>
      <x:c r="O52" s="3947" t="str">
        <x:v>RUL-019,RUL-033</x:v>
      </x:c>
      <x:c r="P52" s="3947" t="str">
        <x:v>BASELINE</x:v>
      </x:c>
    </x:row>
    <x:row r="53" ht="62" customHeight="1">
      <x:c r="A53" s="3947" t="str">
        <x:v>CAP-049</x:v>
      </x:c>
      <x:c r="B53" s="3947" t="str">
        <x:v>UX-08</x:v>
      </x:c>
      <x:c r="C53" s="3947" t="str">
        <x:v>Cierre UnidadEjecucion</x:v>
      </x:c>
      <x:c r="D53" s="3947" t="str">
        <x:v>Operario</x:v>
      </x:c>
      <x:c r="E53" s="3947" t="str">
        <x:v>Confirmar cierre</x:v>
      </x:c>
      <x:c r="F53" s="3947" t="str">
        <x:v>UnidadEjecucion</x:v>
      </x:c>
      <x:c r="G53" s="3947" t="str">
        <x:v>State Machine</x:v>
      </x:c>
      <x:c r="H53" s="4485" t="str">
        <x:v>INPUT_HUMANO</x:v>
      </x:c>
      <x:c r="I53" s="3947" t="str">
        <x:v>tap CERRAR</x:v>
      </x:c>
      <x:c r="J53" s="3947" t="str">
        <x:v>Sí</x:v>
      </x:c>
      <x:c r="K53" s="4485" t="n">
        <x:v>1</x:v>
      </x:c>
      <x:c r="L53" s="4485" t="n">
        <x:v>2</x:v>
      </x:c>
      <x:c r="M53" s="3947" t="str">
        <x:v>gates ya evaluados</x:v>
      </x:c>
      <x:c r="N53" s="3947" t="str">
        <x:v>offline idempotente</x:v>
      </x:c>
      <x:c r="O53" s="3947" t="str">
        <x:v>RUL-033</x:v>
      </x:c>
      <x:c r="P53" s="3947" t="str">
        <x:v>BASELINE</x:v>
      </x:c>
    </x:row>
    <x:row r="54" ht="62" customHeight="1">
      <x:c r="A54" s="3947" t="str">
        <x:v>CAP-050</x:v>
      </x:c>
      <x:c r="B54" s="3947" t="str">
        <x:v>UX-08</x:v>
      </x:c>
      <x:c r="C54" s="3947" t="str">
        <x:v>Cierre UnidadEjecucion</x:v>
      </x:c>
      <x:c r="D54" s="3947" t="str">
        <x:v>Sistema</x:v>
      </x:c>
      <x:c r="E54" s="3947" t="str">
        <x:v>Imputación/comercial faltante</x:v>
      </x:c>
      <x:c r="F54" s="3947" t="str">
        <x:v>ImputacionEjecucion</x:v>
      </x:c>
      <x:c r="G54" s="3947" t="str">
        <x:v>motor contractual</x:v>
      </x:c>
      <x:c r="H54" s="4481" t="str">
        <x:v>BACK_OFFICE</x:v>
      </x:c>
      <x:c r="I54" s="3947" t="str">
        <x:v>ninguna</x:v>
      </x:c>
      <x:c r="J54" s="3947" t="str">
        <x:v>No</x:v>
      </x:c>
      <x:c r="K54" s="4483" t="n">
        <x:v>0</x:v>
      </x:c>
      <x:c r="L54" s="4483" t="n">
        <x:v>0</x:v>
      </x:c>
      <x:c r="M54" s="3947" t="str">
        <x:v>no frenar cierre operacional</x:v>
      </x:c>
      <x:c r="N54" s="3947" t="str">
        <x:v>reconciliación posterior</x:v>
      </x:c>
      <x:c r="O54" s="3947" t="str">
        <x:v>RUL-038</x:v>
      </x:c>
      <x:c r="P54" s="3947" t="str">
        <x:v>BASELINE</x:v>
      </x:c>
    </x:row>
    <x:row r="55" ht="62" customHeight="1">
      <x:c r="A55" s="3947" t="str">
        <x:v>CAP-051</x:v>
      </x:c>
      <x:c r="B55" s="3947" t="str">
        <x:v>UX-09</x:v>
      </x:c>
      <x:c r="C55" s="3947" t="str">
        <x:v>Cierre Parte</x:v>
      </x:c>
      <x:c r="D55" s="3947" t="str">
        <x:v>Sistema</x:v>
      </x:c>
      <x:c r="E55" s="3947" t="str">
        <x:v>Todas UE terminales</x:v>
      </x:c>
      <x:c r="F55" s="3947" t="str">
        <x:v>Parte/UE</x:v>
      </x:c>
      <x:c r="G55" s="3947" t="str">
        <x:v>state machine</x:v>
      </x:c>
      <x:c r="H55" s="4483" t="str">
        <x:v>AUTODERIVADO_VISIBLE</x:v>
      </x:c>
      <x:c r="I55" s="3947" t="str">
        <x:v>ver resumen</x:v>
      </x:c>
      <x:c r="J55" s="3947" t="str">
        <x:v>Sí</x:v>
      </x:c>
      <x:c r="K55" s="4483" t="n">
        <x:v>0</x:v>
      </x:c>
      <x:c r="L55" s="4483" t="n">
        <x:v>0</x:v>
      </x:c>
      <x:c r="M55" s="3947" t="str">
        <x:v>hard gate automático</x:v>
      </x:c>
      <x:c r="N55" s="3947" t="str">
        <x:v>—</x:v>
      </x:c>
      <x:c r="O55" s="3947" t="str">
        <x:v>RUL-034</x:v>
      </x:c>
      <x:c r="P55" s="3947" t="str">
        <x:v>BASELINE</x:v>
      </x:c>
    </x:row>
    <x:row r="56" ht="62" customHeight="1">
      <x:c r="A56" s="3947" t="str">
        <x:v>CAP-052</x:v>
      </x:c>
      <x:c r="B56" s="3947" t="str">
        <x:v>UX-09</x:v>
      </x:c>
      <x:c r="C56" s="3947" t="str">
        <x:v>Cierre Parte</x:v>
      </x:c>
      <x:c r="D56" s="3947" t="str">
        <x:v>Sistema</x:v>
      </x:c>
      <x:c r="E56" s="3947" t="str">
        <x:v>Intervalos/personas/recursos abiertos</x:v>
      </x:c>
      <x:c r="F56" s="3947" t="str">
        <x:v>Asignaciones/Eventos</x:v>
      </x:c>
      <x:c r="G56" s="3947" t="str">
        <x:v>motor temporal</x:v>
      </x:c>
      <x:c r="H56" s="4483" t="str">
        <x:v>AUTODERIVADO_VISIBLE</x:v>
      </x:c>
      <x:c r="I56" s="3947" t="str">
        <x:v>resolver solo blocker</x:v>
      </x:c>
      <x:c r="J56" s="3947" t="str">
        <x:v>Sí</x:v>
      </x:c>
      <x:c r="K56" s="4483" t="n">
        <x:v>0</x:v>
      </x:c>
      <x:c r="L56" s="4483" t="n">
        <x:v>0</x:v>
      </x:c>
      <x:c r="M56" s="3947" t="str">
        <x:v>check automático</x:v>
      </x:c>
      <x:c r="N56" s="3947" t="str">
        <x:v>—</x:v>
      </x:c>
      <x:c r="O56" s="3947" t="str">
        <x:v>RUL-034</x:v>
      </x:c>
      <x:c r="P56" s="3947" t="str">
        <x:v>BASELINE</x:v>
      </x:c>
    </x:row>
    <x:row r="57" ht="62" customHeight="1">
      <x:c r="A57" s="3947" t="str">
        <x:v>CAP-053</x:v>
      </x:c>
      <x:c r="B57" s="3947" t="str">
        <x:v>UX-09</x:v>
      </x:c>
      <x:c r="C57" s="3947" t="str">
        <x:v>Cierre Parte</x:v>
      </x:c>
      <x:c r="D57" s="3947" t="str">
        <x:v>Supervisor/Operario</x:v>
      </x:c>
      <x:c r="E57" s="3947" t="str">
        <x:v>Confirmar cierre operativo</x:v>
      </x:c>
      <x:c r="F57" s="3947" t="str">
        <x:v>Parte</x:v>
      </x:c>
      <x:c r="G57" s="3947" t="str">
        <x:v>State Machine</x:v>
      </x:c>
      <x:c r="H57" s="4485" t="str">
        <x:v>INPUT_HUMANO</x:v>
      </x:c>
      <x:c r="I57" s="3947" t="str">
        <x:v>tap CERRAR</x:v>
      </x:c>
      <x:c r="J57" s="3947" t="str">
        <x:v>Sí</x:v>
      </x:c>
      <x:c r="K57" s="4485" t="n">
        <x:v>1</x:v>
      </x:c>
      <x:c r="L57" s="4485" t="n">
        <x:v>2</x:v>
      </x:c>
      <x:c r="M57" s="3947" t="str">
        <x:v>no pide recapturar resumen</x:v>
      </x:c>
      <x:c r="N57" s="3947" t="str">
        <x:v>offline idempotente</x:v>
      </x:c>
      <x:c r="O57" s="3947" t="str">
        <x:v>RUL-034</x:v>
      </x:c>
      <x:c r="P57" s="3947" t="str">
        <x:v>BASELINE</x:v>
      </x:c>
    </x:row>
    <x:row r="58" ht="62" customHeight="1">
      <x:c r="A58" s="3947" t="str">
        <x:v>CAP-054</x:v>
      </x:c>
      <x:c r="B58" s="3947" t="str">
        <x:v>UX-09</x:v>
      </x:c>
      <x:c r="C58" s="3947" t="str">
        <x:v>Cierre Parte</x:v>
      </x:c>
      <x:c r="D58" s="3947" t="str">
        <x:v>Sistema</x:v>
      </x:c>
      <x:c r="E58" s="3947" t="str">
        <x:v>Certificación</x:v>
      </x:c>
      <x:c r="F58" s="3947" t="str">
        <x:v>UnidadComercial</x:v>
      </x:c>
      <x:c r="G58" s="3947" t="str">
        <x:v>motor comercial</x:v>
      </x:c>
      <x:c r="H58" s="4481" t="str">
        <x:v>BACK_OFFICE</x:v>
      </x:c>
      <x:c r="I58" s="3947" t="str">
        <x:v>ninguna</x:v>
      </x:c>
      <x:c r="J58" s="3947" t="str">
        <x:v>No</x:v>
      </x:c>
      <x:c r="K58" s="4483" t="n">
        <x:v>0</x:v>
      </x:c>
      <x:c r="L58" s="4483" t="n">
        <x:v>0</x:v>
      </x:c>
      <x:c r="M58" s="3947" t="str">
        <x:v>ocurre downstream</x:v>
      </x:c>
      <x:c r="N58" s="3947" t="str">
        <x:v>espera contexto contractual</x:v>
      </x:c>
      <x:c r="O58" s="3947" t="str">
        <x:v>RUL-059</x:v>
      </x:c>
      <x:c r="P58" s="3947" t="str">
        <x:v>BASELINE</x:v>
      </x:c>
    </x:row>
    <x:row r="59" ht="62" customHeight="1">
      <x:c r="A59" s="3947" t="str">
        <x:v>CAP-055</x:v>
      </x:c>
      <x:c r="B59" s="3947" t="str">
        <x:v>UX-10</x:v>
      </x:c>
      <x:c r="C59" s="3947" t="str">
        <x:v>TP-02 movimiento</x:v>
      </x:c>
      <x:c r="D59" s="3947" t="str">
        <x:v>Operario</x:v>
      </x:c>
      <x:c r="E59" s="3947" t="str">
        <x:v>Origen</x:v>
      </x:c>
      <x:c r="F59" s="3947" t="str">
        <x:v>EjecucionUbicacion</x:v>
      </x:c>
      <x:c r="G59" s="3947" t="str">
        <x:v>plan/última ubicación/GPS</x:v>
      </x:c>
      <x:c r="H59" s="4484" t="str">
        <x:v>PRECARGADO_CONFIRMAR</x:v>
      </x:c>
      <x:c r="I59" s="3947" t="str">
        <x:v>confirmar</x:v>
      </x:c>
      <x:c r="J59" s="3947" t="str">
        <x:v>Sí</x:v>
      </x:c>
      <x:c r="K59" s="4485" t="n">
        <x:v>1</x:v>
      </x:c>
      <x:c r="L59" s="4485" t="n">
        <x:v>3</x:v>
      </x:c>
      <x:c r="M59" s="3947" t="str">
        <x:v>rol origen</x:v>
      </x:c>
      <x:c r="N59" s="3947" t="str">
        <x:v>selección cercanas</x:v>
      </x:c>
      <x:c r="O59" s="3947" t="str">
        <x:v>RUL-031</x:v>
      </x:c>
      <x:c r="P59" s="3947" t="str">
        <x:v>BASELINE</x:v>
      </x:c>
    </x:row>
    <x:row r="60" ht="62" customHeight="1">
      <x:c r="A60" s="3947" t="str">
        <x:v>CAP-056</x:v>
      </x:c>
      <x:c r="B60" s="3947" t="str">
        <x:v>UX-10</x:v>
      </x:c>
      <x:c r="C60" s="3947" t="str">
        <x:v>TP-02 movimiento</x:v>
      </x:c>
      <x:c r="D60" s="3947" t="str">
        <x:v>Operario</x:v>
      </x:c>
      <x:c r="E60" s="3947" t="str">
        <x:v>Destino</x:v>
      </x:c>
      <x:c r="F60" s="3947" t="str">
        <x:v>EjecucionUbicacion</x:v>
      </x:c>
      <x:c r="G60" s="3947" t="str">
        <x:v>plan</x:v>
      </x:c>
      <x:c r="H60" s="4484" t="str">
        <x:v>PRECARGADO_CONFIRMAR</x:v>
      </x:c>
      <x:c r="I60" s="3947" t="str">
        <x:v>confirmar/corregir</x:v>
      </x:c>
      <x:c r="J60" s="3947" t="str">
        <x:v>Sí</x:v>
      </x:c>
      <x:c r="K60" s="4485" t="n">
        <x:v>1</x:v>
      </x:c>
      <x:c r="L60" s="4485" t="n">
        <x:v>3</x:v>
      </x:c>
      <x:c r="M60" s="3947" t="str">
        <x:v>rol destino</x:v>
      </x:c>
      <x:c r="N60" s="3947" t="str">
        <x:v>buscar maestro</x:v>
      </x:c>
      <x:c r="O60" s="3947" t="str">
        <x:v>RUL-031</x:v>
      </x:c>
      <x:c r="P60" s="3947" t="str">
        <x:v>BASELINE</x:v>
      </x:c>
    </x:row>
    <x:row r="61" ht="62" customHeight="1">
      <x:c r="A61" s="3947" t="str">
        <x:v>CAP-057</x:v>
      </x:c>
      <x:c r="B61" s="3947" t="str">
        <x:v>UX-10</x:v>
      </x:c>
      <x:c r="C61" s="3947" t="str">
        <x:v>TP-02 movimiento</x:v>
      </x:c>
      <x:c r="D61" s="3947" t="str">
        <x:v>Sistema</x:v>
      </x:c>
      <x:c r="E61" s="3947" t="str">
        <x:v>Recurso/chofer</x:v>
      </x:c>
      <x:c r="F61" s="3947" t="str">
        <x:v>Asignaciones ejecución</x:v>
      </x:c>
      <x:c r="G61" s="3947" t="str">
        <x:v>parte/contexto</x:v>
      </x:c>
      <x:c r="H61" s="4483" t="str">
        <x:v>AUTODERIVADO</x:v>
      </x:c>
      <x:c r="I61" s="3947" t="str">
        <x:v>ninguna</x:v>
      </x:c>
      <x:c r="J61" s="3947" t="str">
        <x:v>Sí</x:v>
      </x:c>
      <x:c r="K61" s="4483" t="n">
        <x:v>0</x:v>
      </x:c>
      <x:c r="L61" s="4483" t="n">
        <x:v>0</x:v>
      </x:c>
      <x:c r="M61" s="3947" t="str">
        <x:v>sesión+recurso activo</x:v>
      </x:c>
      <x:c r="N61" s="3947" t="str">
        <x:v>selección si excepción</x:v>
      </x:c>
      <x:c r="O61" s="3947" t="str">
        <x:v>RUL-024,RUL-026</x:v>
      </x:c>
      <x:c r="P61" s="3947" t="str">
        <x:v>BASELINE</x:v>
      </x:c>
    </x:row>
    <x:row r="62" ht="62" customHeight="1">
      <x:c r="A62" s="3947" t="str">
        <x:v>CAP-058</x:v>
      </x:c>
      <x:c r="B62" s="3947" t="str">
        <x:v>UX-10</x:v>
      </x:c>
      <x:c r="C62" s="3947" t="str">
        <x:v>TP-02 movimiento</x:v>
      </x:c>
      <x:c r="D62" s="3947" t="str">
        <x:v>Operario</x:v>
      </x:c>
      <x:c r="E62" s="3947" t="str">
        <x:v>Carga/tipo/cantidad si aplica</x:v>
      </x:c>
      <x:c r="F62" s="3947" t="str">
        <x:v>EjecucionMedicion/Componente</x:v>
      </x:c>
      <x:c r="G62" s="3947" t="str">
        <x:v>plan o realidad</x:v>
      </x:c>
      <x:c r="H62" s="4484" t="str">
        <x:v>PRECARGADO_CONFIRMAR</x:v>
      </x:c>
      <x:c r="I62" s="3947" t="str">
        <x:v>confirmar o ingresar diferencia</x:v>
      </x:c>
      <x:c r="J62" s="3947" t="str">
        <x:v>Cond.</x:v>
      </x:c>
      <x:c r="K62" s="4485" t="n">
        <x:v>1</x:v>
      </x:c>
      <x:c r="L62" s="4485" t="n">
        <x:v>6</x:v>
      </x:c>
      <x:c r="M62" s="3947" t="str">
        <x:v>plan como candidato, realidad manda</x:v>
      </x:c>
      <x:c r="N62" s="3947" t="str">
        <x:v>input manual si cambia</x:v>
      </x:c>
      <x:c r="O62" s="3947" t="str">
        <x:v>RUL-032</x:v>
      </x:c>
      <x:c r="P62" s="3947" t="str">
        <x:v>BASELINE</x:v>
      </x:c>
    </x:row>
    <x:row r="63" ht="62" customHeight="1">
      <x:c r="A63" s="3947" t="str">
        <x:v>CAP-059</x:v>
      </x:c>
      <x:c r="B63" s="3947" t="str">
        <x:v>UX-10</x:v>
      </x:c>
      <x:c r="C63" s="3947" t="str">
        <x:v>TP-02 movimiento</x:v>
      </x:c>
      <x:c r="D63" s="3947" t="str">
        <x:v>Operario</x:v>
      </x:c>
      <x:c r="E63" s="3947" t="str">
        <x:v>Iniciar movimiento</x:v>
      </x:c>
      <x:c r="F63" s="3947" t="str">
        <x:v>UE/Event</x:v>
      </x:c>
      <x:c r="G63" s="3947" t="str">
        <x:v>state machine</x:v>
      </x:c>
      <x:c r="H63" s="4485" t="str">
        <x:v>INPUT_HUMANO</x:v>
      </x:c>
      <x:c r="I63" s="3947" t="str">
        <x:v>tap</x:v>
      </x:c>
      <x:c r="J63" s="3947" t="str">
        <x:v>Sí</x:v>
      </x:c>
      <x:c r="K63" s="4485" t="n">
        <x:v>1</x:v>
      </x:c>
      <x:c r="L63" s="4485" t="n">
        <x:v>2</x:v>
      </x:c>
      <x:c r="M63" s="3947" t="str">
        <x:v>—</x:v>
      </x:c>
      <x:c r="N63" s="3947" t="str">
        <x:v>offline</x:v>
      </x:c>
      <x:c r="O63" s="3947" t="str">
        <x:v>RUL-023</x:v>
      </x:c>
      <x:c r="P63" s="3947" t="str">
        <x:v>BASELINE</x:v>
      </x:c>
    </x:row>
    <x:row r="64" ht="62" customHeight="1">
      <x:c r="A64" s="3947" t="str">
        <x:v>CAP-060</x:v>
      </x:c>
      <x:c r="B64" s="3947" t="str">
        <x:v>UX-10</x:v>
      </x:c>
      <x:c r="C64" s="3947" t="str">
        <x:v>TP-02 movimiento</x:v>
      </x:c>
      <x:c r="D64" s="3947" t="str">
        <x:v>Operario</x:v>
      </x:c>
      <x:c r="E64" s="3947" t="str">
        <x:v>Finalizar movimiento</x:v>
      </x:c>
      <x:c r="F64" s="3947" t="str">
        <x:v>UE/Event</x:v>
      </x:c>
      <x:c r="G64" s="3947" t="str">
        <x:v>state machine/GPS</x:v>
      </x:c>
      <x:c r="H64" s="4485" t="str">
        <x:v>INPUT_HUMANO</x:v>
      </x:c>
      <x:c r="I64" s="3947" t="str">
        <x:v>tap confirmar llegada</x:v>
      </x:c>
      <x:c r="J64" s="3947" t="str">
        <x:v>Sí</x:v>
      </x:c>
      <x:c r="K64" s="4485" t="n">
        <x:v>1</x:v>
      </x:c>
      <x:c r="L64" s="4485" t="n">
        <x:v>3</x:v>
      </x:c>
      <x:c r="M64" s="3947" t="str">
        <x:v>GPS puede sugerir</x:v>
      </x:c>
      <x:c r="N64" s="3947" t="str">
        <x:v>offline</x:v>
      </x:c>
      <x:c r="O64" s="3947" t="str">
        <x:v>RUL-033</x:v>
      </x:c>
      <x:c r="P64" s="3947" t="str">
        <x:v>BASELINE</x:v>
      </x:c>
    </x:row>
    <x:row r="65" ht="62" customHeight="1">
      <x:c r="A65" s="3947" t="str">
        <x:v>CAP-061</x:v>
      </x:c>
      <x:c r="B65" s="3947" t="str">
        <x:v>UX-11</x:v>
      </x:c>
      <x:c r="C65" s="3947" t="str">
        <x:v>TP-03 cierre/cuadrilla</x:v>
      </x:c>
      <x:c r="D65" s="3947" t="str">
        <x:v>Sistema</x:v>
      </x:c>
      <x:c r="E65" s="3947" t="str">
        <x:v>Roster real</x:v>
      </x:c>
      <x:c r="F65" s="3947" t="str">
        <x:v>AsignacionesPersonaEjecucion</x:v>
      </x:c>
      <x:c r="G65" s="3947" t="str">
        <x:v>intervalos reales</x:v>
      </x:c>
      <x:c r="H65" s="4483" t="str">
        <x:v>AUTODERIVADO_VISIBLE</x:v>
      </x:c>
      <x:c r="I65" s="3947" t="str">
        <x:v>confirmar solo excepción</x:v>
      </x:c>
      <x:c r="J65" s="3947" t="str">
        <x:v>Sí</x:v>
      </x:c>
      <x:c r="K65" s="4485" t="n">
        <x:v>1</x:v>
      </x:c>
      <x:c r="L65" s="4485" t="n">
        <x:v>3</x:v>
      </x:c>
      <x:c r="M65" s="3947" t="str">
        <x:v>no reconstruir lista</x:v>
      </x:c>
      <x:c r="N65" s="3947" t="str">
        <x:v>corregir mediante evento</x:v>
      </x:c>
      <x:c r="O65" s="3947" t="str">
        <x:v>RUL-025</x:v>
      </x:c>
      <x:c r="P65" s="3947" t="str">
        <x:v>BASELINE</x:v>
      </x:c>
    </x:row>
    <x:row r="66" ht="62" customHeight="1">
      <x:c r="A66" s="3947" t="str">
        <x:v>CAP-062</x:v>
      </x:c>
      <x:c r="B66" s="3947" t="str">
        <x:v>UX-11</x:v>
      </x:c>
      <x:c r="C66" s="3947" t="str">
        <x:v>TP-03 cierre/cuadrilla</x:v>
      </x:c>
      <x:c r="D66" s="3947" t="str">
        <x:v>Sistema</x:v>
      </x:c>
      <x:c r="E66" s="3947" t="str">
        <x:v>Recursos reales</x:v>
      </x:c>
      <x:c r="F66" s="3947" t="str">
        <x:v>AsignacionesRecursoEjecucion</x:v>
      </x:c>
      <x:c r="G66" s="3947" t="str">
        <x:v>intervalos reales</x:v>
      </x:c>
      <x:c r="H66" s="4483" t="str">
        <x:v>AUTODERIVADO_VISIBLE</x:v>
      </x:c>
      <x:c r="I66" s="3947" t="str">
        <x:v>confirmar solo excepción</x:v>
      </x:c>
      <x:c r="J66" s="3947" t="str">
        <x:v>Cond.</x:v>
      </x:c>
      <x:c r="K66" s="4485" t="n">
        <x:v>1</x:v>
      </x:c>
      <x:c r="L66" s="4485" t="n">
        <x:v>3</x:v>
      </x:c>
      <x:c r="M66" s="3947" t="str">
        <x:v>—</x:v>
      </x:c>
      <x:c r="N66" s="3947" t="str">
        <x:v>—</x:v>
      </x:c>
      <x:c r="O66" s="3947" t="str">
        <x:v>RUL-026</x:v>
      </x:c>
      <x:c r="P66" s="3947" t="str">
        <x:v>BASELINE</x:v>
      </x:c>
    </x:row>
    <x:row r="67" ht="62" customHeight="1">
      <x:c r="A67" s="3947" t="str">
        <x:v>CAP-063</x:v>
      </x:c>
      <x:c r="B67" s="3947" t="str">
        <x:v>UX-11</x:v>
      </x:c>
      <x:c r="C67" s="3947" t="str">
        <x:v>TP-03 cierre/cuadrilla</x:v>
      </x:c>
      <x:c r="D67" s="3947" t="str">
        <x:v>Sistema</x:v>
      </x:c>
      <x:c r="E67" s="3947" t="str">
        <x:v>Trabajos/UE del turno</x:v>
      </x:c>
      <x:c r="F67" s="3947" t="str">
        <x:v>UnidadEjecucion</x:v>
      </x:c>
      <x:c r="G67" s="3947" t="str">
        <x:v>Parte/UE vinculadas</x:v>
      </x:c>
      <x:c r="H67" s="4483" t="str">
        <x:v>AUTODERIVADO_VISIBLE</x:v>
      </x:c>
      <x:c r="I67" s="3947" t="str">
        <x:v>ver resumen</x:v>
      </x:c>
      <x:c r="J67" s="3947" t="str">
        <x:v>Sí</x:v>
      </x:c>
      <x:c r="K67" s="4483" t="n">
        <x:v>0</x:v>
      </x:c>
      <x:c r="L67" s="4483" t="n">
        <x:v>0</x:v>
      </x:c>
      <x:c r="M67" s="3947" t="str">
        <x:v>aggregate real</x:v>
      </x:c>
      <x:c r="N67" s="3947" t="str">
        <x:v>—</x:v>
      </x:c>
      <x:c r="O67" s="3947" t="str">
        <x:v>RUL-034</x:v>
      </x:c>
      <x:c r="P67" s="3947" t="str">
        <x:v>BASELINE</x:v>
      </x:c>
    </x:row>
    <x:row r="68" ht="62" customHeight="1">
      <x:c r="A68" s="3947" t="str">
        <x:v>CAP-064</x:v>
      </x:c>
      <x:c r="B68" s="3947" t="str">
        <x:v>UX-11</x:v>
      </x:c>
      <x:c r="C68" s="3947" t="str">
        <x:v>TP-03 cierre/cuadrilla</x:v>
      </x:c>
      <x:c r="D68" s="3947" t="str">
        <x:v>Sistema</x:v>
      </x:c>
      <x:c r="E68" s="3947" t="str">
        <x:v>Horas/categorías</x:v>
      </x:c>
      <x:c r="F68" s="3947" t="str">
        <x:v>EventoTiempo</x:v>
      </x:c>
      <x:c r="G68" s="3947" t="str">
        <x:v>eventos del turno</x:v>
      </x:c>
      <x:c r="H68" s="4483" t="str">
        <x:v>AUTODERIVADO_VISIBLE</x:v>
      </x:c>
      <x:c r="I68" s="3947" t="str">
        <x:v>ver</x:v>
      </x:c>
      <x:c r="J68" s="3947" t="str">
        <x:v>Sí</x:v>
      </x:c>
      <x:c r="K68" s="4483" t="n">
        <x:v>0</x:v>
      </x:c>
      <x:c r="L68" s="4483" t="n">
        <x:v>0</x:v>
      </x:c>
      <x:c r="M68" s="3947" t="str">
        <x:v>no tipeo de horas</x:v>
      </x:c>
      <x:c r="N68" s="3947" t="str">
        <x:v>—</x:v>
      </x:c>
      <x:c r="O68" s="3947" t="str">
        <x:v>RUL-028,RUL-029</x:v>
      </x:c>
      <x:c r="P68" s="3947" t="str">
        <x:v>BASELINE</x:v>
      </x:c>
    </x:row>
    <x:row r="69" ht="62" customHeight="1">
      <x:c r="A69" s="3947" t="str">
        <x:v>CAP-065</x:v>
      </x:c>
      <x:c r="B69" s="3947" t="str">
        <x:v>UX-11</x:v>
      </x:c>
      <x:c r="C69" s="3947" t="str">
        <x:v>TP-03 cierre/cuadrilla</x:v>
      </x:c>
      <x:c r="D69" s="3947" t="str">
        <x:v>Operario/Supervisor</x:v>
      </x:c>
      <x:c r="E69" s="3947" t="str">
        <x:v>Novedad no capturada</x:v>
      </x:c>
      <x:c r="F69" s="3947" t="str">
        <x:v>EventoOperativo</x:v>
      </x:c>
      <x:c r="G69" s="3947" t="str">
        <x:v>persona</x:v>
      </x:c>
      <x:c r="H69" s="4481" t="str">
        <x:v>EXCEPCION_ONLY</x:v>
      </x:c>
      <x:c r="I69" s="3947" t="str">
        <x:v>voz/texto</x:v>
      </x:c>
      <x:c r="J69" s="3947" t="str">
        <x:v>No</x:v>
      </x:c>
      <x:c r="K69" s="4485" t="n">
        <x:v>1</x:v>
      </x:c>
      <x:c r="L69" s="4485" t="n">
        <x:v>15</x:v>
      </x:c>
      <x:c r="M69" s="3947" t="str">
        <x:v>solo excepción</x:v>
      </x:c>
      <x:c r="N69" s="3947" t="str">
        <x:v>offline</x:v>
      </x:c>
      <x:c r="O69" s="3947" t="str">
        <x:v>RUL-034</x:v>
      </x:c>
      <x:c r="P69" s="3947" t="str">
        <x:v>BASELINE</x:v>
      </x:c>
    </x:row>
    <x:row r="70" ht="62" customHeight="1">
      <x:c r="A70" s="3947" t="str">
        <x:v>CAP-066</x:v>
      </x:c>
      <x:c r="B70" s="3947" t="str">
        <x:v>UX-11</x:v>
      </x:c>
      <x:c r="C70" s="3947" t="str">
        <x:v>TP-03 cierre/cuadrilla</x:v>
      </x:c>
      <x:c r="D70" s="3947" t="str">
        <x:v>Supervisor/Operario</x:v>
      </x:c>
      <x:c r="E70" s="3947" t="str">
        <x:v>Confirmar cierre</x:v>
      </x:c>
      <x:c r="F70" s="3947" t="str">
        <x:v>Parte/UE</x:v>
      </x:c>
      <x:c r="G70" s="3947" t="str">
        <x:v>state machine</x:v>
      </x:c>
      <x:c r="H70" s="4485" t="str">
        <x:v>INPUT_HUMANO</x:v>
      </x:c>
      <x:c r="I70" s="3947" t="str">
        <x:v>tap</x:v>
      </x:c>
      <x:c r="J70" s="3947" t="str">
        <x:v>Sí</x:v>
      </x:c>
      <x:c r="K70" s="4485" t="n">
        <x:v>1</x:v>
      </x:c>
      <x:c r="L70" s="4485" t="n">
        <x:v>2</x:v>
      </x:c>
      <x:c r="M70" s="3947" t="str">
        <x:v>gates automáticos</x:v>
      </x:c>
      <x:c r="N70" s="3947" t="str">
        <x:v>offline</x:v>
      </x:c>
      <x:c r="O70" s="3947" t="str">
        <x:v>RUL-034</x:v>
      </x:c>
      <x:c r="P70" s="3947" t="str">
        <x:v>BASELINE</x:v>
      </x:c>
    </x:row>
    <x:row r="71" ht="62" customHeight="1">
      <x:c r="A71" s="3947" t="str">
        <x:v>CAP-067</x:v>
      </x:c>
      <x:c r="B71" s="3947" t="str">
        <x:v>UX-12</x:v>
      </x:c>
      <x:c r="C71" s="3947" t="str">
        <x:v>Flash Report Habilita</x:v>
      </x:c>
      <x:c r="D71" s="3947" t="str">
        <x:v>Operario</x:v>
      </x:c>
      <x:c r="E71" s="3947" t="str">
        <x:v>Reportante</x:v>
      </x:c>
      <x:c r="F71" s="3947" t="str">
        <x:v>Persona</x:v>
      </x:c>
      <x:c r="G71" s="3947" t="str">
        <x:v>sesión</x:v>
      </x:c>
      <x:c r="H71" s="4483" t="str">
        <x:v>AUTODERIVADO</x:v>
      </x:c>
      <x:c r="I71" s="3947" t="str">
        <x:v>ninguna</x:v>
      </x:c>
      <x:c r="J71" s="3947" t="str">
        <x:v>Sí</x:v>
      </x:c>
      <x:c r="K71" s="4483" t="n">
        <x:v>0</x:v>
      </x:c>
      <x:c r="L71" s="4483" t="n">
        <x:v>0</x:v>
      </x:c>
      <x:c r="M71" s="3947" t="str">
        <x:v>fuerte</x:v>
      </x:c>
      <x:c r="N71" s="3947" t="str">
        <x:v>—</x:v>
      </x:c>
      <x:c r="O71" s="3947" t="str">
        <x:v>RUL-047</x:v>
      </x:c>
      <x:c r="P71" s="3947" t="str">
        <x:v>BASELINE</x:v>
      </x:c>
    </x:row>
    <x:row r="72" ht="62" customHeight="1">
      <x:c r="A72" s="3947" t="str">
        <x:v>CAP-068</x:v>
      </x:c>
      <x:c r="B72" s="3947" t="str">
        <x:v>UX-12</x:v>
      </x:c>
      <x:c r="C72" s="3947" t="str">
        <x:v>Flash Report Habilita</x:v>
      </x:c>
      <x:c r="D72" s="3947" t="str">
        <x:v>Operario</x:v>
      </x:c>
      <x:c r="E72" s="3947" t="str">
        <x:v>reportado_at</x:v>
      </x:c>
      <x:c r="F72" s="3947" t="str">
        <x:v>EventoHabilita</x:v>
      </x:c>
      <x:c r="G72" s="3947" t="str">
        <x:v>reloj</x:v>
      </x:c>
      <x:c r="H72" s="4483" t="str">
        <x:v>AUTODERIVADO</x:v>
      </x:c>
      <x:c r="I72" s="3947" t="str">
        <x:v>ninguna</x:v>
      </x:c>
      <x:c r="J72" s="3947" t="str">
        <x:v>Sí</x:v>
      </x:c>
      <x:c r="K72" s="4483" t="n">
        <x:v>0</x:v>
      </x:c>
      <x:c r="L72" s="4483" t="n">
        <x:v>0</x:v>
      </x:c>
      <x:c r="M72" s="3947" t="str">
        <x:v>—</x:v>
      </x:c>
      <x:c r="N72" s="3947" t="str">
        <x:v>local</x:v>
      </x:c>
      <x:c r="O72" s="3947" t="str">
        <x:v>RUL-047</x:v>
      </x:c>
      <x:c r="P72" s="3947" t="str">
        <x:v>BASELINE</x:v>
      </x:c>
    </x:row>
    <x:row r="73" ht="62" customHeight="1">
      <x:c r="A73" s="3947" t="str">
        <x:v>CAP-069</x:v>
      </x:c>
      <x:c r="B73" s="3947" t="str">
        <x:v>UX-12</x:v>
      </x:c>
      <x:c r="C73" s="3947" t="str">
        <x:v>Flash Report Habilita</x:v>
      </x:c>
      <x:c r="D73" s="3947" t="str">
        <x:v>Operario</x:v>
      </x:c>
      <x:c r="E73" s="3947" t="str">
        <x:v>Contexto activo Parte/UE/PTW/personas/recursos</x:v>
      </x:c>
      <x:c r="F73" s="3947" t="str">
        <x:v>EventoHabilita vínculos</x:v>
      </x:c>
      <x:c r="G73" s="3947" t="str">
        <x:v>contexto dispositivo</x:v>
      </x:c>
      <x:c r="H73" s="4483" t="str">
        <x:v>AUTODERIVADO_VISIBLE</x:v>
      </x:c>
      <x:c r="I73" s="3947" t="str">
        <x:v>confirmar solo si ambiguo</x:v>
      </x:c>
      <x:c r="J73" s="3947" t="str">
        <x:v>Cond.</x:v>
      </x:c>
      <x:c r="K73" s="4485" t="n">
        <x:v>1</x:v>
      </x:c>
      <x:c r="L73" s="4485" t="n">
        <x:v>3</x:v>
      </x:c>
      <x:c r="M73" s="3947" t="str">
        <x:v>contextual</x:v>
      </x:c>
      <x:c r="N73" s="3947" t="str">
        <x:v>puede quedar standalone</x:v>
      </x:c>
      <x:c r="O73" s="3947" t="str">
        <x:v>RUL-047</x:v>
      </x:c>
      <x:c r="P73" s="3947" t="str">
        <x:v>BASELINE</x:v>
      </x:c>
    </x:row>
    <x:row r="74" ht="62" customHeight="1">
      <x:c r="A74" s="3947" t="str">
        <x:v>CAP-070</x:v>
      </x:c>
      <x:c r="B74" s="3947" t="str">
        <x:v>UX-12</x:v>
      </x:c>
      <x:c r="C74" s="3947" t="str">
        <x:v>Flash Report Habilita</x:v>
      </x:c>
      <x:c r="D74" s="3947" t="str">
        <x:v>Operario</x:v>
      </x:c>
      <x:c r="E74" s="3947" t="str">
        <x:v>ocurrido_at</x:v>
      </x:c>
      <x:c r="F74" s="3947" t="str">
        <x:v>EventoHabilita</x:v>
      </x:c>
      <x:c r="G74" s="3947" t="str">
        <x:v>reloj/contexto</x:v>
      </x:c>
      <x:c r="H74" s="4484" t="str">
        <x:v>PRECARGADO_CONFIRMAR</x:v>
      </x:c>
      <x:c r="I74" s="3947" t="str">
        <x:v>confirmar/ajustar</x:v>
      </x:c>
      <x:c r="J74" s="3947" t="str">
        <x:v>Sí</x:v>
      </x:c>
      <x:c r="K74" s="4485" t="n">
        <x:v>1</x:v>
      </x:c>
      <x:c r="L74" s="4485" t="n">
        <x:v>3</x:v>
      </x:c>
      <x:c r="M74" s="3947" t="str">
        <x:v>default ahora</x:v>
      </x:c>
      <x:c r="N74" s="3947" t="str">
        <x:v>manual si fue antes</x:v>
      </x:c>
      <x:c r="O74" s="3947" t="str">
        <x:v>RUL-047</x:v>
      </x:c>
      <x:c r="P74" s="3947" t="str">
        <x:v>BASELINE</x:v>
      </x:c>
    </x:row>
    <x:row r="75" ht="62" customHeight="1">
      <x:c r="A75" s="3947" t="str">
        <x:v>CAP-071</x:v>
      </x:c>
      <x:c r="B75" s="3947" t="str">
        <x:v>UX-12</x:v>
      </x:c>
      <x:c r="C75" s="3947" t="str">
        <x:v>Flash Report Habilita</x:v>
      </x:c>
      <x:c r="D75" s="3947" t="str">
        <x:v>Operario</x:v>
      </x:c>
      <x:c r="E75" s="3947" t="str">
        <x:v>Ubicación</x:v>
      </x:c>
      <x:c r="F75" s="3947" t="str">
        <x:v>UbicacionTecnica</x:v>
      </x:c>
      <x:c r="G75" s="3947" t="str">
        <x:v>GPS/contexto</x:v>
      </x:c>
      <x:c r="H75" s="4484" t="str">
        <x:v>PRECARGADO_CONFIRMAR</x:v>
      </x:c>
      <x:c r="I75" s="3947" t="str">
        <x:v>confirmar/corregir</x:v>
      </x:c>
      <x:c r="J75" s="3947" t="str">
        <x:v>Sí</x:v>
      </x:c>
      <x:c r="K75" s="4485" t="n">
        <x:v>1</x:v>
      </x:c>
      <x:c r="L75" s="4485" t="n">
        <x:v>4</x:v>
      </x:c>
      <x:c r="M75" s="3947" t="str">
        <x:v>—</x:v>
      </x:c>
      <x:c r="N75" s="3947" t="str">
        <x:v>lista cercanas</x:v>
      </x:c>
      <x:c r="O75" s="3947" t="str">
        <x:v>RUL-047</x:v>
      </x:c>
      <x:c r="P75" s="3947" t="str">
        <x:v>BASELINE</x:v>
      </x:c>
    </x:row>
    <x:row r="76" ht="62" customHeight="1">
      <x:c r="A76" s="3947" t="str">
        <x:v>CAP-072</x:v>
      </x:c>
      <x:c r="B76" s="3947" t="str">
        <x:v>UX-12</x:v>
      </x:c>
      <x:c r="C76" s="3947" t="str">
        <x:v>Flash Report Habilita</x:v>
      </x:c>
      <x:c r="D76" s="3947" t="str">
        <x:v>Operario</x:v>
      </x:c>
      <x:c r="E76" s="3947" t="str">
        <x:v>Categoría inicial</x:v>
      </x:c>
      <x:c r="F76" s="3947" t="str">
        <x:v>EventoHabilita</x:v>
      </x:c>
      <x:c r="G76" s="3947" t="str">
        <x:v>catálogo corto</x:v>
      </x:c>
      <x:c r="H76" s="4484" t="str">
        <x:v>SELECT</x:v>
      </x:c>
      <x:c r="I76" s="3947" t="str">
        <x:v>1 selección</x:v>
      </x:c>
      <x:c r="J76" s="3947" t="str">
        <x:v>Sí</x:v>
      </x:c>
      <x:c r="K76" s="4485" t="n">
        <x:v>1</x:v>
      </x:c>
      <x:c r="L76" s="4485" t="n">
        <x:v>5</x:v>
      </x:c>
      <x:c r="M76" s="3947" t="str">
        <x:v>reclasificable luego</x:v>
      </x:c>
      <x:c r="N76" s="3947" t="str">
        <x:v>OTRO</x:v>
      </x:c>
      <x:c r="O76" s="3947" t="str">
        <x:v>RUL-047,RUL-049</x:v>
      </x:c>
      <x:c r="P76" s="3947" t="str">
        <x:v>BASELINE</x:v>
      </x:c>
    </x:row>
    <x:row r="77" ht="62" customHeight="1">
      <x:c r="A77" s="3947" t="str">
        <x:v>CAP-073</x:v>
      </x:c>
      <x:c r="B77" s="3947" t="str">
        <x:v>UX-12</x:v>
      </x:c>
      <x:c r="C77" s="3947" t="str">
        <x:v>Flash Report Habilita</x:v>
      </x:c>
      <x:c r="D77" s="3947" t="str">
        <x:v>Operario</x:v>
      </x:c>
      <x:c r="E77" s="3947" t="str">
        <x:v>Qué ocurrió</x:v>
      </x:c>
      <x:c r="F77" s="3947" t="str">
        <x:v>EventoHabilita</x:v>
      </x:c>
      <x:c r="G77" s="3947" t="str">
        <x:v>persona</x:v>
      </x:c>
      <x:c r="H77" s="4485" t="str">
        <x:v>SHORT_INPUT</x:v>
      </x:c>
      <x:c r="I77" s="3947" t="str">
        <x:v>voz/texto breve</x:v>
      </x:c>
      <x:c r="J77" s="3947" t="str">
        <x:v>Sí</x:v>
      </x:c>
      <x:c r="K77" s="4485" t="n">
        <x:v>1</x:v>
      </x:c>
      <x:c r="L77" s="4485" t="n">
        <x:v>25</x:v>
      </x:c>
      <x:c r="M77" s="3947" t="str">
        <x:v>no pedir causa raíz</x:v>
      </x:c>
      <x:c r="N77" s="3947" t="str">
        <x:v>voz offline</x:v>
      </x:c>
      <x:c r="O77" s="3947" t="str">
        <x:v>RUL-047</x:v>
      </x:c>
      <x:c r="P77" s="3947" t="str">
        <x:v>BASELINE</x:v>
      </x:c>
    </x:row>
    <x:row r="78" ht="62" customHeight="1">
      <x:c r="A78" s="3947" t="str">
        <x:v>CAP-074</x:v>
      </x:c>
      <x:c r="B78" s="3947" t="str">
        <x:v>UX-12</x:v>
      </x:c>
      <x:c r="C78" s="3947" t="str">
        <x:v>Flash Report Habilita</x:v>
      </x:c>
      <x:c r="D78" s="3947" t="str">
        <x:v>Operario</x:v>
      </x:c>
      <x:c r="E78" s="3947" t="str">
        <x:v>¿Situación controlada?</x:v>
      </x:c>
      <x:c r="F78" s="3947" t="str">
        <x:v>EventoHabilita</x:v>
      </x:c>
      <x:c r="G78" s="3947" t="str">
        <x:v>persona</x:v>
      </x:c>
      <x:c r="H78" s="4484" t="str">
        <x:v>SELECT</x:v>
      </x:c>
      <x:c r="I78" s="3947" t="str">
        <x:v>Sí/No</x:v>
      </x:c>
      <x:c r="J78" s="3947" t="str">
        <x:v>Sí</x:v>
      </x:c>
      <x:c r="K78" s="4485" t="n">
        <x:v>1</x:v>
      </x:c>
      <x:c r="L78" s="4485" t="n">
        <x:v>2</x:v>
      </x:c>
      <x:c r="M78" s="3947" t="str">
        <x:v>trigger crítico</x:v>
      </x:c>
      <x:c r="N78" s="3947" t="str">
        <x:v>si NO → default suspensión</x:v>
      </x:c>
      <x:c r="O78" s="3947" t="str">
        <x:v>RUL-051</x:v>
      </x:c>
      <x:c r="P78" s="3947" t="str">
        <x:v>BASELINE</x:v>
      </x:c>
    </x:row>
    <x:row r="79" ht="62" customHeight="1">
      <x:c r="A79" s="3947" t="str">
        <x:v>CAP-075</x:v>
      </x:c>
      <x:c r="B79" s="3947" t="str">
        <x:v>UX-12</x:v>
      </x:c>
      <x:c r="C79" s="3947" t="str">
        <x:v>Flash Report Habilita</x:v>
      </x:c>
      <x:c r="D79" s="3947" t="str">
        <x:v>Operario</x:v>
      </x:c>
      <x:c r="E79" s="3947" t="str">
        <x:v>Foto/video/voz</x:v>
      </x:c>
      <x:c r="F79" s="3947" t="str">
        <x:v>Evidencia</x:v>
      </x:c>
      <x:c r="G79" s="3947" t="str">
        <x:v>cámara/archivo</x:v>
      </x:c>
      <x:c r="H79" s="4485" t="str">
        <x:v>EVIDENCE</x:v>
      </x:c>
      <x:c r="I79" s="3947" t="str">
        <x:v>capturar opcional/según tipo</x:v>
      </x:c>
      <x:c r="J79" s="3947" t="str">
        <x:v>Cond.</x:v>
      </x:c>
      <x:c r="K79" s="4485" t="n">
        <x:v>1</x:v>
      </x:c>
      <x:c r="L79" s="4485" t="n">
        <x:v>12</x:v>
      </x:c>
      <x:c r="M79" s="3947" t="str">
        <x:v>no bloquear reporte base salvo regla</x:v>
      </x:c>
      <x:c r="N79" s="3947" t="str">
        <x:v>guardar local</x:v>
      </x:c>
      <x:c r="O79" s="3947" t="str">
        <x:v>RUL-047</x:v>
      </x:c>
      <x:c r="P79" s="3947" t="str">
        <x:v>BASELINE</x:v>
      </x:c>
    </x:row>
    <x:row r="80" ht="62" customHeight="1">
      <x:c r="A80" s="3947" t="str">
        <x:v>CAP-076</x:v>
      </x:c>
      <x:c r="B80" s="3947" t="str">
        <x:v>UX-12</x:v>
      </x:c>
      <x:c r="C80" s="3947" t="str">
        <x:v>Flash Report Habilita</x:v>
      </x:c>
      <x:c r="D80" s="3947" t="str">
        <x:v>Habilita</x:v>
      </x:c>
      <x:c r="E80" s="3947" t="str">
        <x:v>Severidad/root cause/investigación</x:v>
      </x:c>
      <x:c r="F80" s="3947" t="str">
        <x:v>Caso/Evaluacion</x:v>
      </x:c>
      <x:c r="G80" s="3947" t="str">
        <x:v>triage posterior</x:v>
      </x:c>
      <x:c r="H80" s="4481" t="str">
        <x:v>BACK_OFFICE</x:v>
      </x:c>
      <x:c r="I80" s="3947" t="str">
        <x:v>ninguna al reportante</x:v>
      </x:c>
      <x:c r="J80" s="3947" t="str">
        <x:v>No</x:v>
      </x:c>
      <x:c r="K80" s="4483" t="n">
        <x:v>0</x:v>
      </x:c>
      <x:c r="L80" s="4483" t="n">
        <x:v>0</x:v>
      </x:c>
      <x:c r="M80" s="3947" t="str">
        <x:v>post-reporte</x:v>
      </x:c>
      <x:c r="N80" s="3947" t="str">
        <x:v>—</x:v>
      </x:c>
      <x:c r="O80" s="3947" t="str">
        <x:v>RUL-048,RUL-049,RUL-050</x:v>
      </x:c>
      <x:c r="P80" s="3947" t="str">
        <x:v>BASELINE</x:v>
      </x:c>
    </x:row>
    <x:row r="81" ht="62" customHeight="1">
      <x:c r="A81" s="3947" t="str">
        <x:v>CAP-077</x:v>
      </x:c>
      <x:c r="B81" s="3947" t="str">
        <x:v>UX-13</x:v>
      </x:c>
      <x:c r="C81" s="3947" t="str">
        <x:v>PTW activation/closure</x:v>
      </x:c>
      <x:c r="D81" s="3947" t="str">
        <x:v>Supervisor/Habilita</x:v>
      </x:c>
      <x:c r="E81" s="3947" t="str">
        <x:v>Alcance/tipo permiso</x:v>
      </x:c>
      <x:c r="F81" s="3947" t="str">
        <x:v>PermisoTrabajo</x:v>
      </x:c>
      <x:c r="G81" s="3947" t="str">
        <x:v>plan/servicio/riesgo</x:v>
      </x:c>
      <x:c r="H81" s="4483" t="str">
        <x:v>AUTODERIVADO_VISIBLE</x:v>
      </x:c>
      <x:c r="I81" s="3947" t="str">
        <x:v>confirmar</x:v>
      </x:c>
      <x:c r="J81" s="3947" t="str">
        <x:v>Sí</x:v>
      </x:c>
      <x:c r="K81" s="4485" t="n">
        <x:v>1</x:v>
      </x:c>
      <x:c r="L81" s="4485" t="n">
        <x:v>5</x:v>
      </x:c>
      <x:c r="M81" s="3947" t="str">
        <x:v>config contextual</x:v>
      </x:c>
      <x:c r="N81" s="3947" t="str">
        <x:v>selección si varios</x:v>
      </x:c>
      <x:c r="O81" s="3947" t="str">
        <x:v>RUL-042,RUL-043</x:v>
      </x:c>
      <x:c r="P81" s="3947" t="str">
        <x:v>BASELINE</x:v>
      </x:c>
    </x:row>
    <x:row r="82" ht="62" customHeight="1">
      <x:c r="A82" s="3947" t="str">
        <x:v>CAP-078</x:v>
      </x:c>
      <x:c r="B82" s="3947" t="str">
        <x:v>UX-13</x:v>
      </x:c>
      <x:c r="C82" s="3947" t="str">
        <x:v>PTW activation/closure</x:v>
      </x:c>
      <x:c r="D82" s="3947" t="str">
        <x:v>Supervisor/Habilita</x:v>
      </x:c>
      <x:c r="E82" s="3947" t="str">
        <x:v>Controles/mediciones exigidas</x:v>
      </x:c>
      <x:c r="F82" s="3947" t="str">
        <x:v>PermisoTrabajo</x:v>
      </x:c>
      <x:c r="G82" s="3947" t="str">
        <x:v>ruleset Habilita</x:v>
      </x:c>
      <x:c r="H82" s="4484" t="str">
        <x:v>PRECARGADO_CONFIRMAR</x:v>
      </x:c>
      <x:c r="I82" s="3947" t="str">
        <x:v>completar solo valores reales</x:v>
      </x:c>
      <x:c r="J82" s="3947" t="str">
        <x:v>Cond.</x:v>
      </x:c>
      <x:c r="K82" s="4485" t="n">
        <x:v>1</x:v>
      </x:c>
      <x:c r="L82" s="4485" t="n">
        <x:v>20</x:v>
      </x:c>
      <x:c r="M82" s="3947" t="str">
        <x:v>no repetir datos existentes</x:v>
      </x:c>
      <x:c r="N82" s="3947" t="str">
        <x:v>offline local</x:v>
      </x:c>
      <x:c r="O82" s="3947" t="str">
        <x:v>RUL-043</x:v>
      </x:c>
      <x:c r="P82" s="3947" t="str">
        <x:v>BASELINE</x:v>
      </x:c>
    </x:row>
    <x:row r="83" ht="62" customHeight="1">
      <x:c r="A83" s="3947" t="str">
        <x:v>CAP-079</x:v>
      </x:c>
      <x:c r="B83" s="3947" t="str">
        <x:v>UX-13</x:v>
      </x:c>
      <x:c r="C83" s="3947" t="str">
        <x:v>PTW activation/closure</x:v>
      </x:c>
      <x:c r="D83" s="3947" t="str">
        <x:v>Supervisor/Habilita</x:v>
      </x:c>
      <x:c r="E83" s="3947" t="str">
        <x:v>Aprobar/activar</x:v>
      </x:c>
      <x:c r="F83" s="3947" t="str">
        <x:v>PermisoTrabajo</x:v>
      </x:c>
      <x:c r="G83" s="3947" t="str">
        <x:v>state machine</x:v>
      </x:c>
      <x:c r="H83" s="4481" t="str">
        <x:v>SUPERVISOR</x:v>
      </x:c>
      <x:c r="I83" s="3947" t="str">
        <x:v>tap + firma/confirmación</x:v>
      </x:c>
      <x:c r="J83" s="3947" t="str">
        <x:v>Sí</x:v>
      </x:c>
      <x:c r="K83" s="4485" t="n">
        <x:v>1</x:v>
      </x:c>
      <x:c r="L83" s="4485" t="n">
        <x:v>5</x:v>
      </x:c>
      <x:c r="M83" s="3947" t="str">
        <x:v>autoridad</x:v>
      </x:c>
      <x:c r="N83" s="3947" t="str">
        <x:v>offline según policy</x:v>
      </x:c>
      <x:c r="O83" s="3947" t="str">
        <x:v>RUL-043</x:v>
      </x:c>
      <x:c r="P83" s="3947" t="str">
        <x:v>BASELINE</x:v>
      </x:c>
    </x:row>
    <x:row r="84" ht="62" customHeight="1">
      <x:c r="A84" s="3947" t="str">
        <x:v>CAP-080</x:v>
      </x:c>
      <x:c r="B84" s="3947" t="str">
        <x:v>UX-13</x:v>
      </x:c>
      <x:c r="C84" s="3947" t="str">
        <x:v>PTW activation/closure</x:v>
      </x:c>
      <x:c r="D84" s="3947" t="str">
        <x:v>Supervisor/Habilita</x:v>
      </x:c>
      <x:c r="E84" s="3947" t="str">
        <x:v>Cerrar PTW</x:v>
      </x:c>
      <x:c r="F84" s="3947" t="str">
        <x:v>PermisoTrabajo</x:v>
      </x:c>
      <x:c r="G84" s="3947" t="str">
        <x:v>state machine</x:v>
      </x:c>
      <x:c r="H84" s="4481" t="str">
        <x:v>SUPERVISOR</x:v>
      </x:c>
      <x:c r="I84" s="3947" t="str">
        <x:v>tap/firma cierre</x:v>
      </x:c>
      <x:c r="J84" s="3947" t="str">
        <x:v>Sí</x:v>
      </x:c>
      <x:c r="K84" s="4485" t="n">
        <x:v>1</x:v>
      </x:c>
      <x:c r="L84" s="4485" t="n">
        <x:v>5</x:v>
      </x:c>
      <x:c r="M84" s="3947" t="str">
        <x:v>no timeout auto-close</x:v>
      </x:c>
      <x:c r="N84" s="3947" t="str">
        <x:v>offline queue</x:v>
      </x:c>
      <x:c r="O84" s="3947" t="str">
        <x:v>RUL-046</x:v>
      </x:c>
      <x:c r="P84" s="3947" t="str">
        <x:v>BASELINE</x:v>
      </x:c>
    </x:row>
    <x:row r="85" ht="62" customHeight="1">
      <x:c r="A85" s="3947" t="str">
        <x:v>CAP-081</x:v>
      </x:c>
      <x:c r="B85" s="3947" t="str">
        <x:v>UX-14</x:v>
      </x:c>
      <x:c r="C85" s="3947" t="str">
        <x:v>Validación cliente</x:v>
      </x:c>
      <x:c r="D85" s="3947" t="str">
        <x:v>Cliente/Supervisor</x:v>
      </x:c>
      <x:c r="E85" s="3947" t="str">
        <x:v>Objeto a validar</x:v>
      </x:c>
      <x:c r="F85" s="3947" t="str">
        <x:v>Parte/UC/Paquete</x:v>
      </x:c>
      <x:c r="G85" s="3947" t="str">
        <x:v>scope definido por contrato</x:v>
      </x:c>
      <x:c r="H85" s="4483" t="str">
        <x:v>AUTODERIVADO_VISIBLE</x:v>
      </x:c>
      <x:c r="I85" s="3947" t="str">
        <x:v>ver resumen</x:v>
      </x:c>
      <x:c r="J85" s="3947" t="str">
        <x:v>Sí</x:v>
      </x:c>
      <x:c r="K85" s="4483" t="n">
        <x:v>0</x:v>
      </x:c>
      <x:c r="L85" s="4483" t="n">
        <x:v>0</x:v>
      </x:c>
      <x:c r="M85" s="3947" t="str">
        <x:v>scope contextual</x:v>
      </x:c>
      <x:c r="N85" s="3947" t="str">
        <x:v>—</x:v>
      </x:c>
      <x:c r="O85" s="3947" t="str">
        <x:v>RUL-069</x:v>
      </x:c>
      <x:c r="P85" s="3947" t="str">
        <x:v>BASELINE</x:v>
      </x:c>
    </x:row>
    <x:row r="86" ht="62" customHeight="1">
      <x:c r="A86" s="3947" t="str">
        <x:v>CAP-082</x:v>
      </x:c>
      <x:c r="B86" s="3947" t="str">
        <x:v>UX-14</x:v>
      </x:c>
      <x:c r="C86" s="3947" t="str">
        <x:v>Validación cliente</x:v>
      </x:c>
      <x:c r="D86" s="3947" t="str">
        <x:v>Cliente</x:v>
      </x:c>
      <x:c r="E86" s="3947" t="str">
        <x:v>Conformidad/firma</x:v>
      </x:c>
      <x:c r="F86" s="3947" t="str">
        <x:v>ConformidadCliente/Evidencia</x:v>
      </x:c>
      <x:c r="G86" s="3947" t="str">
        <x:v>cliente</x:v>
      </x:c>
      <x:c r="H86" s="4481" t="str">
        <x:v>THIRD_PARTY</x:v>
      </x:c>
      <x:c r="I86" s="3947" t="str">
        <x:v>aceptar/rechazar/firma</x:v>
      </x:c>
      <x:c r="J86" s="3947" t="str">
        <x:v>Cond.</x:v>
      </x:c>
      <x:c r="K86" s="4485" t="n">
        <x:v>1</x:v>
      </x:c>
      <x:c r="L86" s="4485" t="n">
        <x:v>15</x:v>
      </x:c>
      <x:c r="M86" s="3947" t="str">
        <x:v>depende contrato</x:v>
      </x:c>
      <x:c r="N86" s="3947" t="str">
        <x:v>evidencia offline si soportada</x:v>
      </x:c>
      <x:c r="O86" s="3947" t="str">
        <x:v>RUL-069</x:v>
      </x:c>
      <x:c r="P86" s="3947" t="str">
        <x:v>BASELINE</x:v>
      </x:c>
    </x:row>
    <x:row r="87" ht="62" customHeight="1">
      <x:c r="A87" s="3947" t="str">
        <x:v>CAP-083</x:v>
      </x:c>
      <x:c r="B87" s="3947" t="str">
        <x:v>UX-14</x:v>
      </x:c>
      <x:c r="C87" s="3947" t="str">
        <x:v>Validación cliente</x:v>
      </x:c>
      <x:c r="D87" s="3947" t="str">
        <x:v>Cliente</x:v>
      </x:c>
      <x:c r="E87" s="3947" t="str">
        <x:v>Observación</x:v>
      </x:c>
      <x:c r="F87" s="3947" t="str">
        <x:v>ObservacionCertificacion</x:v>
      </x:c>
      <x:c r="G87" s="3947" t="str">
        <x:v>cliente</x:v>
      </x:c>
      <x:c r="H87" s="4481" t="str">
        <x:v>EXCEPCION_ONLY</x:v>
      </x:c>
      <x:c r="I87" s="3947" t="str">
        <x:v>motivo corto si rechaza/observa</x:v>
      </x:c>
      <x:c r="J87" s="3947" t="str">
        <x:v>Cond.</x:v>
      </x:c>
      <x:c r="K87" s="4485" t="n">
        <x:v>1</x:v>
      </x:c>
      <x:c r="L87" s="4485" t="n">
        <x:v>10</x:v>
      </x:c>
      <x:c r="M87" s="3947" t="str">
        <x:v>solo cuando aplica</x:v>
      </x:c>
      <x:c r="N87" s="3947" t="str">
        <x:v>—</x:v>
      </x:c>
      <x:c r="O87" s="3947" t="str">
        <x:v>RUL-063</x:v>
      </x:c>
      <x:c r="P87" s="3947" t="str">
        <x:v>BASELINE</x:v>
      </x:c>
    </x:row>
    <x:row r="88" ht="62" customHeight="1">
      <x:c r="A88" s="3947" t="str">
        <x:v>CAP-084</x:v>
      </x:c>
      <x:c r="B88" s="3947" t="str">
        <x:v>UX-15</x:v>
      </x:c>
      <x:c r="C88" s="3947" t="str">
        <x:v>Certificación/Facturación</x:v>
      </x:c>
      <x:c r="D88" s="3947" t="str">
        <x:v>Back Office</x:v>
      </x:c>
      <x:c r="E88" s="3947" t="str">
        <x:v>UnidadComercial/cantidad</x:v>
      </x:c>
      <x:c r="F88" s="3947" t="str">
        <x:v>UnidadComercial</x:v>
      </x:c>
      <x:c r="G88" s="3947" t="str">
        <x:v>motor contractual</x:v>
      </x:c>
      <x:c r="H88" s="4481" t="str">
        <x:v>BACK_OFFICE</x:v>
      </x:c>
      <x:c r="I88" s="3947" t="str">
        <x:v>ninguna al campo</x:v>
      </x:c>
      <x:c r="J88" s="3947" t="str">
        <x:v>Sí</x:v>
      </x:c>
      <x:c r="K88" s="4483" t="n">
        <x:v>0</x:v>
      </x:c>
      <x:c r="L88" s="4483" t="n">
        <x:v>0</x:v>
      </x:c>
      <x:c r="M88" s="3947" t="str">
        <x:v>100% derivada de ejecución/config</x:v>
      </x:c>
      <x:c r="N88" s="3947" t="str">
        <x:v>bloquear si config faltante</x:v>
      </x:c>
      <x:c r="O88" s="3947" t="str">
        <x:v>RUL-059,RUL-060,RUL-061</x:v>
      </x:c>
      <x:c r="P88" s="3947" t="str">
        <x:v>BASELINE</x:v>
      </x:c>
    </x:row>
    <x:row r="89" ht="62" customHeight="1">
      <x:c r="A89" s="3947" t="str">
        <x:v>CAP-085</x:v>
      </x:c>
      <x:c r="B89" s="3947" t="str">
        <x:v>UX-15</x:v>
      </x:c>
      <x:c r="C89" s="3947" t="str">
        <x:v>Certificación/Facturación</x:v>
      </x:c>
      <x:c r="D89" s="3947" t="str">
        <x:v>Back Office</x:v>
      </x:c>
      <x:c r="E89" s="3947" t="str">
        <x:v>Paquete certificación</x:v>
      </x:c>
      <x:c r="F89" s="3947" t="str">
        <x:v>PaqueteCertificacion</x:v>
      </x:c>
      <x:c r="G89" s="3947" t="str">
        <x:v>reglas agrupación</x:v>
      </x:c>
      <x:c r="H89" s="4481" t="str">
        <x:v>BACK_OFFICE</x:v>
      </x:c>
      <x:c r="I89" s="3947" t="str">
        <x:v>ninguna al campo</x:v>
      </x:c>
      <x:c r="J89" s="3947" t="str">
        <x:v>Cond.</x:v>
      </x:c>
      <x:c r="K89" s="4483" t="n">
        <x:v>0</x:v>
      </x:c>
      <x:c r="L89" s="4483" t="n">
        <x:v>0</x:v>
      </x:c>
      <x:c r="M89" s="3947" t="str">
        <x:v>derivación/config</x:v>
      </x:c>
      <x:c r="N89" s="3947" t="str">
        <x:v>—</x:v>
      </x:c>
      <x:c r="O89" s="3947" t="str">
        <x:v>RUL-067,RUL-068</x:v>
      </x:c>
      <x:c r="P89" s="3947" t="str">
        <x:v>BASELINE</x:v>
      </x:c>
    </x:row>
    <x:row r="90" ht="62" customHeight="1">
      <x:c r="A90" s="3947" t="str">
        <x:v>CAP-086</x:v>
      </x:c>
      <x:c r="B90" s="3947" t="str">
        <x:v>UX-15</x:v>
      </x:c>
      <x:c r="C90" s="3947" t="str">
        <x:v>Certificación/Facturación</x:v>
      </x:c>
      <x:c r="D90" s="3947" t="str">
        <x:v>Back Office</x:v>
      </x:c>
      <x:c r="E90" s="3947" t="str">
        <x:v>Línea/Lote facturable</x:v>
      </x:c>
      <x:c r="F90" s="3947" t="str">
        <x:v>Linea/Lote</x:v>
      </x:c>
      <x:c r="G90" s="3947" t="str">
        <x:v>reglas billing</x:v>
      </x:c>
      <x:c r="H90" s="4481" t="str">
        <x:v>BACK_OFFICE</x:v>
      </x:c>
      <x:c r="I90" s="3947" t="str">
        <x:v>ninguna al campo</x:v>
      </x:c>
      <x:c r="J90" s="3947" t="str">
        <x:v>Cond.</x:v>
      </x:c>
      <x:c r="K90" s="4483" t="n">
        <x:v>0</x:v>
      </x:c>
      <x:c r="L90" s="4483" t="n">
        <x:v>0</x:v>
      </x:c>
      <x:c r="M90" s="3947" t="str">
        <x:v>derivación/config</x:v>
      </x:c>
      <x:c r="N90" s="3947" t="str">
        <x:v>—</x:v>
      </x:c>
      <x:c r="O90" s="3947" t="str">
        <x:v>RUL-070,RUL-071,RUL-072</x:v>
      </x:c>
      <x:c r="P90" s="3947" t="str">
        <x:v>BASELINE</x:v>
      </x:c>
    </x:row>
  </x:sheetData>
  <x:mergeCells>
    <x:mergeCell ref="A1:P1"/>
    <x:mergeCell ref="A2:P2"/>
  </x:mergeCells>
  <x:pageMargins left="0.7" right="0.7" top="0.75" bottom="0.75" header="0.3" footer="0.3"/>
</x:worksheet>
</file>

<file path=xl/worksheets/sheet68.xml><?xml version="1.0" encoding="utf-8"?>
<x:worksheet xmlns:x="http://schemas.openxmlformats.org/spreadsheetml/2006/main">
  <x:sheetFormatPr defaultRowHeight="15"/>
  <x:cols>
    <x:col min="1" max="1" width="10" hidden="0" customWidth="1"/>
    <x:col min="2" max="2" width="28" hidden="0" customWidth="1"/>
    <x:col min="3" max="3" width="24" hidden="0" customWidth="1"/>
    <x:col min="4" max="4" width="14" hidden="0" customWidth="1"/>
    <x:col min="5" max="5" width="14" hidden="0" customWidth="1"/>
    <x:col min="6" max="6" width="14" hidden="0" customWidth="1"/>
    <x:col min="7" max="7" width="16" hidden="0" customWidth="1"/>
    <x:col min="8" max="8" width="44" hidden="0" customWidth="1"/>
    <x:col min="9" max="9" width="18" hidden="0" customWidth="1"/>
  </x:cols>
  <x:sheetData>
    <x:row r="1">
      <x:c r="A1" s="4486" t="str">
        <x:v>PRESUPUESTO DE INTERACCIÓN · OBJETIVO ≤2 MIN</x:v>
      </x:c>
      <x:c r="B1" s="4486"/>
      <x:c r="C1" s="4486"/>
      <x:c r="D1" s="4486"/>
      <x:c r="E1" s="4486"/>
      <x:c r="F1" s="4486"/>
      <x:c r="G1" s="4486"/>
      <x:c r="H1" s="4486"/>
      <x:c r="I1" s="4486"/>
    </x:row>
    <x:row r="2">
      <x:c r="A2" s="4487" t="str">
        <x:v>El Parte se construye incrementalmente. El presupuesto mide cada microinteracción crítica de campo; no obliga a completar un formulario monolítico al final del día.</x:v>
      </x:c>
      <x:c r="B2" s="4487"/>
      <x:c r="C2" s="4487"/>
      <x:c r="D2" s="4487"/>
      <x:c r="E2" s="4487"/>
      <x:c r="F2" s="4487"/>
      <x:c r="G2" s="4487"/>
      <x:c r="H2" s="4487"/>
      <x:c r="I2" s="4487"/>
    </x:row>
    <x:row r="3">
      <x:c r="A3" s="1277"/>
      <x:c r="B3" s="1277"/>
      <x:c r="C3" s="1277"/>
      <x:c r="D3" s="1277"/>
      <x:c r="E3" s="1277"/>
      <x:c r="F3" s="1277"/>
      <x:c r="G3" s="1277"/>
      <x:c r="H3" s="1277"/>
      <x:c r="I3" s="1277"/>
    </x:row>
    <x:row r="4">
      <x:c r="A4" s="4488" t="str">
        <x:v>Interacción</x:v>
      </x:c>
      <x:c r="B4" s="4488" t="str">
        <x:v>Nombre</x:v>
      </x:c>
      <x:c r="C4" s="4488" t="str">
        <x:v>Actor principal</x:v>
      </x:c>
      <x:c r="D4" s="4488" t="str">
        <x:v>Touches humanos</x:v>
      </x:c>
      <x:c r="E4" s="4488" t="str">
        <x:v>Segundos estimados</x:v>
      </x:c>
      <x:c r="F4" s="4488" t="str">
        <x:v>Target s</x:v>
      </x:c>
      <x:c r="G4" s="4488" t="str">
        <x:v>Resultado</x:v>
      </x:c>
      <x:c r="H4" s="4488" t="str">
        <x:v>Diseño esperado</x:v>
      </x:c>
      <x:c r="I4" s="4488" t="str">
        <x:v>¿Bloquea freeze?</x:v>
      </x:c>
    </x:row>
    <x:row r="5" ht="58" customHeight="1">
      <x:c r="A5" s="1327" t="str">
        <x:v>UX-01</x:v>
      </x:c>
      <x:c r="B5" s="1327" t="str">
        <x:v>Start Work planificado</x:v>
      </x:c>
      <x:c r="C5" s="1327" t="str">
        <x:v>Operario</x:v>
      </x:c>
      <x:c r="D5" s="4489" t="n">
        <x:f>SUMIF('65_Matriz_Automatizacion_Campo'!$B$5:$B$90,A5,'65_Matriz_Automatizacion_Campo'!$K$5:$K$90)</x:f>
        <x:v>2</x:v>
      </x:c>
      <x:c r="E5" s="4489" t="n">
        <x:f>SUMIF('65_Matriz_Automatizacion_Campo'!$B$5:$B$90,A5,'65_Matriz_Automatizacion_Campo'!$L$5:$L$90)</x:f>
        <x:v>5</x:v>
      </x:c>
      <x:c r="F5" s="4489" t="n">
        <x:v>20</x:v>
      </x:c>
      <x:c r="G5" s="4489" t="str">
        <x:f>IF(E5&lt;=F5,"PASS","REVISAR")</x:f>
        <x:v>PASS</x:v>
      </x:c>
      <x:c r="H5" s="1327" t="str">
        <x:v>Casi todo derivado; confirmar ubicación + iniciar.</x:v>
      </x:c>
      <x:c r="I5" s="1327" t="str">
        <x:v>Sí</x:v>
      </x:c>
    </x:row>
    <x:row r="6" ht="58" customHeight="1">
      <x:c r="A6" s="1327" t="str">
        <x:v>UX-02</x:v>
      </x:c>
      <x:c r="B6" s="1327" t="str">
        <x:v>Inicio emergente/offline</x:v>
      </x:c>
      <x:c r="C6" s="1327" t="str">
        <x:v>Operario + supervisor</x:v>
      </x:c>
      <x:c r="D6" s="4489" t="n">
        <x:f>SUMIF('65_Matriz_Automatizacion_Campo'!$B$5:$B$90,A6,'65_Matriz_Automatizacion_Campo'!$K$5:$K$90)</x:f>
        <x:v>6</x:v>
      </x:c>
      <x:c r="E6" s="4489" t="n">
        <x:f>SUMIF('65_Matriz_Automatizacion_Campo'!$B$5:$B$90,A6,'65_Matriz_Automatizacion_Campo'!$L$5:$L$90)</x:f>
        <x:v>48</x:v>
      </x:c>
      <x:c r="F6" s="4489" t="n">
        <x:v>120</x:v>
      </x:c>
      <x:c r="G6" s="4489" t="str">
        <x:f>IF(E6&lt;=F6,"PASS","REVISAR")</x:f>
        <x:v>PASS</x:v>
      </x:c>
      <x:c r="H6" s="1327" t="str">
        <x:v>Descripción breve + motivo + confirmaciones + autorización.</x:v>
      </x:c>
      <x:c r="I6" s="1327" t="str">
        <x:v>Sí</x:v>
      </x:c>
    </x:row>
    <x:row r="7" ht="58" customHeight="1">
      <x:c r="A7" s="1327" t="str">
        <x:v>UX-03</x:v>
      </x:c>
      <x:c r="B7" s="1327" t="str">
        <x:v>Cambio de turno / handover</x:v>
      </x:c>
      <x:c r="C7" s="1327" t="str">
        <x:v>Operario/Supervisor</x:v>
      </x:c>
      <x:c r="D7" s="4489" t="n">
        <x:f>SUMIF('65_Matriz_Automatizacion_Campo'!$B$5:$B$90,A7,'65_Matriz_Automatizacion_Campo'!$K$5:$K$90)</x:f>
        <x:v>4</x:v>
      </x:c>
      <x:c r="E7" s="4489" t="n">
        <x:f>SUMIF('65_Matriz_Automatizacion_Campo'!$B$5:$B$90,A7,'65_Matriz_Automatizacion_Campo'!$L$5:$L$90)</x:f>
        <x:v>26</x:v>
      </x:c>
      <x:c r="F7" s="4489" t="n">
        <x:v>45</x:v>
      </x:c>
      <x:c r="G7" s="4489" t="str">
        <x:f>IF(E7&lt;=F7,"PASS","REVISAR")</x:f>
        <x:v>PASS</x:v>
      </x:c>
      <x:c r="H7" s="1327" t="str">
        <x:v>Confirmar delta de personas/recursos; no reconstruir Parte.</x:v>
      </x:c>
      <x:c r="I7" s="1327" t="str">
        <x:v>Sí</x:v>
      </x:c>
    </x:row>
    <x:row r="8" ht="58" customHeight="1">
      <x:c r="A8" s="1327" t="str">
        <x:v>UX-04</x:v>
      </x:c>
      <x:c r="B8" s="1327" t="str">
        <x:v>Reemplazo persona/recurso</x:v>
      </x:c>
      <x:c r="C8" s="1327" t="str">
        <x:v>Operario/Supervisor</x:v>
      </x:c>
      <x:c r="D8" s="4489" t="n">
        <x:f>SUMIF('65_Matriz_Automatizacion_Campo'!$B$5:$B$90,A8,'65_Matriz_Automatizacion_Campo'!$K$5:$K$90)</x:f>
        <x:v>3</x:v>
      </x:c>
      <x:c r="E8" s="4489" t="n">
        <x:f>SUMIF('65_Matriz_Automatizacion_Campo'!$B$5:$B$90,A8,'65_Matriz_Automatizacion_Campo'!$L$5:$L$90)</x:f>
        <x:v>12</x:v>
      </x:c>
      <x:c r="F8" s="4489" t="n">
        <x:v>30</x:v>
      </x:c>
      <x:c r="G8" s="4489" t="str">
        <x:f>IF(E8&lt;=F8,"PASS","REVISAR")</x:f>
        <x:v>PASS</x:v>
      </x:c>
      <x:c r="H8" s="1327" t="str">
        <x:v>Seleccionar saliente/entrante + motivo; elegibilidad automática.</x:v>
      </x:c>
      <x:c r="I8" s="1327" t="str">
        <x:v>Sí</x:v>
      </x:c>
    </x:row>
    <x:row r="9" ht="58" customHeight="1">
      <x:c r="A9" s="1327" t="str">
        <x:v>UX-05</x:v>
      </x:c>
      <x:c r="B9" s="1327" t="str">
        <x:v>Cambio/confirmación ubicación</x:v>
      </x:c>
      <x:c r="C9" s="1327" t="str">
        <x:v>Operario</x:v>
      </x:c>
      <x:c r="D9" s="4489" t="n">
        <x:f>SUMIF('65_Matriz_Automatizacion_Campo'!$B$5:$B$90,A9,'65_Matriz_Automatizacion_Campo'!$K$5:$K$90)</x:f>
        <x:v>1</x:v>
      </x:c>
      <x:c r="E9" s="4489" t="n">
        <x:f>SUMIF('65_Matriz_Automatizacion_Campo'!$B$5:$B$90,A9,'65_Matriz_Automatizacion_Campo'!$L$5:$L$90)</x:f>
        <x:v>4</x:v>
      </x:c>
      <x:c r="F9" s="4489" t="n">
        <x:v>20</x:v>
      </x:c>
      <x:c r="G9" s="4489" t="str">
        <x:f>IF(E9&lt;=F9,"PASS","REVISAR")</x:f>
        <x:v>PASS</x:v>
      </x:c>
      <x:c r="H9" s="1327" t="str">
        <x:v>Confirmar ubicación; corte/routing automático.</x:v>
      </x:c>
      <x:c r="I9" s="1327" t="str">
        <x:v>Sí</x:v>
      </x:c>
    </x:row>
    <x:row r="10" ht="58" customHeight="1">
      <x:c r="A10" s="1327" t="str">
        <x:v>UX-06</x:v>
      </x:c>
      <x:c r="B10" s="1327" t="str">
        <x:v>Cambio categoría de tiempo</x:v>
      </x:c>
      <x:c r="C10" s="1327" t="str">
        <x:v>Operario</x:v>
      </x:c>
      <x:c r="D10" s="4489" t="n">
        <x:f>SUMIF('65_Matriz_Automatizacion_Campo'!$B$5:$B$90,A10,'65_Matriz_Automatizacion_Campo'!$K$5:$K$90)</x:f>
        <x:v>2</x:v>
      </x:c>
      <x:c r="E10" s="4489" t="n">
        <x:f>SUMIF('65_Matriz_Automatizacion_Campo'!$B$5:$B$90,A10,'65_Matriz_Automatizacion_Campo'!$L$5:$L$90)</x:f>
        <x:v>7</x:v>
      </x:c>
      <x:c r="F10" s="4489" t="n">
        <x:v>10</x:v>
      </x:c>
      <x:c r="G10" s="4489" t="str">
        <x:f>IF(E10&lt;=F10,"PASS","REVISAR")</x:f>
        <x:v>PASS</x:v>
      </x:c>
      <x:c r="H10" s="1327" t="str">
        <x:v>Ideal 1 tap; intervalos automáticos.</x:v>
      </x:c>
      <x:c r="I10" s="1327" t="str">
        <x:v>Sí</x:v>
      </x:c>
    </x:row>
    <x:row r="11" ht="58" customHeight="1">
      <x:c r="A11" s="1327" t="str">
        <x:v>UX-07</x:v>
      </x:c>
      <x:c r="B11" s="1327" t="str">
        <x:v>Medición/evidencia TP-01</x:v>
      </x:c>
      <x:c r="C11" s="1327" t="str">
        <x:v>Operario</x:v>
      </x:c>
      <x:c r="D11" s="4489" t="n">
        <x:f>SUMIF('65_Matriz_Automatizacion_Campo'!$B$5:$B$90,A11,'65_Matriz_Automatizacion_Campo'!$K$5:$K$90)</x:f>
        <x:v>3</x:v>
      </x:c>
      <x:c r="E11" s="4489" t="n">
        <x:f>SUMIF('65_Matriz_Automatizacion_Campo'!$B$5:$B$90,A11,'65_Matriz_Automatizacion_Campo'!$L$5:$L$90)</x:f>
        <x:v>33</x:v>
      </x:c>
      <x:c r="F11" s="4489" t="n">
        <x:v>45</x:v>
      </x:c>
      <x:c r="G11" s="4489" t="str">
        <x:f>IF(E11&lt;=F11,"PASS","REVISAR")</x:f>
        <x:v>PASS</x:v>
      </x:c>
      <x:c r="H11" s="1327" t="str">
        <x:v>Solo valor/evidencia que no pueda derivarse.</x:v>
      </x:c>
      <x:c r="I11" s="1327" t="str">
        <x:v>Sí</x:v>
      </x:c>
    </x:row>
    <x:row r="12" ht="58" customHeight="1">
      <x:c r="A12" s="1327" t="str">
        <x:v>UX-08</x:v>
      </x:c>
      <x:c r="B12" s="1327" t="str">
        <x:v>Cierre UnidadEjecucion</x:v>
      </x:c>
      <x:c r="C12" s="1327" t="str">
        <x:v>Operario</x:v>
      </x:c>
      <x:c r="D12" s="4489" t="n">
        <x:f>SUMIF('65_Matriz_Automatizacion_Campo'!$B$5:$B$90,A12,'65_Matriz_Automatizacion_Campo'!$K$5:$K$90)</x:f>
        <x:v>3</x:v>
      </x:c>
      <x:c r="E12" s="4489" t="n">
        <x:f>SUMIF('65_Matriz_Automatizacion_Campo'!$B$5:$B$90,A12,'65_Matriz_Automatizacion_Campo'!$L$5:$L$90)</x:f>
        <x:v>10</x:v>
      </x:c>
      <x:c r="F12" s="4489" t="n">
        <x:v>60</x:v>
      </x:c>
      <x:c r="G12" s="4489" t="str">
        <x:f>IF(E12&lt;=F12,"PASS","REVISAR")</x:f>
        <x:v>PASS</x:v>
      </x:c>
      <x:c r="H12" s="1327" t="str">
        <x:v>Resolver faltantes reales + resultado + confirmar cierre.</x:v>
      </x:c>
      <x:c r="I12" s="1327" t="str">
        <x:v>Sí</x:v>
      </x:c>
    </x:row>
    <x:row r="13" ht="58" customHeight="1">
      <x:c r="A13" s="1327" t="str">
        <x:v>UX-09</x:v>
      </x:c>
      <x:c r="B13" s="1327" t="str">
        <x:v>Cierre Parte</x:v>
      </x:c>
      <x:c r="C13" s="1327" t="str">
        <x:v>Operario/Supervisor</x:v>
      </x:c>
      <x:c r="D13" s="4489" t="n">
        <x:f>SUMIF('65_Matriz_Automatizacion_Campo'!$B$5:$B$90,A13,'65_Matriz_Automatizacion_Campo'!$K$5:$K$90)</x:f>
        <x:v>1</x:v>
      </x:c>
      <x:c r="E13" s="4489" t="n">
        <x:f>SUMIF('65_Matriz_Automatizacion_Campo'!$B$5:$B$90,A13,'65_Matriz_Automatizacion_Campo'!$L$5:$L$90)</x:f>
        <x:v>2</x:v>
      </x:c>
      <x:c r="F13" s="4489" t="n">
        <x:v>20</x:v>
      </x:c>
      <x:c r="G13" s="4489" t="str">
        <x:f>IF(E13&lt;=F13,"PASS","REVISAR")</x:f>
        <x:v>PASS</x:v>
      </x:c>
      <x:c r="H13" s="1327" t="str">
        <x:v>Resumen automático; 1 confirmación si no hay blockers.</x:v>
      </x:c>
      <x:c r="I13" s="1327" t="str">
        <x:v>Sí</x:v>
      </x:c>
    </x:row>
    <x:row r="14" ht="58" customHeight="1">
      <x:c r="A14" s="1327" t="str">
        <x:v>UX-10</x:v>
      </x:c>
      <x:c r="B14" s="1327" t="str">
        <x:v>TP-02 movimiento</x:v>
      </x:c>
      <x:c r="C14" s="1327" t="str">
        <x:v>Operario</x:v>
      </x:c>
      <x:c r="D14" s="4489" t="n">
        <x:f>SUMIF('65_Matriz_Automatizacion_Campo'!$B$5:$B$90,A14,'65_Matriz_Automatizacion_Campo'!$K$5:$K$90)</x:f>
        <x:v>5</x:v>
      </x:c>
      <x:c r="E14" s="4489" t="n">
        <x:f>SUMIF('65_Matriz_Automatizacion_Campo'!$B$5:$B$90,A14,'65_Matriz_Automatizacion_Campo'!$L$5:$L$90)</x:f>
        <x:v>17</x:v>
      </x:c>
      <x:c r="F14" s="4489" t="n">
        <x:v>45</x:v>
      </x:c>
      <x:c r="G14" s="4489" t="str">
        <x:f>IF(E14&lt;=F14,"PASS","REVISAR")</x:f>
        <x:v>PASS</x:v>
      </x:c>
      <x:c r="H14" s="1327" t="str">
        <x:v>Confirmar origen/destino/carga y start/end; contexto ya conocido.</x:v>
      </x:c>
      <x:c r="I14" s="1327" t="str">
        <x:v>Sí</x:v>
      </x:c>
    </x:row>
    <x:row r="15" ht="58" customHeight="1">
      <x:c r="A15" s="1327" t="str">
        <x:v>UX-11</x:v>
      </x:c>
      <x:c r="B15" s="1327" t="str">
        <x:v>TP-03 cierre/cuadrilla</x:v>
      </x:c>
      <x:c r="C15" s="1327" t="str">
        <x:v>Operario/Supervisor</x:v>
      </x:c>
      <x:c r="D15" s="4489" t="n">
        <x:f>SUMIF('65_Matriz_Automatizacion_Campo'!$B$5:$B$90,A15,'65_Matriz_Automatizacion_Campo'!$K$5:$K$90)</x:f>
        <x:v>4</x:v>
      </x:c>
      <x:c r="E15" s="4489" t="n">
        <x:f>SUMIF('65_Matriz_Automatizacion_Campo'!$B$5:$B$90,A15,'65_Matriz_Automatizacion_Campo'!$L$5:$L$90)</x:f>
        <x:v>23</x:v>
      </x:c>
      <x:c r="F15" s="4489" t="n">
        <x:v>45</x:v>
      </x:c>
      <x:c r="G15" s="4489" t="str">
        <x:f>IF(E15&lt;=F15,"PASS","REVISAR")</x:f>
        <x:v>PASS</x:v>
      </x:c>
      <x:c r="H15" s="1327" t="str">
        <x:v>Roster/horas/trabajos derivados; solo novedades + confirmación.</x:v>
      </x:c>
      <x:c r="I15" s="1327" t="str">
        <x:v>Sí</x:v>
      </x:c>
    </x:row>
    <x:row r="16" ht="58" customHeight="1">
      <x:c r="A16" s="1327" t="str">
        <x:v>UX-12</x:v>
      </x:c>
      <x:c r="B16" s="1327" t="str">
        <x:v>Flash Report Habilita</x:v>
      </x:c>
      <x:c r="C16" s="1327" t="str">
        <x:v>Operario</x:v>
      </x:c>
      <x:c r="D16" s="4489" t="n">
        <x:f>SUMIF('65_Matriz_Automatizacion_Campo'!$B$5:$B$90,A16,'65_Matriz_Automatizacion_Campo'!$K$5:$K$90)</x:f>
        <x:v>7</x:v>
      </x:c>
      <x:c r="E16" s="4489" t="n">
        <x:f>SUMIF('65_Matriz_Automatizacion_Campo'!$B$5:$B$90,A16,'65_Matriz_Automatizacion_Campo'!$L$5:$L$90)</x:f>
        <x:v>54</x:v>
      </x:c>
      <x:c r="F16" s="4489" t="n">
        <x:v>120</x:v>
      </x:c>
      <x:c r="G16" s="4489" t="str">
        <x:f>IF(E16&lt;=F16,"PASS","REVISAR")</x:f>
        <x:v>PASS</x:v>
      </x:c>
      <x:c r="H16" s="1327" t="str">
        <x:v>Contexto auto + categoría + descripción breve + controlada sí/no + evidencia opcional.</x:v>
      </x:c>
      <x:c r="I16" s="1327" t="str">
        <x:v>Sí</x:v>
      </x:c>
    </x:row>
    <x:row r="17" ht="58" customHeight="1">
      <x:c r="A17" s="1327" t="str">
        <x:v>UX-13</x:v>
      </x:c>
      <x:c r="B17" s="1327" t="str">
        <x:v>PTW activation/closure</x:v>
      </x:c>
      <x:c r="C17" s="1327" t="str">
        <x:v>Supervisor/Habilita</x:v>
      </x:c>
      <x:c r="D17" s="4489" t="n">
        <x:f>SUMIF('65_Matriz_Automatizacion_Campo'!$B$5:$B$90,A17,'65_Matriz_Automatizacion_Campo'!$K$5:$K$90)</x:f>
        <x:v>4</x:v>
      </x:c>
      <x:c r="E17" s="4489" t="n">
        <x:f>SUMIF('65_Matriz_Automatizacion_Campo'!$B$5:$B$90,A17,'65_Matriz_Automatizacion_Campo'!$L$5:$L$90)</x:f>
        <x:v>35</x:v>
      </x:c>
      <x:c r="F17" s="4489" t="n">
        <x:v>120</x:v>
      </x:c>
      <x:c r="G17" s="4489" t="str">
        <x:f>IF(E17&lt;=F17,"PASS","REVISAR")</x:f>
        <x:v>PASS</x:v>
      </x:c>
      <x:c r="H17" s="1327" t="str">
        <x:v>No se mide contra operador normal, pero sigue diseño rápido y contextual.</x:v>
      </x:c>
      <x:c r="I17" s="1327" t="str">
        <x:v>No para Parte</x:v>
      </x:c>
    </x:row>
    <x:row r="18" ht="58" customHeight="1">
      <x:c r="A18" s="1327" t="str">
        <x:v>UX-14</x:v>
      </x:c>
      <x:c r="B18" s="1327" t="str">
        <x:v>Validación cliente</x:v>
      </x:c>
      <x:c r="C18" s="1327" t="str">
        <x:v>Cliente</x:v>
      </x:c>
      <x:c r="D18" s="4489" t="n">
        <x:f>SUMIF('65_Matriz_Automatizacion_Campo'!$B$5:$B$90,A18,'65_Matriz_Automatizacion_Campo'!$K$5:$K$90)</x:f>
        <x:v>2</x:v>
      </x:c>
      <x:c r="E18" s="4489" t="n">
        <x:f>SUMIF('65_Matriz_Automatizacion_Campo'!$B$5:$B$90,A18,'65_Matriz_Automatizacion_Campo'!$L$5:$L$90)</x:f>
        <x:v>25</x:v>
      </x:c>
      <x:c r="F18" s="4489" t="n">
        <x:v>60</x:v>
      </x:c>
      <x:c r="G18" s="4489" t="str">
        <x:f>IF(E18&lt;=F18,"PASS","REVISAR")</x:f>
        <x:v>PASS</x:v>
      </x:c>
      <x:c r="H18" s="1327" t="str">
        <x:v>Aceptar/rechazar/firma; observación solo si excepción.</x:v>
      </x:c>
      <x:c r="I18" s="1327" t="str">
        <x:v>No para operador</x:v>
      </x:c>
    </x:row>
    <x:row r="19" ht="58" customHeight="1">
      <x:c r="A19" s="1327" t="str">
        <x:v>UX-15</x:v>
      </x:c>
      <x:c r="B19" s="1327" t="str">
        <x:v>Certificación/Facturación</x:v>
      </x:c>
      <x:c r="C19" s="1327" t="str">
        <x:v>Back Office</x:v>
      </x:c>
      <x:c r="D19" s="4489" t="n">
        <x:f>SUMIF('65_Matriz_Automatizacion_Campo'!$B$5:$B$90,A19,'65_Matriz_Automatizacion_Campo'!$K$5:$K$90)</x:f>
        <x:v>0</x:v>
      </x:c>
      <x:c r="E19" s="4489" t="n">
        <x:f>SUMIF('65_Matriz_Automatizacion_Campo'!$B$5:$B$90,A19,'65_Matriz_Automatizacion_Campo'!$L$5:$L$90)</x:f>
        <x:v>0</x:v>
      </x:c>
      <x:c r="F19" s="4489" t="n">
        <x:v>0</x:v>
      </x:c>
      <x:c r="G19" s="4489" t="str">
        <x:f>IF(E19&lt;=F19,"PASS","REVISAR")</x:f>
        <x:v>PASS</x:v>
      </x:c>
      <x:c r="H19" s="1327" t="str">
        <x:v>Cero input de campo adicional.</x:v>
      </x:c>
      <x:c r="I19" s="1327" t="str">
        <x:v>Sí</x:v>
      </x:c>
    </x:row>
    <x:row r="22">
      <x:c r="A22" s="4490" t="str">
        <x:v>CHECK DE DISEÑO</x:v>
      </x:c>
      <x:c r="B22" s="4490"/>
      <x:c r="C22" s="4490"/>
      <x:c r="D22" s="4490"/>
      <x:c r="E22" s="4490"/>
      <x:c r="F22" s="4490"/>
      <x:c r="G22" s="4490"/>
      <x:c r="H22" s="4490"/>
      <x:c r="I22" s="4490"/>
    </x:row>
    <x:row r="23" ht="38" customHeight="1">
      <x:c r="A23" s="4492" t="str">
        <x:v>KPI</x:v>
      </x:c>
      <x:c r="B23" s="4492" t="str">
        <x:v>Valor</x:v>
      </x:c>
      <x:c r="C23" s="4492" t="str">
        <x:v>Criterio</x:v>
      </x:c>
    </x:row>
    <x:row r="24" ht="38" customHeight="1">
      <x:c r="A24" s="20" t="str">
        <x:v>Interacciones críticas evaluadas</x:v>
      </x:c>
      <x:c r="B24" s="20" t="n">
        <x:f>COUNTIF($I$5:$I$19,"Sí")</x:f>
        <x:v>13</x:v>
      </x:c>
      <x:c r="C24" s="20" t="str">
        <x:v>UX-01..UX-12 + UX-15</x:v>
      </x:c>
    </x:row>
    <x:row r="25" ht="38" customHeight="1">
      <x:c r="A25" s="20" t="str">
        <x:v>Interacciones &gt;120 s</x:v>
      </x:c>
      <x:c r="B25" s="20" t="n">
        <x:f>COUNTIF($G$5:$G$19,"REVISAR")</x:f>
        <x:v>0</x:v>
      </x:c>
      <x:c r="C25" s="20" t="str">
        <x:v>Debe ser 0</x:v>
      </x:c>
    </x:row>
    <x:row r="26" ht="38" customHeight="1">
      <x:c r="A26" s="20" t="str">
        <x:v>Carga de campo adicional en Cert/Fact</x:v>
      </x:c>
      <x:c r="B26" s="20" t="n">
        <x:f>E19</x:f>
        <x:v>0</x:v>
      </x:c>
      <x:c r="C26" s="20" t="str">
        <x:v>Debe ser 0 s</x:v>
      </x:c>
    </x:row>
    <x:row r="27" ht="38" customHeight="1">
      <x:c r="A27" s="20" t="str">
        <x:v>Principio</x:v>
      </x:c>
      <x:c r="B27" s="20" t="str">
        <x:v>MICROINTERACCIONES</x:v>
      </x:c>
      <x:c r="C27" s="20" t="str">
        <x:v>No formulario final masivo</x:v>
      </x:c>
    </x:row>
  </x:sheetData>
  <x:mergeCells>
    <x:mergeCell ref="A1:I1"/>
    <x:mergeCell ref="A2:I2"/>
    <x:mergeCell ref="A22:I22"/>
  </x:mergeCells>
  <x:conditionalFormatting sqref="G5:G19">
    <x:cfRule type="expression" dxfId="6" priority="1">
      <x:formula>G5="PASS"</x:formula>
    </x:cfRule>
    <x:cfRule type="expression" dxfId="7" priority="2">
      <x:formula>G5="REVISAR"</x:formula>
    </x:cfRule>
  </x:conditionalFormatting>
  <x:pageMargins left="0.7" right="0.7" top="0.75" bottom="0.75" header="0.3" footer="0.3"/>
</x:worksheet>
</file>

<file path=xl/worksheets/sheet69.xml><?xml version="1.0" encoding="utf-8"?>
<x:worksheet xmlns:x="http://schemas.openxmlformats.org/spreadsheetml/2006/main">
  <x:sheetFormatPr defaultRowHeight="15"/>
  <x:cols>
    <x:col min="1" max="1" width="9" hidden="0" customWidth="1"/>
    <x:col min="2" max="2" width="28" hidden="0" customWidth="1"/>
    <x:col min="3" max="3" width="28" hidden="0" customWidth="1"/>
    <x:col min="4" max="4" width="40" hidden="0" customWidth="1"/>
    <x:col min="5" max="5" width="42" hidden="0" customWidth="1"/>
    <x:col min="6" max="6" width="34" hidden="0" customWidth="1"/>
    <x:col min="7" max="7" width="32" hidden="0" customWidth="1"/>
    <x:col min="8" max="8" width="18" hidden="0" customWidth="1"/>
  </x:cols>
  <x:sheetData>
    <x:row r="1">
      <x:c r="A1" s="4480" t="str">
        <x:v>INPUT HUMANO QUE QUEDA · JUSTIFICACIÓN Y FUTURA AUTOMATIZACIÓN</x:v>
      </x:c>
      <x:c r="B1" s="4480"/>
      <x:c r="C1" s="4480"/>
      <x:c r="D1" s="4480"/>
      <x:c r="E1" s="4480"/>
      <x:c r="F1" s="4480"/>
      <x:c r="G1" s="4480"/>
      <x:c r="H1" s="4480"/>
    </x:row>
    <x:row r="2">
      <x:c r="A2" s="4481" t="str">
        <x:v>Si un dato está acá, es porque hoy expresa realidad que el sistema no puede conocer de forma confiable por relaciones existentes. Si una fuente futura aparece, cambia el modo de captura, no el modelo canónico.</x:v>
      </x:c>
      <x:c r="B2" s="4481"/>
      <x:c r="C2" s="4481"/>
      <x:c r="D2" s="4481"/>
      <x:c r="E2" s="4481"/>
      <x:c r="F2" s="4481"/>
      <x:c r="G2" s="4481"/>
      <x:c r="H2" s="4481"/>
    </x:row>
    <x:row r="3">
      <x:c r="A3" s="3945"/>
      <x:c r="B3" s="3945"/>
      <x:c r="C3" s="3945"/>
      <x:c r="D3" s="3945"/>
      <x:c r="E3" s="3945"/>
      <x:c r="F3" s="3945"/>
      <x:c r="G3" s="3945"/>
      <x:c r="H3" s="3945"/>
    </x:row>
    <x:row r="4">
      <x:c r="A4" s="4482" t="str">
        <x:v>ID</x:v>
      </x:c>
      <x:c r="B4" s="4482" t="str">
        <x:v>Input humano</x:v>
      </x:c>
      <x:c r="C4" s="4482" t="str">
        <x:v>Cuándo aparece</x:v>
      </x:c>
      <x:c r="D4" s="4482" t="str">
        <x:v>Por qué no puede autoderivarse hoy</x:v>
      </x:c>
      <x:c r="E4" s="4482" t="str">
        <x:v>Cómo minimizamos interacción</x:v>
      </x:c>
      <x:c r="F4" s="4482" t="str">
        <x:v>Fuente futura posible</x:v>
      </x:c>
      <x:c r="G4" s="4482" t="str">
        <x:v>¿Cambia modelo?</x:v>
      </x:c>
      <x:c r="H4" s="4482" t="str">
        <x:v>Estado</x:v>
      </x:c>
    </x:row>
    <x:row r="5" ht="68" customHeight="1">
      <x:c r="A5" s="3947" t="str">
        <x:v>IH-01</x:v>
      </x:c>
      <x:c r="B5" s="3947" t="str">
        <x:v>Confirmar/corregir ubicación</x:v>
      </x:c>
      <x:c r="C5" s="3947" t="str">
        <x:v>Inicio/cambio/evento Habilita</x:v>
      </x:c>
      <x:c r="D5" s="3947" t="str">
        <x:v>GPS/plan indican candidato, pero la ubicación operacional real debe poder corregirse.</x:v>
      </x:c>
      <x:c r="E5" s="3947" t="str">
        <x:v>1 tap sobre candidato; mostrar cercanas, no catálogo completo.</x:v>
      </x:c>
      <x:c r="F5" s="3947" t="str">
        <x:v>Geofencing / telemática / beacons</x:v>
      </x:c>
      <x:c r="G5" s="3947" t="str">
        <x:v>NO</x:v>
      </x:c>
      <x:c r="H5" s="4483" t="str">
        <x:v>ACEPTADO</x:v>
      </x:c>
    </x:row>
    <x:row r="6" ht="68" customHeight="1">
      <x:c r="A6" s="3947" t="str">
        <x:v>IH-02</x:v>
      </x:c>
      <x:c r="B6" s="3947" t="str">
        <x:v>Descripción de tarea emergente</x:v>
      </x:c>
      <x:c r="C6" s="3947" t="str">
        <x:v>Trabajo no planificado</x:v>
      </x:c>
      <x:c r="D6" s="3947" t="str">
        <x:v>El hecho nuevo todavía no existe en Planificación.</x:v>
      </x:c>
      <x:c r="E6" s="3947" t="str">
        <x:v>Voz o texto corto; contexto autoderivado alrededor.</x:v>
      </x:c>
      <x:c r="F6" s="3947" t="str">
        <x:v>Orden remota integrada / despacho digital</x:v>
      </x:c>
      <x:c r="G6" s="3947" t="str">
        <x:v>NO</x:v>
      </x:c>
      <x:c r="H6" s="4483" t="str">
        <x:v>ACEPTADO</x:v>
      </x:c>
    </x:row>
    <x:row r="7" ht="68" customHeight="1">
      <x:c r="A7" s="3947" t="str">
        <x:v>IH-03</x:v>
      </x:c>
      <x:c r="B7" s="3947" t="str">
        <x:v>Motivo de emergencia/desvío/no realizado</x:v>
      </x:c>
      <x:c r="C7" s="3947" t="str">
        <x:v>Excepción operacional</x:v>
      </x:c>
      <x:c r="D7" s="3947" t="str">
        <x:v>La causa pertenece al hecho observado por campo.</x:v>
      </x:c>
      <x:c r="E7" s="3947" t="str">
        <x:v>Catálogo corto + OTRO con voz breve.</x:v>
      </x:c>
      <x:c r="F7" s="3947" t="str">
        <x:v>Clasificación asistida posterior</x:v>
      </x:c>
      <x:c r="G7" s="3947" t="str">
        <x:v>NO</x:v>
      </x:c>
      <x:c r="H7" s="4483" t="str">
        <x:v>ACEPTADO</x:v>
      </x:c>
    </x:row>
    <x:row r="8" ht="68" customHeight="1">
      <x:c r="A8" s="3947" t="str">
        <x:v>IH-04</x:v>
      </x:c>
      <x:c r="B8" s="3947" t="str">
        <x:v>Autorizar inicio contingente</x:v>
      </x:c>
      <x:c r="C8" s="3947" t="str">
        <x:v>Emergente con contrato pendiente</x:v>
      </x:c>
      <x:c r="D8" s="3947" t="str">
        <x:v>Es una decisión de autoridad, no un dato inferible.</x:v>
      </x:c>
      <x:c r="E8" s="3947" t="str">
        <x:v>Aprobar/rechazar con contexto precargado y motivo corto.</x:v>
      </x:c>
      <x:c r="F8" s="3947" t="str">
        <x:v>Workflow corporativo integrado</x:v>
      </x:c>
      <x:c r="G8" s="3947" t="str">
        <x:v>NO</x:v>
      </x:c>
      <x:c r="H8" s="4483" t="str">
        <x:v>ACEPTADO</x:v>
      </x:c>
    </x:row>
    <x:row r="9" ht="68" customHeight="1">
      <x:c r="A9" s="3947" t="str">
        <x:v>IH-05</x:v>
      </x:c>
      <x:c r="B9" s="3947" t="str">
        <x:v>Elegir reemplazo real</x:v>
      </x:c>
      <x:c r="C9" s="3947" t="str">
        <x:v>Cambio persona/recurso</x:v>
      </x:c>
      <x:c r="D9" s="3947" t="str">
        <x:v>El sistema puede filtrar elegibles, pero no siempre saber quién efectivamente tomó el rol.</x:v>
      </x:c>
      <x:c r="E9" s="3947" t="str">
        <x:v>Mostrar solo candidatos elegibles/disponibles.</x:v>
      </x:c>
      <x:c r="F9" s="3947" t="str">
        <x:v>Telemática/login/NFC futuro</x:v>
      </x:c>
      <x:c r="G9" s="3947" t="str">
        <x:v>NO</x:v>
      </x:c>
      <x:c r="H9" s="4483" t="str">
        <x:v>ACEPTADO</x:v>
      </x:c>
    </x:row>
    <x:row r="10" ht="68" customHeight="1">
      <x:c r="A10" s="3947" t="str">
        <x:v>IH-06</x:v>
      </x:c>
      <x:c r="B10" s="3947" t="str">
        <x:v>Categoría/motivo de espera cuando no es inferible</x:v>
      </x:c>
      <x:c r="C10" s="3947" t="str">
        <x:v>Cambio de tiempo</x:v>
      </x:c>
      <x:c r="D10" s="3947" t="str">
        <x:v>El sistema ve ausencia de ejecución pero no siempre la causa operacional.</x:v>
      </x:c>
      <x:c r="E10" s="3947" t="str">
        <x:v>1 selección contextual; no pedir comentario obligatorio.</x:v>
      </x:c>
      <x:c r="F10" s="3947" t="str">
        <x:v>Sensores/dispatch/eventos integrados</x:v>
      </x:c>
      <x:c r="G10" s="3947" t="str">
        <x:v>NO</x:v>
      </x:c>
      <x:c r="H10" s="4483" t="str">
        <x:v>ACEPTADO</x:v>
      </x:c>
    </x:row>
    <x:row r="11" ht="68" customHeight="1">
      <x:c r="A11" s="3947" t="str">
        <x:v>IH-07</x:v>
      </x:c>
      <x:c r="B11" s="3947" t="str">
        <x:v>Valor de medición física</x:v>
      </x:c>
      <x:c r="C11" s="3947" t="str">
        <x:v>Servicios con medición</x:v>
      </x:c>
      <x:c r="D11" s="3947" t="str">
        <x:v>La realidad medida puede requerir lectura/instrumento humano.</x:v>
      </x:c>
      <x:c r="E11" s="3947" t="str">
        <x:v>Mostrar únicamente métrica + UM aplicables; teclado numérico/scan.</x:v>
      </x:c>
      <x:c r="F11" s="3947" t="str">
        <x:v>IoT / instrumento conectado</x:v>
      </x:c>
      <x:c r="G11" s="3947" t="str">
        <x:v>NO</x:v>
      </x:c>
      <x:c r="H11" s="4483" t="str">
        <x:v>ACEPTADO</x:v>
      </x:c>
    </x:row>
    <x:row r="12" ht="68" customHeight="1">
      <x:c r="A12" s="3947" t="str">
        <x:v>IH-08</x:v>
      </x:c>
      <x:c r="B12" s="3947" t="str">
        <x:v>Foto/video/voz como evidencia</x:v>
      </x:c>
      <x:c r="C12" s="3947" t="str">
        <x:v>Cuando regla/evidencia lo exige</x:v>
      </x:c>
      <x:c r="D12" s="3947" t="str">
        <x:v>La evidencia debe capturar una condición real del momento.</x:v>
      </x:c>
      <x:c r="E12" s="3947" t="str">
        <x:v>Acceso directo cámara; metadata automática.</x:v>
      </x:c>
      <x:c r="F12" s="3947" t="str">
        <x:v>Captura automática / sistemas cliente</x:v>
      </x:c>
      <x:c r="G12" s="3947" t="str">
        <x:v>NO</x:v>
      </x:c>
      <x:c r="H12" s="4483" t="str">
        <x:v>ACEPTADO</x:v>
      </x:c>
    </x:row>
    <x:row r="13" ht="68" customHeight="1">
      <x:c r="A13" s="3947" t="str">
        <x:v>IH-09</x:v>
      </x:c>
      <x:c r="B13" s="3947" t="str">
        <x:v>Resultado/cause de cierre excepcional</x:v>
      </x:c>
      <x:c r="C13" s="3947" t="str">
        <x:v>Cierre UE</x:v>
      </x:c>
      <x:c r="D13" s="3947" t="str">
        <x:v>El sistema conoce eventos, pero debe confirmar si el trabajo quedó completado/no realizado y por qué cuando hay ambigüedad.</x:v>
      </x:c>
      <x:c r="E13" s="3947" t="str">
        <x:v>1 selector; causa aparece solo si corresponde.</x:v>
      </x:c>
      <x:c r="F13" s="3947" t="str">
        <x:v>Inferencia asistida de eventos, siempre confirmable</x:v>
      </x:c>
      <x:c r="G13" s="3947" t="str">
        <x:v>NO</x:v>
      </x:c>
      <x:c r="H13" s="4483" t="str">
        <x:v>ACEPTADO</x:v>
      </x:c>
    </x:row>
    <x:row r="14" ht="68" customHeight="1">
      <x:c r="A14" s="3947" t="str">
        <x:v>IH-10</x:v>
      </x:c>
      <x:c r="B14" s="3947" t="str">
        <x:v>Diferencia real de carga/cantidad TP-02</x:v>
      </x:c>
      <x:c r="C14" s="3947" t="str">
        <x:v>Movimiento de cargas</x:v>
      </x:c>
      <x:c r="D14" s="3947" t="str">
        <x:v>Plan puede contener cantidad prevista, pero campo confirma la real.</x:v>
      </x:c>
      <x:c r="E14" s="3947" t="str">
        <x:v>Precargar previsto; pedir solo delta/corrección.</x:v>
      </x:c>
      <x:c r="F14" s="3947" t="str">
        <x:v>Báscula/telemetría/documento digital cliente</x:v>
      </x:c>
      <x:c r="G14" s="3947" t="str">
        <x:v>NO</x:v>
      </x:c>
      <x:c r="H14" s="4483" t="str">
        <x:v>ACEPTADO</x:v>
      </x:c>
    </x:row>
    <x:row r="15" ht="68" customHeight="1">
      <x:c r="A15" s="3947" t="str">
        <x:v>IH-11</x:v>
      </x:c>
      <x:c r="B15" s="3947" t="str">
        <x:v>Categoría inicial EventoHabilita</x:v>
      </x:c>
      <x:c r="C15" s="3947" t="str">
        <x:v>Flash Report</x:v>
      </x:c>
      <x:c r="D15" s="3947" t="str">
        <x:v>El sistema no debe inferir agresivamente la naturaleza de un evento sensible.</x:v>
      </x:c>
      <x:c r="E15" s="3947" t="str">
        <x:v>Catálogo corto contextual; Habilita puede reclasificar después.</x:v>
      </x:c>
      <x:c r="F15" s="3947" t="str">
        <x:v>Clasificador asistido no vinculante</x:v>
      </x:c>
      <x:c r="G15" s="3947" t="str">
        <x:v>NO</x:v>
      </x:c>
      <x:c r="H15" s="4483" t="str">
        <x:v>ACEPTADO</x:v>
      </x:c>
    </x:row>
    <x:row r="16" ht="68" customHeight="1">
      <x:c r="A16" s="3947" t="str">
        <x:v>IH-12</x:v>
      </x:c>
      <x:c r="B16" s="3947" t="str">
        <x:v>Descripción breve EventoHabilita</x:v>
      </x:c>
      <x:c r="C16" s="3947" t="str">
        <x:v>Flash Report</x:v>
      </x:c>
      <x:c r="D16" s="3947" t="str">
        <x:v>Solo quien presenció/detectó conoce inicialmente qué ocurrió.</x:v>
      </x:c>
      <x:c r="E16" s="3947" t="str">
        <x:v>Voz primero; texto opcional; no pedir causa raíz.</x:v>
      </x:c>
      <x:c r="F16" s="3947" t="str">
        <x:v>Speech-to-text / extracción posterior</x:v>
      </x:c>
      <x:c r="G16" s="3947" t="str">
        <x:v>NO</x:v>
      </x:c>
      <x:c r="H16" s="4483" t="str">
        <x:v>ACEPTADO</x:v>
      </x:c>
    </x:row>
    <x:row r="17" ht="68" customHeight="1">
      <x:c r="A17" s="3947" t="str">
        <x:v>IH-13</x:v>
      </x:c>
      <x:c r="B17" s="3947" t="str">
        <x:v>¿Situación controlada?</x:v>
      </x:c>
      <x:c r="C17" s="3947" t="str">
        <x:v>Flash Report</x:v>
      </x:c>
      <x:c r="D17" s="3947" t="str">
        <x:v>Es una evaluación inmediata del reportante que cambia la respuesta.</x:v>
      </x:c>
      <x:c r="E17" s="3947" t="str">
        <x:v>Sí/No, un tap.</x:v>
      </x:c>
      <x:c r="F17" s="3947" t="str">
        <x:v>Sensores pueden complementar, no reemplazar juicio</x:v>
      </x:c>
      <x:c r="G17" s="3947" t="str">
        <x:v>NO</x:v>
      </x:c>
      <x:c r="H17" s="4483" t="str">
        <x:v>ACEPTADO</x:v>
      </x:c>
    </x:row>
    <x:row r="18" ht="68" customHeight="1">
      <x:c r="A18" s="3947" t="str">
        <x:v>IH-14</x:v>
      </x:c>
      <x:c r="B18" s="3947" t="str">
        <x:v>Controles/mediciones reales de PTW</x:v>
      </x:c>
      <x:c r="C18" s="3947" t="str">
        <x:v>Permiso de trabajo</x:v>
      </x:c>
      <x:c r="D18" s="3947" t="str">
        <x:v>Son verificaciones físicas/contextuales necesarias antes del trabajo.</x:v>
      </x:c>
      <x:c r="E18" s="3947" t="str">
        <x:v>Precargar checklist aplicable; completar solo valores/controles reales.</x:v>
      </x:c>
      <x:c r="F18" s="3947" t="str">
        <x:v>Instrumentos conectados / formularios Habilita integrados</x:v>
      </x:c>
      <x:c r="G18" s="3947" t="str">
        <x:v>NO</x:v>
      </x:c>
      <x:c r="H18" s="4483" t="str">
        <x:v>ACEPTADO</x:v>
      </x:c>
    </x:row>
    <x:row r="19" ht="68" customHeight="1">
      <x:c r="A19" s="3947" t="str">
        <x:v>IH-15</x:v>
      </x:c>
      <x:c r="B19" s="3947" t="str">
        <x:v>Aprobación/firma PTW</x:v>
      </x:c>
      <x:c r="C19" s="3947" t="str">
        <x:v>Permiso de trabajo</x:v>
      </x:c>
      <x:c r="D19" s="3947" t="str">
        <x:v>Es acto de autoridad/responsabilidad.</x:v>
      </x:c>
      <x:c r="E19" s="3947" t="str">
        <x:v>Tap/firma sobre permiso ya armado.</x:v>
      </x:c>
      <x:c r="F19" s="3947" t="str">
        <x:v>Firma corporativa integrada</x:v>
      </x:c>
      <x:c r="G19" s="3947" t="str">
        <x:v>NO</x:v>
      </x:c>
      <x:c r="H19" s="4483" t="str">
        <x:v>ACEPTADO</x:v>
      </x:c>
    </x:row>
    <x:row r="20" ht="68" customHeight="1">
      <x:c r="A20" s="3947" t="str">
        <x:v>IH-16</x:v>
      </x:c>
      <x:c r="B20" s="3947" t="str">
        <x:v>Conformidad/firma cliente</x:v>
      </x:c>
      <x:c r="C20" s="3947" t="str">
        <x:v>Validación cliente</x:v>
      </x:c>
      <x:c r="D20" s="3947" t="str">
        <x:v>Es una decisión de tercero, no de VDS.</x:v>
      </x:c>
      <x:c r="E20" s="3947" t="str">
        <x:v>Mostrar resumen y aceptar/rechazar; observación solo si aplica.</x:v>
      </x:c>
      <x:c r="F20" s="3947" t="str">
        <x:v>Sistema cliente/API</x:v>
      </x:c>
      <x:c r="G20" s="3947" t="str">
        <x:v>NO</x:v>
      </x:c>
      <x:c r="H20" s="4483" t="str">
        <x:v>ACEPTADO</x:v>
      </x:c>
    </x:row>
    <x:row r="21" ht="68" customHeight="1">
      <x:c r="A21" s="3947" t="str">
        <x:v>IH-17</x:v>
      </x:c>
      <x:c r="B21" s="3947" t="str">
        <x:v>Novedad excepcional no modelada</x:v>
      </x:c>
      <x:c r="C21" s="3947" t="str">
        <x:v>Cualquier flujo</x:v>
      </x:c>
      <x:c r="D21" s="3947" t="str">
        <x:v>Debe existir escape hatch para hechos reales no previstos.</x:v>
      </x:c>
      <x:c r="E21" s="3947" t="str">
        <x:v>Voz/texto opcional con categoría OTRO; revisar después para decidir si merece nueva variable.</x:v>
      </x:c>
      <x:c r="F21" s="3947" t="str">
        <x:v>Clasificación asistida / mejora continua</x:v>
      </x:c>
      <x:c r="G21" s="3947" t="str">
        <x:v>POTENCIAL si se repite</x:v>
      </x:c>
      <x:c r="H21" s="4485" t="str">
        <x:v>MONITOREAR</x:v>
      </x:c>
    </x:row>
  </x:sheetData>
  <x:mergeCells>
    <x:mergeCell ref="A1:H1"/>
    <x:mergeCell ref="A2:H2"/>
  </x:mergeCells>
  <x:pageMargins left="0.7" right="0.7" top="0.75" bottom="0.75" header="0.3" footer="0.3"/>
</x:worksheet>
</file>

<file path=xl/worksheets/sheet70.xml><?xml version="1.0" encoding="utf-8"?>
<x:worksheet xmlns:x="http://schemas.openxmlformats.org/spreadsheetml/2006/main">
  <x:sheetFormatPr defaultRowHeight="15"/>
  <x:cols>
    <x:col min="1" max="1" width="10" hidden="0" customWidth="1"/>
    <x:col min="2" max="2" width="24" hidden="0" customWidth="1"/>
    <x:col min="3" max="3" width="32" hidden="0" customWidth="1"/>
    <x:col min="4" max="4" width="46" hidden="0" customWidth="1"/>
    <x:col min="5" max="5" width="38" hidden="0" customWidth="1"/>
    <x:col min="6" max="6" width="38" hidden="0" customWidth="1"/>
    <x:col min="7" max="7" width="18" hidden="0" customWidth="1"/>
  </x:cols>
  <x:sheetData>
    <x:row r="1">
      <x:c r="A1" s="4480" t="str">
        <x:v>CONTRATOS DE CAPTURA · HAPPY PATH + EXCEPCIONES</x:v>
      </x:c>
      <x:c r="B1" s="4480"/>
      <x:c r="C1" s="4480"/>
      <x:c r="D1" s="4480"/>
      <x:c r="E1" s="4480"/>
      <x:c r="F1" s="4480"/>
      <x:c r="G1" s="4480"/>
    </x:row>
    <x:row r="2">
      <x:c r="A2" s="4481" t="str">
        <x:v>Estos contratos no son pantallas. Definen qué información debe estar disponible y cuánto debe pedir el futuro producto en cada momento.</x:v>
      </x:c>
      <x:c r="B2" s="4481"/>
      <x:c r="C2" s="4481"/>
      <x:c r="D2" s="4481"/>
      <x:c r="E2" s="4481"/>
      <x:c r="F2" s="4481"/>
      <x:c r="G2" s="4481"/>
    </x:row>
    <x:row r="3">
      <x:c r="A3" s="3945"/>
      <x:c r="B3" s="3945"/>
      <x:c r="C3" s="3945"/>
      <x:c r="D3" s="3945"/>
      <x:c r="E3" s="3945"/>
      <x:c r="F3" s="3945"/>
      <x:c r="G3" s="3945"/>
    </x:row>
    <x:row r="4">
      <x:c r="A4" s="4482" t="str">
        <x:v>ID</x:v>
      </x:c>
      <x:c r="B4" s="4482" t="str">
        <x:v>Flujo</x:v>
      </x:c>
      <x:c r="C4" s="4482" t="str">
        <x:v>Momento</x:v>
      </x:c>
      <x:c r="D4" s="4482" t="str">
        <x:v>Sistema ya conoce / deriva</x:v>
      </x:c>
      <x:c r="E4" s="4482" t="str">
        <x:v>Humano solo hace</x:v>
      </x:c>
      <x:c r="F4" s="4482" t="str">
        <x:v>Excepción abre</x:v>
      </x:c>
      <x:c r="G4" s="4482" t="str">
        <x:v>Budget</x:v>
      </x:c>
    </x:row>
    <x:row r="5" ht="70" customHeight="1">
      <x:c r="A5" s="3947" t="str">
        <x:v>CF-01</x:v>
      </x:c>
      <x:c r="B5" s="3947" t="str">
        <x:v>TP-01 Intervención</x:v>
      </x:c>
      <x:c r="C5" s="3947" t="str">
        <x:v>Inicio</x:v>
      </x:c>
      <x:c r="D5" s="3947" t="str">
        <x:v>Plan/asignación, usuario, perfil, cliente, TipoParte, personas/recursos previstos, ubicación candidata, gates Habilita/PTW.</x:v>
      </x:c>
      <x:c r="E5" s="3947" t="str">
        <x:v>Confirmar ubicación si hace falta + INICIAR.</x:v>
      </x:c>
      <x:c r="F5" s="3947" t="str">
        <x:v>Cambio recurso/persona, ubicación ambigua, trabajo emergente.</x:v>
      </x:c>
      <x:c r="G5" s="4483" t="str">
        <x:v>≤20 s</x:v>
      </x:c>
    </x:row>
    <x:row r="6" ht="70" customHeight="1">
      <x:c r="A6" s="3947" t="str">
        <x:v>CF-02</x:v>
      </x:c>
      <x:c r="B6" s="3947" t="str">
        <x:v>TP-01 Intervención</x:v>
      </x:c>
      <x:c r="C6" s="3947" t="str">
        <x:v>Durante</x:v>
      </x:c>
      <x:c r="D6" s="3947" t="str">
        <x:v>UE activa, intervalos, recursos/personas, tiempo actual, ubicación, componentes/mediciones aplicables.</x:v>
      </x:c>
      <x:c r="E6" s="3947" t="str">
        <x:v>Cambiar categoría solo si no inferible; ingresar medición física/evidencia cuando aplica.</x:v>
      </x:c>
      <x:c r="F6" s="3947" t="str">
        <x:v>Desvío, espera, subtrabajo autónomo, reemplazo, Habilita.</x:v>
      </x:c>
      <x:c r="G6" s="4484" t="str">
        <x:v>micro 3–45 s</x:v>
      </x:c>
    </x:row>
    <x:row r="7" ht="70" customHeight="1">
      <x:c r="A7" s="3947" t="str">
        <x:v>CF-03</x:v>
      </x:c>
      <x:c r="B7" s="3947" t="str">
        <x:v>TP-01 Intervención</x:v>
      </x:c>
      <x:c r="C7" s="3947" t="str">
        <x:v>Cierre UE</x:v>
      </x:c>
      <x:c r="D7" s="3947" t="str">
        <x:v>Tiempos, intervalos, evidencias/mediciones requeridas, blockers, contexto contractual.</x:v>
      </x:c>
      <x:c r="E7" s="3947" t="str">
        <x:v>Elegir resultado + causa condicional + CERRAR.</x:v>
      </x:c>
      <x:c r="F7" s="3947" t="str">
        <x:v>Faltantes reales, no realizado, error de medición.</x:v>
      </x:c>
      <x:c r="G7" s="4483" t="str">
        <x:v>≤60 s</x:v>
      </x:c>
    </x:row>
    <x:row r="8" ht="70" customHeight="1">
      <x:c r="A8" s="3947" t="str">
        <x:v>CF-04</x:v>
      </x:c>
      <x:c r="B8" s="3947" t="str">
        <x:v>TP-01 Intervención</x:v>
      </x:c>
      <x:c r="C8" s="3947" t="str">
        <x:v>Cierre Parte</x:v>
      </x:c>
      <x:c r="D8" s="3947" t="str">
        <x:v>UE terminales, resumen, tiempos/personas/recursos, evidencias y blockers.</x:v>
      </x:c>
      <x:c r="E8" s="3947" t="str">
        <x:v>Confirmar cierre operativo.</x:v>
      </x:c>
      <x:c r="F8" s="3947" t="str">
        <x:v>Alguna UE abierta o inconsistencia.</x:v>
      </x:c>
      <x:c r="G8" s="4483" t="str">
        <x:v>≤20 s</x:v>
      </x:c>
    </x:row>
    <x:row r="9" ht="70" customHeight="1">
      <x:c r="A9" s="3947" t="str">
        <x:v>CF-05</x:v>
      </x:c>
      <x:c r="B9" s="3947" t="str">
        <x:v>TP-02 Transporte</x:v>
      </x:c>
      <x:c r="C9" s="3947" t="str">
        <x:v>Inicio movimiento</x:v>
      </x:c>
      <x:c r="D9" s="3947" t="str">
        <x:v>Origen/destino previstos, recurso/chofer, carga prevista, permisos/contexto.</x:v>
      </x:c>
      <x:c r="E9" s="3947" t="str">
        <x:v>Confirmar origen/destino/carga + START.</x:v>
      </x:c>
      <x:c r="F9" s="3947" t="str">
        <x:v>Cambio real de destino/carga/recurso.</x:v>
      </x:c>
      <x:c r="G9" s="4483" t="str">
        <x:v>≤20 s</x:v>
      </x:c>
    </x:row>
    <x:row r="10" ht="70" customHeight="1">
      <x:c r="A10" s="3947" t="str">
        <x:v>CF-06</x:v>
      </x:c>
      <x:c r="B10" s="3947" t="str">
        <x:v>TP-02 Transporte</x:v>
      </x:c>
      <x:c r="C10" s="3947" t="str">
        <x:v>Fin movimiento</x:v>
      </x:c>
      <x:c r="D10" s="3947" t="str">
        <x:v>GPS/contexto de destino, timestamps, transición, carga prevista/real.</x:v>
      </x:c>
      <x:c r="E10" s="3947" t="str">
        <x:v>Confirmar llegada/cantidad si varió + FINALIZAR.</x:v>
      </x:c>
      <x:c r="F10" s="3947" t="str">
        <x:v>Incidente, descarga parcial, destino distinto.</x:v>
      </x:c>
      <x:c r="G10" s="4483" t="str">
        <x:v>≤20 s</x:v>
      </x:c>
    </x:row>
    <x:row r="11" ht="70" customHeight="1">
      <x:c r="A11" s="3947" t="str">
        <x:v>CF-07</x:v>
      </x:c>
      <x:c r="B11" s="3947" t="str">
        <x:v>TP-03 Cuadrilla</x:v>
      </x:c>
      <x:c r="C11" s="3947" t="str">
        <x:v>Durante turno</x:v>
      </x:c>
      <x:c r="D11" s="3947" t="str">
        <x:v>Roster real, recursos, UE/trabajos, tiempos/eventos acumulados.</x:v>
      </x:c>
      <x:c r="E11" s="3947" t="str">
        <x:v>Solo registrar excepciones que el sistema no capturó.</x:v>
      </x:c>
      <x:c r="F11" s="3947" t="str">
        <x:v>Reemplazo, trabajo adicional, no realizado, espera.</x:v>
      </x:c>
      <x:c r="G11" s="4484" t="str">
        <x:v>microeventos</x:v>
      </x:c>
    </x:row>
    <x:row r="12" ht="70" customHeight="1">
      <x:c r="A12" s="3947" t="str">
        <x:v>CF-08</x:v>
      </x:c>
      <x:c r="B12" s="3947" t="str">
        <x:v>TP-03 Cuadrilla</x:v>
      </x:c>
      <x:c r="C12" s="3947" t="str">
        <x:v>Cierre turno</x:v>
      </x:c>
      <x:c r="D12" s="3947" t="str">
        <x:v>Roster/recursos/UE/horas/resumen real.</x:v>
      </x:c>
      <x:c r="E12" s="3947" t="str">
        <x:v>Confirmar resumen + novedad excepcional si falta.</x:v>
      </x:c>
      <x:c r="F12" s="3947" t="str">
        <x:v>Inconsistencia temporal o UE abierta.</x:v>
      </x:c>
      <x:c r="G12" s="4483" t="str">
        <x:v>≤45 s</x:v>
      </x:c>
    </x:row>
    <x:row r="13" ht="70" customHeight="1">
      <x:c r="A13" s="3947" t="str">
        <x:v>CF-09</x:v>
      </x:c>
      <x:c r="B13" s="3947" t="str">
        <x:v>Habilita</x:v>
      </x:c>
      <x:c r="C13" s="3947" t="str">
        <x:v>Flash Report</x:v>
      </x:c>
      <x:c r="D13" s="3947" t="str">
        <x:v>Reportante, timestamp, contexto activo, UE/PTW/personas/recursos, ubicación candidata.</x:v>
      </x:c>
      <x:c r="E13" s="3947" t="str">
        <x:v>Confirmar hora/ubicación + categoría + descripción breve + controlada sí/no + evidencia opcional.</x:v>
      </x:c>
      <x:c r="F13" s="3947" t="str">
        <x:v>Contexto ambiguo o evento standalone.</x:v>
      </x:c>
      <x:c r="G13" s="4483" t="str">
        <x:v>≤120 s</x:v>
      </x:c>
    </x:row>
    <x:row r="14" ht="70" customHeight="1">
      <x:c r="A14" s="3947" t="str">
        <x:v>CF-10</x:v>
      </x:c>
      <x:c r="B14" s="3947" t="str">
        <x:v>Habilita</x:v>
      </x:c>
      <x:c r="C14" s="3947" t="str">
        <x:v>Triage / investigación</x:v>
      </x:c>
      <x:c r="D14" s="3947" t="str">
        <x:v>Todo el reporte inicial + evidencia/contexto/lineage.</x:v>
      </x:c>
      <x:c r="E14" s="3947" t="str">
        <x:v>Nada al reportante normal; Habilita completa severidad, clasificación, investigación y acciones.</x:v>
      </x:c>
      <x:c r="F14" s="3947" t="str">
        <x:v>Nueva evidencia/reclasificación.</x:v>
      </x:c>
      <x:c r="G14" s="4484" t="str">
        <x:v>Back office</x:v>
      </x:c>
    </x:row>
    <x:row r="15" ht="70" customHeight="1">
      <x:c r="A15" s="3947" t="str">
        <x:v>CF-11</x:v>
      </x:c>
      <x:c r="B15" s="3947" t="str">
        <x:v>Emergente</x:v>
      </x:c>
      <x:c r="C15" s="3947" t="str">
        <x:v>Inicio</x:v>
      </x:c>
      <x:c r="D15" s="3947" t="str">
        <x:v>Usuario/hora/ubicación, contexto activo, Habilita/documental, recursos/personas actuales.</x:v>
      </x:c>
      <x:c r="E15" s="3947" t="str">
        <x:v>Describir tarea + motivo + confirmar cliente candidato; supervisor autoriza si regla lo exige.</x:v>
      </x:c>
      <x:c r="F15" s="3947" t="str">
        <x:v>Contrato/CC/Item quedan pendientes.</x:v>
      </x:c>
      <x:c r="G15" s="4483" t="str">
        <x:v>≤120 s</x:v>
      </x:c>
    </x:row>
    <x:row r="16" ht="70" customHeight="1">
      <x:c r="A16" s="3947" t="str">
        <x:v>CF-12</x:v>
      </x:c>
      <x:c r="B16" s="3947" t="str">
        <x:v>Certificación</x:v>
      </x:c>
      <x:c r="C16" s="3947" t="str">
        <x:v>Derivación</x:v>
      </x:c>
      <x:c r="D16" s="3947" t="str">
        <x:v>UE cerradas, tiempos, mediciones, imputación, lineage, evidencia.</x:v>
      </x:c>
      <x:c r="E16" s="3947" t="str">
        <x:v>Nada al operario.</x:v>
      </x:c>
      <x:c r="F16" s="3947" t="str">
        <x:v>Contexto contractual pendiente bloquea downstream.</x:v>
      </x:c>
      <x:c r="G16" s="4483" t="str">
        <x:v>0 s campo</x:v>
      </x:c>
    </x:row>
    <x:row r="17" ht="70" customHeight="1">
      <x:c r="A17" s="3947" t="str">
        <x:v>CF-13</x:v>
      </x:c>
      <x:c r="B17" s="3947" t="str">
        <x:v>Facturación</x:v>
      </x:c>
      <x:c r="C17" s="3947" t="str">
        <x:v>Derivación</x:v>
      </x:c>
      <x:c r="D17" s="3947" t="str">
        <x:v>UC aceptada vigente, regla facturación, ajustes/supersession.</x:v>
      </x:c>
      <x:c r="E17" s="3947" t="str">
        <x:v>Nada al operario.</x:v>
      </x:c>
      <x:c r="F17" s="3947" t="str">
        <x:v>ERP error / ajuste administrativo.</x:v>
      </x:c>
      <x:c r="G17" s="4483" t="str">
        <x:v>0 s campo</x:v>
      </x:c>
    </x:row>
  </x:sheetData>
  <x:mergeCells>
    <x:mergeCell ref="A1:G1"/>
    <x:mergeCell ref="A2:G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5" hidden="0" customWidth="1"/>
    <x:col min="2" max="2" width="10.5" hidden="0" customWidth="1"/>
    <x:col min="3" max="3" width="10.5" hidden="0" customWidth="1"/>
    <x:col min="4" max="4" width="10.5" hidden="0" customWidth="1"/>
    <x:col min="5" max="5" width="10.5" hidden="0" customWidth="1"/>
    <x:col min="6" max="6" width="10.5" hidden="0" customWidth="1"/>
    <x:col min="7" max="7" width="10.5" hidden="0" customWidth="1"/>
    <x:col min="8" max="8" width="10.5" hidden="0" customWidth="1"/>
    <x:col min="9" max="9" width="10.5" hidden="0" customWidth="1"/>
    <x:col min="10" max="10" width="10.5" hidden="0" customWidth="1"/>
    <x:col min="11" max="11" width="10.5" hidden="0" customWidth="1"/>
    <x:col min="12" max="12" width="10.5" hidden="0" customWidth="1"/>
    <x:col min="13" max="13" width="10.5" hidden="0" customWidth="1"/>
    <x:col min="14" max="14" width="10.5" hidden="0" customWidth="1"/>
    <x:col min="15" max="15" width="10.5" hidden="0" customWidth="1"/>
    <x:col min="16" max="16" width="10.5" hidden="0" customWidth="1"/>
    <x:col min="17" max="17" width="10.5" hidden="0" customWidth="1"/>
    <x:col min="18" max="18" width="10.5" hidden="0" customWidth="1"/>
    <x:col min="19" max="19" width="10.5" hidden="0" customWidth="1"/>
    <x:col min="20" max="20" width="10.5" hidden="0" customWidth="1"/>
    <x:col min="21" max="21" width="10.5" hidden="0" customWidth="1"/>
    <x:col min="22" max="22" width="10.5" hidden="0" customWidth="1"/>
    <x:col min="23" max="23" width="10.5" hidden="0" customWidth="1"/>
    <x:col min="24" max="24" width="10.5" hidden="0" customWidth="1"/>
    <x:col min="25" max="25" width="10.5" hidden="0" customWidth="1"/>
    <x:col min="26" max="26" width="10.5" hidden="0" customWidth="1"/>
    <x:col min="27" max="27" width="10.5" hidden="0" customWidth="1"/>
    <x:col min="28" max="28" width="10.5" hidden="0" customWidth="1"/>
    <x:col min="29" max="29" width="10.5" hidden="0" customWidth="1"/>
    <x:col min="30" max="30" width="10.5" hidden="0" customWidth="1"/>
  </x:cols>
  <x:sheetData>
    <x:row r="1">
      <x:c r="A1" s="4480" t="str">
        <x:v>FIELD AUTOMATION · PRINCIPIO ≤2 MIN · VDS</x:v>
      </x:c>
      <x:c r="B1" s="4480"/>
      <x:c r="C1" s="4480"/>
      <x:c r="D1" s="4480"/>
      <x:c r="E1" s="4480"/>
      <x:c r="F1" s="4480"/>
      <x:c r="G1" s="4480"/>
      <x:c r="H1" s="4480"/>
      <x:c r="I1" s="4480"/>
      <x:c r="J1" s="4480"/>
      <x:c r="K1" s="4480"/>
      <x:c r="L1" s="4480"/>
      <x:c r="M1" s="4480"/>
      <x:c r="N1" s="4480"/>
      <x:c r="O1" s="4480"/>
      <x:c r="P1" s="4480"/>
      <x:c r="Q1" s="4480"/>
      <x:c r="R1" s="4480"/>
      <x:c r="S1" s="4480"/>
      <x:c r="T1" s="4480"/>
      <x:c r="U1" s="4480"/>
      <x:c r="V1" s="4480"/>
      <x:c r="W1" s="4480"/>
      <x:c r="X1" s="4480"/>
      <x:c r="Y1" s="4480"/>
      <x:c r="Z1" s="4480"/>
      <x:c r="AA1" s="4480"/>
      <x:c r="AB1" s="4480"/>
      <x:c r="AC1" s="4480"/>
      <x:c r="AD1" s="4480"/>
    </x:row>
    <x:row r="2">
      <x:c r="A2" s="4616" t="str">
        <x:v>El Parte no se completa: se CONSTRUYE solo, acumulando contexto + eventos + confirmaciones mínimas a medida que ocurre la operación.</x:v>
      </x:c>
      <x:c r="B2" s="4616"/>
      <x:c r="C2" s="4616"/>
      <x:c r="D2" s="4616"/>
      <x:c r="E2" s="4616"/>
      <x:c r="F2" s="4616"/>
      <x:c r="G2" s="4616"/>
      <x:c r="H2" s="4616"/>
      <x:c r="I2" s="4616"/>
      <x:c r="J2" s="4616"/>
      <x:c r="K2" s="4616"/>
      <x:c r="L2" s="4616"/>
      <x:c r="M2" s="4616"/>
      <x:c r="N2" s="4616"/>
      <x:c r="O2" s="4616"/>
      <x:c r="P2" s="4616"/>
      <x:c r="Q2" s="4616"/>
      <x:c r="R2" s="4616"/>
      <x:c r="S2" s="4616"/>
      <x:c r="T2" s="4616"/>
      <x:c r="U2" s="4616"/>
      <x:c r="V2" s="4616"/>
      <x:c r="W2" s="4616"/>
      <x:c r="X2" s="4616"/>
      <x:c r="Y2" s="4616"/>
      <x:c r="Z2" s="4616"/>
      <x:c r="AA2" s="4616"/>
      <x:c r="AB2" s="4616"/>
      <x:c r="AC2" s="4616"/>
      <x:c r="AD2" s="4616"/>
    </x:row>
    <x:row r="3">
      <x:c r="A3" s="3945"/>
      <x:c r="B3" s="3945"/>
      <x:c r="C3" s="3945"/>
      <x:c r="D3" s="3945"/>
      <x:c r="E3" s="3945"/>
      <x:c r="F3" s="3945"/>
      <x:c r="G3" s="3945"/>
      <x:c r="H3" s="3945"/>
      <x:c r="I3" s="3945"/>
      <x:c r="J3" s="3945"/>
      <x:c r="K3" s="3945"/>
      <x:c r="L3" s="3945"/>
      <x:c r="M3" s="3945"/>
      <x:c r="N3" s="3945"/>
      <x:c r="O3" s="3945"/>
      <x:c r="P3" s="3945"/>
      <x:c r="Q3" s="3945"/>
      <x:c r="R3" s="3945"/>
      <x:c r="S3" s="3945"/>
      <x:c r="T3" s="3945"/>
      <x:c r="U3" s="3945"/>
      <x:c r="V3" s="3945"/>
      <x:c r="W3" s="3945"/>
      <x:c r="X3" s="3945"/>
      <x:c r="Y3" s="3945"/>
      <x:c r="Z3" s="3945"/>
      <x:c r="AA3" s="3945"/>
      <x:c r="AB3" s="3945"/>
      <x:c r="AC3" s="3945"/>
      <x:c r="AD3" s="3945"/>
    </x:row>
    <x:row r="4">
      <x:c r="A4" s="4646" t="str">
        <x:v>01 — LO QUE EL SISTEMA YA SABE</x:v>
      </x:c>
      <x:c r="B4" s="4646"/>
      <x:c r="C4" s="4646"/>
      <x:c r="D4" s="4646"/>
      <x:c r="E4" s="4646"/>
      <x:c r="F4" s="4646"/>
      <x:c r="G4" s="4646"/>
      <x:c r="H4" s="4646"/>
      <x:c r="I4" s="4646"/>
      <x:c r="J4" s="4646"/>
      <x:c r="K4" s="4646"/>
      <x:c r="L4" s="4646"/>
      <x:c r="M4" s="4646"/>
      <x:c r="N4" s="4646"/>
      <x:c r="O4" s="4646"/>
      <x:c r="P4" s="4646"/>
      <x:c r="Q4" s="4646"/>
      <x:c r="R4" s="4646"/>
      <x:c r="S4" s="4646"/>
      <x:c r="T4" s="4646"/>
      <x:c r="U4" s="4646"/>
      <x:c r="V4" s="4646"/>
      <x:c r="W4" s="4646"/>
      <x:c r="X4" s="4646"/>
      <x:c r="Y4" s="4646"/>
      <x:c r="Z4" s="4646"/>
      <x:c r="AA4" s="4646"/>
      <x:c r="AB4" s="4646"/>
      <x:c r="AC4" s="4646"/>
      <x:c r="AD4" s="4646"/>
    </x:row>
    <x:row r="5">
      <x:c r="A5" s="3945"/>
      <x:c r="B5" s="3945"/>
      <x:c r="C5" s="3945"/>
      <x:c r="D5" s="3945"/>
      <x:c r="E5" s="3945"/>
      <x:c r="F5" s="3945"/>
      <x:c r="G5" s="3945"/>
      <x:c r="H5" s="3945"/>
      <x:c r="I5" s="3945"/>
      <x:c r="J5" s="3945"/>
      <x:c r="K5" s="3945"/>
      <x:c r="L5" s="3945"/>
      <x:c r="M5" s="3945"/>
      <x:c r="N5" s="3945"/>
      <x:c r="O5" s="3945"/>
      <x:c r="P5" s="3945"/>
      <x:c r="Q5" s="3945"/>
      <x:c r="R5" s="3945"/>
      <x:c r="S5" s="3945"/>
      <x:c r="T5" s="3945"/>
      <x:c r="U5" s="3945"/>
      <x:c r="V5" s="3945"/>
      <x:c r="W5" s="3945"/>
      <x:c r="X5" s="3945"/>
      <x:c r="Y5" s="3945"/>
      <x:c r="Z5" s="3945"/>
      <x:c r="AA5" s="3945"/>
      <x:c r="AB5" s="3945"/>
      <x:c r="AC5" s="3945"/>
      <x:c r="AD5" s="3945"/>
    </x:row>
    <x:row r="6">
      <x:c r="A6" s="4618" t="str">
        <x:v>IDENTIDAD
usuario · persona
perfil · turno</x:v>
      </x:c>
      <x:c r="B6" s="4619"/>
      <x:c r="C6" s="4619"/>
      <x:c r="D6" s="4619"/>
      <x:c r="E6" s="4619"/>
      <x:c r="F6" s="4620"/>
      <x:c r="G6" s="3945"/>
      <x:c r="H6" s="4618" t="str">
        <x:v>PLANIFICACIÓN
cliente · servicio
asignación · alcance</x:v>
      </x:c>
      <x:c r="I6" s="4619"/>
      <x:c r="J6" s="4619"/>
      <x:c r="K6" s="4619"/>
      <x:c r="L6" s="4619"/>
      <x:c r="M6" s="4620"/>
      <x:c r="N6" s="3945"/>
      <x:c r="O6" s="4618" t="str">
        <x:v>RECURSOS
personas previstas
recursos activos</x:v>
      </x:c>
      <x:c r="P6" s="4619"/>
      <x:c r="Q6" s="4619"/>
      <x:c r="R6" s="4619"/>
      <x:c r="S6" s="4619"/>
      <x:c r="T6" s="4620"/>
      <x:c r="U6" s="3945"/>
      <x:c r="V6" s="4618" t="str">
        <x:v>HABILITA
readiness · documental
PTW · blockers</x:v>
      </x:c>
      <x:c r="W6" s="4619"/>
      <x:c r="X6" s="4619"/>
      <x:c r="Y6" s="4619"/>
      <x:c r="Z6" s="4620"/>
      <x:c r="AA6" s="3945"/>
      <x:c r="AB6" s="4618" t="str">
        <x:v>CONTRATO
reglas · item · UM
si está resuelto</x:v>
      </x:c>
      <x:c r="AC6" s="4619"/>
      <x:c r="AD6" s="4620"/>
    </x:row>
    <x:row r="7">
      <x:c r="A7" s="4621"/>
      <x:c r="B7" s="4622"/>
      <x:c r="C7" s="4622"/>
      <x:c r="D7" s="4622"/>
      <x:c r="E7" s="4622"/>
      <x:c r="F7" s="4623"/>
      <x:c r="G7" s="3945"/>
      <x:c r="H7" s="4621"/>
      <x:c r="I7" s="4622"/>
      <x:c r="J7" s="4622"/>
      <x:c r="K7" s="4622"/>
      <x:c r="L7" s="4622"/>
      <x:c r="M7" s="4623"/>
      <x:c r="N7" s="3945"/>
      <x:c r="O7" s="4621"/>
      <x:c r="P7" s="4622"/>
      <x:c r="Q7" s="4622"/>
      <x:c r="R7" s="4622"/>
      <x:c r="S7" s="4622"/>
      <x:c r="T7" s="4623"/>
      <x:c r="U7" s="3945"/>
      <x:c r="V7" s="4621"/>
      <x:c r="W7" s="4622"/>
      <x:c r="X7" s="4622"/>
      <x:c r="Y7" s="4622"/>
      <x:c r="Z7" s="4623"/>
      <x:c r="AA7" s="3945"/>
      <x:c r="AB7" s="4621"/>
      <x:c r="AC7" s="4622"/>
      <x:c r="AD7" s="4623"/>
    </x:row>
    <x:row r="8">
      <x:c r="A8" s="4621"/>
      <x:c r="B8" s="4622"/>
      <x:c r="C8" s="4622"/>
      <x:c r="D8" s="4622"/>
      <x:c r="E8" s="4622"/>
      <x:c r="F8" s="4623"/>
      <x:c r="G8" s="3945"/>
      <x:c r="H8" s="4621"/>
      <x:c r="I8" s="4622"/>
      <x:c r="J8" s="4622"/>
      <x:c r="K8" s="4622"/>
      <x:c r="L8" s="4622"/>
      <x:c r="M8" s="4623"/>
      <x:c r="N8" s="3945"/>
      <x:c r="O8" s="4621"/>
      <x:c r="P8" s="4622"/>
      <x:c r="Q8" s="4622"/>
      <x:c r="R8" s="4622"/>
      <x:c r="S8" s="4622"/>
      <x:c r="T8" s="4623"/>
      <x:c r="U8" s="3945"/>
      <x:c r="V8" s="4621"/>
      <x:c r="W8" s="4622"/>
      <x:c r="X8" s="4622"/>
      <x:c r="Y8" s="4622"/>
      <x:c r="Z8" s="4623"/>
      <x:c r="AA8" s="3945"/>
      <x:c r="AB8" s="4621"/>
      <x:c r="AC8" s="4622"/>
      <x:c r="AD8" s="4623"/>
    </x:row>
    <x:row r="9">
      <x:c r="A9" s="4621"/>
      <x:c r="B9" s="4622"/>
      <x:c r="C9" s="4622"/>
      <x:c r="D9" s="4622"/>
      <x:c r="E9" s="4622"/>
      <x:c r="F9" s="4623"/>
      <x:c r="G9" s="3945"/>
      <x:c r="H9" s="4621"/>
      <x:c r="I9" s="4622"/>
      <x:c r="J9" s="4622"/>
      <x:c r="K9" s="4622"/>
      <x:c r="L9" s="4622"/>
      <x:c r="M9" s="4623"/>
      <x:c r="N9" s="3945"/>
      <x:c r="O9" s="4621"/>
      <x:c r="P9" s="4622"/>
      <x:c r="Q9" s="4622"/>
      <x:c r="R9" s="4622"/>
      <x:c r="S9" s="4622"/>
      <x:c r="T9" s="4623"/>
      <x:c r="U9" s="3945"/>
      <x:c r="V9" s="4621"/>
      <x:c r="W9" s="4622"/>
      <x:c r="X9" s="4622"/>
      <x:c r="Y9" s="4622"/>
      <x:c r="Z9" s="4623"/>
      <x:c r="AA9" s="3945"/>
      <x:c r="AB9" s="4621"/>
      <x:c r="AC9" s="4622"/>
      <x:c r="AD9" s="4623"/>
    </x:row>
    <x:row r="10">
      <x:c r="A10" s="4621"/>
      <x:c r="B10" s="4622"/>
      <x:c r="C10" s="4622"/>
      <x:c r="D10" s="4622"/>
      <x:c r="E10" s="4622"/>
      <x:c r="F10" s="4623"/>
      <x:c r="G10" s="3945"/>
      <x:c r="H10" s="4621"/>
      <x:c r="I10" s="4622"/>
      <x:c r="J10" s="4622"/>
      <x:c r="K10" s="4622"/>
      <x:c r="L10" s="4622"/>
      <x:c r="M10" s="4623"/>
      <x:c r="N10" s="3945"/>
      <x:c r="O10" s="4621"/>
      <x:c r="P10" s="4622"/>
      <x:c r="Q10" s="4622"/>
      <x:c r="R10" s="4622"/>
      <x:c r="S10" s="4622"/>
      <x:c r="T10" s="4623"/>
      <x:c r="U10" s="3945"/>
      <x:c r="V10" s="4621"/>
      <x:c r="W10" s="4622"/>
      <x:c r="X10" s="4622"/>
      <x:c r="Y10" s="4622"/>
      <x:c r="Z10" s="4623"/>
      <x:c r="AA10" s="3945"/>
      <x:c r="AB10" s="4621"/>
      <x:c r="AC10" s="4622"/>
      <x:c r="AD10" s="4623"/>
    </x:row>
    <x:row r="11">
      <x:c r="A11" s="4624"/>
      <x:c r="B11" s="4625"/>
      <x:c r="C11" s="4625"/>
      <x:c r="D11" s="4625"/>
      <x:c r="E11" s="4625"/>
      <x:c r="F11" s="4626"/>
      <x:c r="G11" s="3945"/>
      <x:c r="H11" s="4624"/>
      <x:c r="I11" s="4625"/>
      <x:c r="J11" s="4625"/>
      <x:c r="K11" s="4625"/>
      <x:c r="L11" s="4625"/>
      <x:c r="M11" s="4626"/>
      <x:c r="N11" s="3945"/>
      <x:c r="O11" s="4624"/>
      <x:c r="P11" s="4625"/>
      <x:c r="Q11" s="4625"/>
      <x:c r="R11" s="4625"/>
      <x:c r="S11" s="4625"/>
      <x:c r="T11" s="4626"/>
      <x:c r="U11" s="3945"/>
      <x:c r="V11" s="4624"/>
      <x:c r="W11" s="4625"/>
      <x:c r="X11" s="4625"/>
      <x:c r="Y11" s="4625"/>
      <x:c r="Z11" s="4626"/>
      <x:c r="AA11" s="3945"/>
      <x:c r="AB11" s="4624"/>
      <x:c r="AC11" s="4625"/>
      <x:c r="AD11" s="4626"/>
    </x:row>
    <x:row r="12">
      <x:c r="A12" s="3945"/>
      <x:c r="B12" s="3945"/>
      <x:c r="C12" s="3945"/>
      <x:c r="D12" s="3945"/>
      <x:c r="E12" s="3945"/>
      <x:c r="F12" s="3945"/>
      <x:c r="G12" s="3945"/>
      <x:c r="H12" s="3945"/>
      <x:c r="I12" s="3945"/>
      <x:c r="J12" s="3945"/>
      <x:c r="K12" s="3945"/>
      <x:c r="L12" s="3945"/>
      <x:c r="M12" s="3945"/>
      <x:c r="N12" s="3945"/>
      <x:c r="O12" s="3945"/>
      <x:c r="P12" s="3945"/>
      <x:c r="Q12" s="3945"/>
      <x:c r="R12" s="3945"/>
      <x:c r="S12" s="3945"/>
      <x:c r="T12" s="3945"/>
      <x:c r="U12" s="3945"/>
      <x:c r="V12" s="3945"/>
      <x:c r="W12" s="3945"/>
      <x:c r="X12" s="3945"/>
      <x:c r="Y12" s="3945"/>
      <x:c r="Z12" s="3945"/>
      <x:c r="AA12" s="3945"/>
      <x:c r="AB12" s="3945"/>
      <x:c r="AC12" s="3945"/>
      <x:c r="AD12" s="3945"/>
    </x:row>
    <x:row r="13">
      <x:c r="A13" s="3945"/>
      <x:c r="B13" s="3945"/>
      <x:c r="C13" s="3945"/>
      <x:c r="D13" s="3945"/>
      <x:c r="E13" s="3945"/>
      <x:c r="F13" s="3945"/>
      <x:c r="G13" s="3945"/>
      <x:c r="H13" s="3945"/>
      <x:c r="I13" s="3945"/>
      <x:c r="J13" s="3945"/>
      <x:c r="K13" s="3945"/>
      <x:c r="L13" s="3945"/>
      <x:c r="M13" s="3945"/>
      <x:c r="N13" s="3945"/>
      <x:c r="O13" s="3945"/>
      <x:c r="P13" s="3945"/>
      <x:c r="Q13" s="3945"/>
      <x:c r="R13" s="3945"/>
      <x:c r="S13" s="3945"/>
      <x:c r="T13" s="3945"/>
      <x:c r="U13" s="3945"/>
      <x:c r="V13" s="3945"/>
      <x:c r="W13" s="3945"/>
      <x:c r="X13" s="3945"/>
      <x:c r="Y13" s="3945"/>
      <x:c r="Z13" s="3945"/>
      <x:c r="AA13" s="3945"/>
      <x:c r="AB13" s="3945"/>
      <x:c r="AC13" s="3945"/>
      <x:c r="AD13" s="3945"/>
    </x:row>
    <x:row r="14">
      <x:c r="A14" s="4646" t="str">
        <x:v>02 — MOTOR DERIVA ANTES DE PREGUNTAR</x:v>
      </x:c>
      <x:c r="B14" s="4646"/>
      <x:c r="C14" s="4646"/>
      <x:c r="D14" s="4646"/>
      <x:c r="E14" s="4646"/>
      <x:c r="F14" s="4646"/>
      <x:c r="G14" s="4646"/>
      <x:c r="H14" s="4646"/>
      <x:c r="I14" s="4646"/>
      <x:c r="J14" s="4646"/>
      <x:c r="K14" s="4646"/>
      <x:c r="L14" s="4646"/>
      <x:c r="M14" s="4646"/>
      <x:c r="N14" s="4646"/>
      <x:c r="O14" s="4646"/>
      <x:c r="P14" s="4646"/>
      <x:c r="Q14" s="4646"/>
      <x:c r="R14" s="4646"/>
      <x:c r="S14" s="4646"/>
      <x:c r="T14" s="4646"/>
      <x:c r="U14" s="4646"/>
      <x:c r="V14" s="4646"/>
      <x:c r="W14" s="4646"/>
      <x:c r="X14" s="4646"/>
      <x:c r="Y14" s="4646"/>
      <x:c r="Z14" s="4646"/>
      <x:c r="AA14" s="4646"/>
      <x:c r="AB14" s="4646"/>
      <x:c r="AC14" s="4646"/>
      <x:c r="AD14" s="4646"/>
    </x:row>
    <x:row r="15">
      <x:c r="A15" s="3945"/>
      <x:c r="B15" s="3945"/>
      <x:c r="C15" s="3945"/>
      <x:c r="D15" s="3945"/>
      <x:c r="E15" s="3945"/>
      <x:c r="F15" s="3945"/>
      <x:c r="G15" s="3945"/>
      <x:c r="H15" s="3945"/>
      <x:c r="I15" s="3945"/>
      <x:c r="J15" s="3945"/>
      <x:c r="K15" s="3945"/>
      <x:c r="L15" s="3945"/>
      <x:c r="M15" s="3945"/>
      <x:c r="N15" s="3945"/>
      <x:c r="O15" s="3945"/>
      <x:c r="P15" s="3945"/>
      <x:c r="Q15" s="3945"/>
      <x:c r="R15" s="3945"/>
      <x:c r="S15" s="3945"/>
      <x:c r="T15" s="3945"/>
      <x:c r="U15" s="3945"/>
      <x:c r="V15" s="3945"/>
      <x:c r="W15" s="3945"/>
      <x:c r="X15" s="3945"/>
      <x:c r="Y15" s="3945"/>
      <x:c r="Z15" s="3945"/>
      <x:c r="AA15" s="3945"/>
      <x:c r="AB15" s="3945"/>
      <x:c r="AC15" s="3945"/>
      <x:c r="AD15" s="3945"/>
    </x:row>
    <x:row r="16">
      <x:c r="A16" s="4627" t="str">
        <x:v>TipoParte
NO selector libre</x:v>
      </x:c>
      <x:c r="B16" s="4628"/>
      <x:c r="C16" s="4628"/>
      <x:c r="D16" s="4628"/>
      <x:c r="E16" s="4628"/>
      <x:c r="F16" s="4629"/>
      <x:c r="G16" s="3945"/>
      <x:c r="H16" s="4627" t="str">
        <x:v>Parte / UE
identidad + routing</x:v>
      </x:c>
      <x:c r="I16" s="4628"/>
      <x:c r="J16" s="4628"/>
      <x:c r="K16" s="4628"/>
      <x:c r="L16" s="4628"/>
      <x:c r="M16" s="4629"/>
      <x:c r="N16" s="3945"/>
      <x:c r="O16" s="4627" t="str">
        <x:v>ubicación candidata
contexto activo</x:v>
      </x:c>
      <x:c r="P16" s="4628"/>
      <x:c r="Q16" s="4628"/>
      <x:c r="R16" s="4628"/>
      <x:c r="S16" s="4628"/>
      <x:c r="T16" s="4629"/>
      <x:c r="U16" s="3945"/>
      <x:c r="V16" s="4627" t="str">
        <x:v>tiempos / intervalos
personas · recursos</x:v>
      </x:c>
      <x:c r="W16" s="4628"/>
      <x:c r="X16" s="4628"/>
      <x:c r="Y16" s="4628"/>
      <x:c r="Z16" s="4629"/>
      <x:c r="AA16" s="3945"/>
      <x:c r="AB16" s="4627" t="str">
        <x:v>campos aplicables
mediciones / evidencia</x:v>
      </x:c>
      <x:c r="AC16" s="4628"/>
      <x:c r="AD16" s="4629"/>
    </x:row>
    <x:row r="17">
      <x:c r="A17" s="4630"/>
      <x:c r="B17" s="4631"/>
      <x:c r="C17" s="4631"/>
      <x:c r="D17" s="4631"/>
      <x:c r="E17" s="4631"/>
      <x:c r="F17" s="4632"/>
      <x:c r="G17" s="3945"/>
      <x:c r="H17" s="4630"/>
      <x:c r="I17" s="4631"/>
      <x:c r="J17" s="4631"/>
      <x:c r="K17" s="4631"/>
      <x:c r="L17" s="4631"/>
      <x:c r="M17" s="4632"/>
      <x:c r="N17" s="3945"/>
      <x:c r="O17" s="4630"/>
      <x:c r="P17" s="4631"/>
      <x:c r="Q17" s="4631"/>
      <x:c r="R17" s="4631"/>
      <x:c r="S17" s="4631"/>
      <x:c r="T17" s="4632"/>
      <x:c r="U17" s="3945"/>
      <x:c r="V17" s="4630"/>
      <x:c r="W17" s="4631"/>
      <x:c r="X17" s="4631"/>
      <x:c r="Y17" s="4631"/>
      <x:c r="Z17" s="4632"/>
      <x:c r="AA17" s="3945"/>
      <x:c r="AB17" s="4630"/>
      <x:c r="AC17" s="4631"/>
      <x:c r="AD17" s="4632"/>
    </x:row>
    <x:row r="18">
      <x:c r="A18" s="4630"/>
      <x:c r="B18" s="4631"/>
      <x:c r="C18" s="4631"/>
      <x:c r="D18" s="4631"/>
      <x:c r="E18" s="4631"/>
      <x:c r="F18" s="4632"/>
      <x:c r="G18" s="3945"/>
      <x:c r="H18" s="4630"/>
      <x:c r="I18" s="4631"/>
      <x:c r="J18" s="4631"/>
      <x:c r="K18" s="4631"/>
      <x:c r="L18" s="4631"/>
      <x:c r="M18" s="4632"/>
      <x:c r="N18" s="3945"/>
      <x:c r="O18" s="4630"/>
      <x:c r="P18" s="4631"/>
      <x:c r="Q18" s="4631"/>
      <x:c r="R18" s="4631"/>
      <x:c r="S18" s="4631"/>
      <x:c r="T18" s="4632"/>
      <x:c r="U18" s="3945"/>
      <x:c r="V18" s="4630"/>
      <x:c r="W18" s="4631"/>
      <x:c r="X18" s="4631"/>
      <x:c r="Y18" s="4631"/>
      <x:c r="Z18" s="4632"/>
      <x:c r="AA18" s="3945"/>
      <x:c r="AB18" s="4630"/>
      <x:c r="AC18" s="4631"/>
      <x:c r="AD18" s="4632"/>
    </x:row>
    <x:row r="19">
      <x:c r="A19" s="4630"/>
      <x:c r="B19" s="4631"/>
      <x:c r="C19" s="4631"/>
      <x:c r="D19" s="4631"/>
      <x:c r="E19" s="4631"/>
      <x:c r="F19" s="4632"/>
      <x:c r="G19" s="3945"/>
      <x:c r="H19" s="4630"/>
      <x:c r="I19" s="4631"/>
      <x:c r="J19" s="4631"/>
      <x:c r="K19" s="4631"/>
      <x:c r="L19" s="4631"/>
      <x:c r="M19" s="4632"/>
      <x:c r="N19" s="3945"/>
      <x:c r="O19" s="4630"/>
      <x:c r="P19" s="4631"/>
      <x:c r="Q19" s="4631"/>
      <x:c r="R19" s="4631"/>
      <x:c r="S19" s="4631"/>
      <x:c r="T19" s="4632"/>
      <x:c r="U19" s="3945"/>
      <x:c r="V19" s="4630"/>
      <x:c r="W19" s="4631"/>
      <x:c r="X19" s="4631"/>
      <x:c r="Y19" s="4631"/>
      <x:c r="Z19" s="4632"/>
      <x:c r="AA19" s="3945"/>
      <x:c r="AB19" s="4630"/>
      <x:c r="AC19" s="4631"/>
      <x:c r="AD19" s="4632"/>
    </x:row>
    <x:row r="20">
      <x:c r="A20" s="4630"/>
      <x:c r="B20" s="4631"/>
      <x:c r="C20" s="4631"/>
      <x:c r="D20" s="4631"/>
      <x:c r="E20" s="4631"/>
      <x:c r="F20" s="4632"/>
      <x:c r="G20" s="3945"/>
      <x:c r="H20" s="4630"/>
      <x:c r="I20" s="4631"/>
      <x:c r="J20" s="4631"/>
      <x:c r="K20" s="4631"/>
      <x:c r="L20" s="4631"/>
      <x:c r="M20" s="4632"/>
      <x:c r="N20" s="3945"/>
      <x:c r="O20" s="4630"/>
      <x:c r="P20" s="4631"/>
      <x:c r="Q20" s="4631"/>
      <x:c r="R20" s="4631"/>
      <x:c r="S20" s="4631"/>
      <x:c r="T20" s="4632"/>
      <x:c r="U20" s="3945"/>
      <x:c r="V20" s="4630"/>
      <x:c r="W20" s="4631"/>
      <x:c r="X20" s="4631"/>
      <x:c r="Y20" s="4631"/>
      <x:c r="Z20" s="4632"/>
      <x:c r="AA20" s="3945"/>
      <x:c r="AB20" s="4630"/>
      <x:c r="AC20" s="4631"/>
      <x:c r="AD20" s="4632"/>
    </x:row>
    <x:row r="21">
      <x:c r="A21" s="4633"/>
      <x:c r="B21" s="4634"/>
      <x:c r="C21" s="4634"/>
      <x:c r="D21" s="4634"/>
      <x:c r="E21" s="4634"/>
      <x:c r="F21" s="4635"/>
      <x:c r="G21" s="3945"/>
      <x:c r="H21" s="4633"/>
      <x:c r="I21" s="4634"/>
      <x:c r="J21" s="4634"/>
      <x:c r="K21" s="4634"/>
      <x:c r="L21" s="4634"/>
      <x:c r="M21" s="4635"/>
      <x:c r="N21" s="3945"/>
      <x:c r="O21" s="4633"/>
      <x:c r="P21" s="4634"/>
      <x:c r="Q21" s="4634"/>
      <x:c r="R21" s="4634"/>
      <x:c r="S21" s="4634"/>
      <x:c r="T21" s="4635"/>
      <x:c r="U21" s="3945"/>
      <x:c r="V21" s="4633"/>
      <x:c r="W21" s="4634"/>
      <x:c r="X21" s="4634"/>
      <x:c r="Y21" s="4634"/>
      <x:c r="Z21" s="4635"/>
      <x:c r="AA21" s="3945"/>
      <x:c r="AB21" s="4633"/>
      <x:c r="AC21" s="4634"/>
      <x:c r="AD21" s="4635"/>
    </x:row>
    <x:row r="22">
      <x:c r="A22" s="3945"/>
      <x:c r="B22" s="3945"/>
      <x:c r="C22" s="3945"/>
      <x:c r="D22" s="3945"/>
      <x:c r="E22" s="3945"/>
      <x:c r="F22" s="3945"/>
      <x:c r="G22" s="3945"/>
      <x:c r="H22" s="3945"/>
      <x:c r="I22" s="3945"/>
      <x:c r="J22" s="3945"/>
      <x:c r="K22" s="3945"/>
      <x:c r="L22" s="3945"/>
      <x:c r="M22" s="3945"/>
      <x:c r="N22" s="3945"/>
      <x:c r="O22" s="3945"/>
      <x:c r="P22" s="3945"/>
      <x:c r="Q22" s="3945"/>
      <x:c r="R22" s="3945"/>
      <x:c r="S22" s="3945"/>
      <x:c r="T22" s="3945"/>
      <x:c r="U22" s="3945"/>
      <x:c r="V22" s="3945"/>
      <x:c r="W22" s="3945"/>
      <x:c r="X22" s="3945"/>
      <x:c r="Y22" s="3945"/>
      <x:c r="Z22" s="3945"/>
      <x:c r="AA22" s="3945"/>
      <x:c r="AB22" s="3945"/>
      <x:c r="AC22" s="3945"/>
      <x:c r="AD22" s="3945"/>
    </x:row>
    <x:row r="23">
      <x:c r="A23" s="3945"/>
      <x:c r="B23" s="3945"/>
      <x:c r="C23" s="3945"/>
      <x:c r="D23" s="3945"/>
      <x:c r="E23" s="3945"/>
      <x:c r="F23" s="3945"/>
      <x:c r="G23" s="3945"/>
      <x:c r="H23" s="3945"/>
      <x:c r="I23" s="3945"/>
      <x:c r="J23" s="3945"/>
      <x:c r="K23" s="3945"/>
      <x:c r="L23" s="3945"/>
      <x:c r="M23" s="3945"/>
      <x:c r="N23" s="3945"/>
      <x:c r="O23" s="3945"/>
      <x:c r="P23" s="3945"/>
      <x:c r="Q23" s="3945"/>
      <x:c r="R23" s="3945"/>
      <x:c r="S23" s="3945"/>
      <x:c r="T23" s="3945"/>
      <x:c r="U23" s="3945"/>
      <x:c r="V23" s="3945"/>
      <x:c r="W23" s="3945"/>
      <x:c r="X23" s="3945"/>
      <x:c r="Y23" s="3945"/>
      <x:c r="Z23" s="3945"/>
      <x:c r="AA23" s="3945"/>
      <x:c r="AB23" s="3945"/>
      <x:c r="AC23" s="3945"/>
      <x:c r="AD23" s="3945"/>
    </x:row>
    <x:row r="24">
      <x:c r="A24" s="4646" t="str">
        <x:v>03 — HUMANO SOLO COMPLETA LO QUE LA REALIDAD NO PUEDE INFERIR</x:v>
      </x:c>
      <x:c r="B24" s="4646"/>
      <x:c r="C24" s="4646"/>
      <x:c r="D24" s="4646"/>
      <x:c r="E24" s="4646"/>
      <x:c r="F24" s="4646"/>
      <x:c r="G24" s="4646"/>
      <x:c r="H24" s="4646"/>
      <x:c r="I24" s="4646"/>
      <x:c r="J24" s="4646"/>
      <x:c r="K24" s="4646"/>
      <x:c r="L24" s="4646"/>
      <x:c r="M24" s="4646"/>
      <x:c r="N24" s="4646"/>
      <x:c r="O24" s="4646"/>
      <x:c r="P24" s="4646"/>
      <x:c r="Q24" s="4646"/>
      <x:c r="R24" s="4646"/>
      <x:c r="S24" s="4646"/>
      <x:c r="T24" s="4646"/>
      <x:c r="U24" s="4646"/>
      <x:c r="V24" s="4646"/>
      <x:c r="W24" s="4646"/>
      <x:c r="X24" s="4646"/>
      <x:c r="Y24" s="4646"/>
      <x:c r="Z24" s="4646"/>
      <x:c r="AA24" s="4646"/>
      <x:c r="AB24" s="4646"/>
      <x:c r="AC24" s="4646"/>
      <x:c r="AD24" s="4646"/>
    </x:row>
    <x:row r="25">
      <x:c r="A25" s="3945"/>
      <x:c r="B25" s="3945"/>
      <x:c r="C25" s="3945"/>
      <x:c r="D25" s="3945"/>
      <x:c r="E25" s="3945"/>
      <x:c r="F25" s="3945"/>
      <x:c r="G25" s="3945"/>
      <x:c r="H25" s="3945"/>
      <x:c r="I25" s="3945"/>
      <x:c r="J25" s="3945"/>
      <x:c r="K25" s="3945"/>
      <x:c r="L25" s="3945"/>
      <x:c r="M25" s="3945"/>
      <x:c r="N25" s="3945"/>
      <x:c r="O25" s="3945"/>
      <x:c r="P25" s="3945"/>
      <x:c r="Q25" s="3945"/>
      <x:c r="R25" s="3945"/>
      <x:c r="S25" s="3945"/>
      <x:c r="T25" s="3945"/>
      <x:c r="U25" s="3945"/>
      <x:c r="V25" s="3945"/>
      <x:c r="W25" s="3945"/>
      <x:c r="X25" s="3945"/>
      <x:c r="Y25" s="3945"/>
      <x:c r="Z25" s="3945"/>
      <x:c r="AA25" s="3945"/>
      <x:c r="AB25" s="3945"/>
      <x:c r="AC25" s="3945"/>
      <x:c r="AD25" s="3945"/>
    </x:row>
    <x:row r="26">
      <x:c r="A26" s="4636" t="str">
        <x:v>CONFIRMAR
ubicación / carga
resumen</x:v>
      </x:c>
      <x:c r="B26" s="4637"/>
      <x:c r="C26" s="4637"/>
      <x:c r="D26" s="4637"/>
      <x:c r="E26" s="4637"/>
      <x:c r="F26" s="4638"/>
      <x:c r="G26" s="3945"/>
      <x:c r="H26" s="4636" t="str">
        <x:v>SELECCIONAR
motivo · resultado
categoría</x:v>
      </x:c>
      <x:c r="I26" s="4637"/>
      <x:c r="J26" s="4637"/>
      <x:c r="K26" s="4637"/>
      <x:c r="L26" s="4637"/>
      <x:c r="M26" s="4638"/>
      <x:c r="N26" s="3945"/>
      <x:c r="O26" s="4636" t="str">
        <x:v>MEDIR
valor físico
si no hay fuente</x:v>
      </x:c>
      <x:c r="P26" s="4637"/>
      <x:c r="Q26" s="4637"/>
      <x:c r="R26" s="4637"/>
      <x:c r="S26" s="4637"/>
      <x:c r="T26" s="4638"/>
      <x:c r="U26" s="3945"/>
      <x:c r="V26" s="4636" t="str">
        <x:v>DESCRIBIR
emergencia / EventoHabilita
voz breve</x:v>
      </x:c>
      <x:c r="W26" s="4637"/>
      <x:c r="X26" s="4637"/>
      <x:c r="Y26" s="4637"/>
      <x:c r="Z26" s="4638"/>
      <x:c r="AA26" s="3945"/>
      <x:c r="AB26" s="4636" t="str">
        <x:v>EVIDENCIA / FIRMA
solo si aplica</x:v>
      </x:c>
      <x:c r="AC26" s="4637"/>
      <x:c r="AD26" s="4638"/>
    </x:row>
    <x:row r="27">
      <x:c r="A27" s="4639"/>
      <x:c r="B27" s="4640"/>
      <x:c r="C27" s="4640"/>
      <x:c r="D27" s="4640"/>
      <x:c r="E27" s="4640"/>
      <x:c r="F27" s="4641"/>
      <x:c r="G27" s="3945"/>
      <x:c r="H27" s="4639"/>
      <x:c r="I27" s="4640"/>
      <x:c r="J27" s="4640"/>
      <x:c r="K27" s="4640"/>
      <x:c r="L27" s="4640"/>
      <x:c r="M27" s="4641"/>
      <x:c r="N27" s="3945"/>
      <x:c r="O27" s="4639"/>
      <x:c r="P27" s="4640"/>
      <x:c r="Q27" s="4640"/>
      <x:c r="R27" s="4640"/>
      <x:c r="S27" s="4640"/>
      <x:c r="T27" s="4641"/>
      <x:c r="U27" s="3945"/>
      <x:c r="V27" s="4639"/>
      <x:c r="W27" s="4640"/>
      <x:c r="X27" s="4640"/>
      <x:c r="Y27" s="4640"/>
      <x:c r="Z27" s="4641"/>
      <x:c r="AA27" s="3945"/>
      <x:c r="AB27" s="4639"/>
      <x:c r="AC27" s="4640"/>
      <x:c r="AD27" s="4641"/>
    </x:row>
    <x:row r="28">
      <x:c r="A28" s="4639"/>
      <x:c r="B28" s="4640"/>
      <x:c r="C28" s="4640"/>
      <x:c r="D28" s="4640"/>
      <x:c r="E28" s="4640"/>
      <x:c r="F28" s="4641"/>
      <x:c r="G28" s="3945"/>
      <x:c r="H28" s="4639"/>
      <x:c r="I28" s="4640"/>
      <x:c r="J28" s="4640"/>
      <x:c r="K28" s="4640"/>
      <x:c r="L28" s="4640"/>
      <x:c r="M28" s="4641"/>
      <x:c r="N28" s="3945"/>
      <x:c r="O28" s="4639"/>
      <x:c r="P28" s="4640"/>
      <x:c r="Q28" s="4640"/>
      <x:c r="R28" s="4640"/>
      <x:c r="S28" s="4640"/>
      <x:c r="T28" s="4641"/>
      <x:c r="U28" s="3945"/>
      <x:c r="V28" s="4639"/>
      <x:c r="W28" s="4640"/>
      <x:c r="X28" s="4640"/>
      <x:c r="Y28" s="4640"/>
      <x:c r="Z28" s="4641"/>
      <x:c r="AA28" s="3945"/>
      <x:c r="AB28" s="4639"/>
      <x:c r="AC28" s="4640"/>
      <x:c r="AD28" s="4641"/>
    </x:row>
    <x:row r="29">
      <x:c r="A29" s="4639"/>
      <x:c r="B29" s="4640"/>
      <x:c r="C29" s="4640"/>
      <x:c r="D29" s="4640"/>
      <x:c r="E29" s="4640"/>
      <x:c r="F29" s="4641"/>
      <x:c r="G29" s="3945"/>
      <x:c r="H29" s="4639"/>
      <x:c r="I29" s="4640"/>
      <x:c r="J29" s="4640"/>
      <x:c r="K29" s="4640"/>
      <x:c r="L29" s="4640"/>
      <x:c r="M29" s="4641"/>
      <x:c r="N29" s="3945"/>
      <x:c r="O29" s="4639"/>
      <x:c r="P29" s="4640"/>
      <x:c r="Q29" s="4640"/>
      <x:c r="R29" s="4640"/>
      <x:c r="S29" s="4640"/>
      <x:c r="T29" s="4641"/>
      <x:c r="U29" s="3945"/>
      <x:c r="V29" s="4639"/>
      <x:c r="W29" s="4640"/>
      <x:c r="X29" s="4640"/>
      <x:c r="Y29" s="4640"/>
      <x:c r="Z29" s="4641"/>
      <x:c r="AA29" s="3945"/>
      <x:c r="AB29" s="4639"/>
      <x:c r="AC29" s="4640"/>
      <x:c r="AD29" s="4641"/>
    </x:row>
    <x:row r="30">
      <x:c r="A30" s="4639"/>
      <x:c r="B30" s="4640"/>
      <x:c r="C30" s="4640"/>
      <x:c r="D30" s="4640"/>
      <x:c r="E30" s="4640"/>
      <x:c r="F30" s="4641"/>
      <x:c r="G30" s="3945"/>
      <x:c r="H30" s="4639"/>
      <x:c r="I30" s="4640"/>
      <x:c r="J30" s="4640"/>
      <x:c r="K30" s="4640"/>
      <x:c r="L30" s="4640"/>
      <x:c r="M30" s="4641"/>
      <x:c r="N30" s="3945"/>
      <x:c r="O30" s="4639"/>
      <x:c r="P30" s="4640"/>
      <x:c r="Q30" s="4640"/>
      <x:c r="R30" s="4640"/>
      <x:c r="S30" s="4640"/>
      <x:c r="T30" s="4641"/>
      <x:c r="U30" s="3945"/>
      <x:c r="V30" s="4639"/>
      <x:c r="W30" s="4640"/>
      <x:c r="X30" s="4640"/>
      <x:c r="Y30" s="4640"/>
      <x:c r="Z30" s="4641"/>
      <x:c r="AA30" s="3945"/>
      <x:c r="AB30" s="4639"/>
      <x:c r="AC30" s="4640"/>
      <x:c r="AD30" s="4641"/>
    </x:row>
    <x:row r="31">
      <x:c r="A31" s="4639"/>
      <x:c r="B31" s="4640"/>
      <x:c r="C31" s="4640"/>
      <x:c r="D31" s="4640"/>
      <x:c r="E31" s="4640"/>
      <x:c r="F31" s="4641"/>
      <x:c r="G31" s="3945"/>
      <x:c r="H31" s="4639"/>
      <x:c r="I31" s="4640"/>
      <x:c r="J31" s="4640"/>
      <x:c r="K31" s="4640"/>
      <x:c r="L31" s="4640"/>
      <x:c r="M31" s="4641"/>
      <x:c r="N31" s="3945"/>
      <x:c r="O31" s="4639"/>
      <x:c r="P31" s="4640"/>
      <x:c r="Q31" s="4640"/>
      <x:c r="R31" s="4640"/>
      <x:c r="S31" s="4640"/>
      <x:c r="T31" s="4641"/>
      <x:c r="U31" s="3945"/>
      <x:c r="V31" s="4639"/>
      <x:c r="W31" s="4640"/>
      <x:c r="X31" s="4640"/>
      <x:c r="Y31" s="4640"/>
      <x:c r="Z31" s="4641"/>
      <x:c r="AA31" s="3945"/>
      <x:c r="AB31" s="4639"/>
      <x:c r="AC31" s="4640"/>
      <x:c r="AD31" s="4641"/>
    </x:row>
    <x:row r="32">
      <x:c r="A32" s="4642"/>
      <x:c r="B32" s="4643"/>
      <x:c r="C32" s="4643"/>
      <x:c r="D32" s="4643"/>
      <x:c r="E32" s="4643"/>
      <x:c r="F32" s="4644"/>
      <x:c r="G32" s="3945"/>
      <x:c r="H32" s="4642"/>
      <x:c r="I32" s="4643"/>
      <x:c r="J32" s="4643"/>
      <x:c r="K32" s="4643"/>
      <x:c r="L32" s="4643"/>
      <x:c r="M32" s="4644"/>
      <x:c r="N32" s="3945"/>
      <x:c r="O32" s="4642"/>
      <x:c r="P32" s="4643"/>
      <x:c r="Q32" s="4643"/>
      <x:c r="R32" s="4643"/>
      <x:c r="S32" s="4643"/>
      <x:c r="T32" s="4644"/>
      <x:c r="U32" s="3945"/>
      <x:c r="V32" s="4642"/>
      <x:c r="W32" s="4643"/>
      <x:c r="X32" s="4643"/>
      <x:c r="Y32" s="4643"/>
      <x:c r="Z32" s="4644"/>
      <x:c r="AA32" s="3945"/>
      <x:c r="AB32" s="4642"/>
      <x:c r="AC32" s="4643"/>
      <x:c r="AD32" s="4644"/>
    </x:row>
    <x:row r="33">
      <x:c r="A33" s="3945"/>
      <x:c r="B33" s="3945"/>
      <x:c r="C33" s="3945"/>
      <x:c r="D33" s="3945"/>
      <x:c r="E33" s="3945"/>
      <x:c r="F33" s="3945"/>
      <x:c r="G33" s="3945"/>
      <x:c r="H33" s="3945"/>
      <x:c r="I33" s="3945"/>
      <x:c r="J33" s="3945"/>
      <x:c r="K33" s="3945"/>
      <x:c r="L33" s="3945"/>
      <x:c r="M33" s="3945"/>
      <x:c r="N33" s="3945"/>
      <x:c r="O33" s="3945"/>
      <x:c r="P33" s="3945"/>
      <x:c r="Q33" s="3945"/>
      <x:c r="R33" s="3945"/>
      <x:c r="S33" s="3945"/>
      <x:c r="T33" s="3945"/>
      <x:c r="U33" s="3945"/>
      <x:c r="V33" s="3945"/>
      <x:c r="W33" s="3945"/>
      <x:c r="X33" s="3945"/>
      <x:c r="Y33" s="3945"/>
      <x:c r="Z33" s="3945"/>
      <x:c r="AA33" s="3945"/>
      <x:c r="AB33" s="3945"/>
      <x:c r="AC33" s="3945"/>
      <x:c r="AD33" s="3945"/>
    </x:row>
    <x:row r="34">
      <x:c r="A34" s="3945"/>
      <x:c r="B34" s="3945"/>
      <x:c r="C34" s="3945"/>
      <x:c r="D34" s="3945"/>
      <x:c r="E34" s="3945"/>
      <x:c r="F34" s="3945"/>
      <x:c r="G34" s="3945"/>
      <x:c r="H34" s="3945"/>
      <x:c r="I34" s="3945"/>
      <x:c r="J34" s="3945"/>
      <x:c r="K34" s="3945"/>
      <x:c r="L34" s="3945"/>
      <x:c r="M34" s="3945"/>
      <x:c r="N34" s="3945"/>
      <x:c r="O34" s="3945"/>
      <x:c r="P34" s="3945"/>
      <x:c r="Q34" s="3945"/>
      <x:c r="R34" s="3945"/>
      <x:c r="S34" s="3945"/>
      <x:c r="T34" s="3945"/>
      <x:c r="U34" s="3945"/>
      <x:c r="V34" s="3945"/>
      <x:c r="W34" s="3945"/>
      <x:c r="X34" s="3945"/>
      <x:c r="Y34" s="3945"/>
      <x:c r="Z34" s="3945"/>
      <x:c r="AA34" s="3945"/>
      <x:c r="AB34" s="3945"/>
      <x:c r="AC34" s="3945"/>
      <x:c r="AD34" s="3945"/>
    </x:row>
    <x:row r="35">
      <x:c r="A35" s="4646" t="str">
        <x:v>04 — CAPTURA INCREMENTAL</x:v>
      </x:c>
      <x:c r="B35" s="4646"/>
      <x:c r="C35" s="4646"/>
      <x:c r="D35" s="4646"/>
      <x:c r="E35" s="4646"/>
      <x:c r="F35" s="4646"/>
      <x:c r="G35" s="4646"/>
      <x:c r="H35" s="4646"/>
      <x:c r="I35" s="4646"/>
      <x:c r="J35" s="4646"/>
      <x:c r="K35" s="4646"/>
      <x:c r="L35" s="4646"/>
      <x:c r="M35" s="4646"/>
      <x:c r="N35" s="4646"/>
      <x:c r="O35" s="4646"/>
      <x:c r="P35" s="4646"/>
      <x:c r="Q35" s="4646"/>
      <x:c r="R35" s="4646"/>
      <x:c r="S35" s="4646"/>
      <x:c r="T35" s="4646"/>
      <x:c r="U35" s="4646"/>
      <x:c r="V35" s="4646"/>
      <x:c r="W35" s="4646"/>
      <x:c r="X35" s="4646"/>
      <x:c r="Y35" s="4646"/>
      <x:c r="Z35" s="4646"/>
      <x:c r="AA35" s="4646"/>
      <x:c r="AB35" s="4646"/>
      <x:c r="AC35" s="4646"/>
      <x:c r="AD35" s="4646"/>
    </x:row>
    <x:row r="36">
      <x:c r="A36" s="3945"/>
      <x:c r="B36" s="3945"/>
      <x:c r="C36" s="3945"/>
      <x:c r="D36" s="3945"/>
      <x:c r="E36" s="3945"/>
      <x:c r="F36" s="3945"/>
      <x:c r="G36" s="3945"/>
      <x:c r="H36" s="3945"/>
      <x:c r="I36" s="3945"/>
      <x:c r="J36" s="3945"/>
      <x:c r="K36" s="3945"/>
      <x:c r="L36" s="3945"/>
      <x:c r="M36" s="3945"/>
      <x:c r="N36" s="3945"/>
      <x:c r="O36" s="3945"/>
      <x:c r="P36" s="3945"/>
      <x:c r="Q36" s="3945"/>
      <x:c r="R36" s="3945"/>
      <x:c r="S36" s="3945"/>
      <x:c r="T36" s="3945"/>
      <x:c r="U36" s="3945"/>
      <x:c r="V36" s="3945"/>
      <x:c r="W36" s="3945"/>
      <x:c r="X36" s="3945"/>
      <x:c r="Y36" s="3945"/>
      <x:c r="Z36" s="3945"/>
      <x:c r="AA36" s="3945"/>
      <x:c r="AB36" s="3945"/>
      <x:c r="AC36" s="3945"/>
      <x:c r="AD36" s="3945"/>
    </x:row>
    <x:row r="37">
      <x:c r="A37" s="4618" t="str">
        <x:v>START WORK
≤20 s
happy path</x:v>
      </x:c>
      <x:c r="B37" s="4619"/>
      <x:c r="C37" s="4619"/>
      <x:c r="D37" s="4619"/>
      <x:c r="E37" s="4620"/>
      <x:c r="F37" s="3945"/>
      <x:c r="G37" s="4618" t="str">
        <x:v>MICROEVENTO
3–45 s
cambio / medición</x:v>
      </x:c>
      <x:c r="H37" s="4619"/>
      <x:c r="I37" s="4619"/>
      <x:c r="J37" s="4619"/>
      <x:c r="K37" s="4620"/>
      <x:c r="L37" s="3945"/>
      <x:c r="M37" s="4618" t="str">
        <x:v>CIERRE UE
≤60 s</x:v>
      </x:c>
      <x:c r="N37" s="4619"/>
      <x:c r="O37" s="4619"/>
      <x:c r="P37" s="4619"/>
      <x:c r="Q37" s="4620"/>
      <x:c r="R37" s="3945"/>
      <x:c r="S37" s="4618" t="str">
        <x:v>CIERRE PARTE
≤20 s</x:v>
      </x:c>
      <x:c r="T37" s="4619"/>
      <x:c r="U37" s="4619"/>
      <x:c r="V37" s="4619"/>
      <x:c r="W37" s="4620"/>
      <x:c r="X37" s="3945"/>
      <x:c r="Y37" s="4618" t="str">
        <x:v>HABILITA FLASH
≤120 s</x:v>
      </x:c>
      <x:c r="Z37" s="4619"/>
      <x:c r="AA37" s="4619"/>
      <x:c r="AB37" s="4619"/>
      <x:c r="AC37" s="4619"/>
      <x:c r="AD37" s="4620"/>
    </x:row>
    <x:row r="38">
      <x:c r="A38" s="4621"/>
      <x:c r="B38" s="4622"/>
      <x:c r="C38" s="4622"/>
      <x:c r="D38" s="4622"/>
      <x:c r="E38" s="4623"/>
      <x:c r="F38" s="3945"/>
      <x:c r="G38" s="4621"/>
      <x:c r="H38" s="4622"/>
      <x:c r="I38" s="4622"/>
      <x:c r="J38" s="4622"/>
      <x:c r="K38" s="4623"/>
      <x:c r="L38" s="3945"/>
      <x:c r="M38" s="4621"/>
      <x:c r="N38" s="4622"/>
      <x:c r="O38" s="4622"/>
      <x:c r="P38" s="4622"/>
      <x:c r="Q38" s="4623"/>
      <x:c r="R38" s="3945"/>
      <x:c r="S38" s="4621"/>
      <x:c r="T38" s="4622"/>
      <x:c r="U38" s="4622"/>
      <x:c r="V38" s="4622"/>
      <x:c r="W38" s="4623"/>
      <x:c r="X38" s="3945"/>
      <x:c r="Y38" s="4621"/>
      <x:c r="Z38" s="4622"/>
      <x:c r="AA38" s="4622"/>
      <x:c r="AB38" s="4622"/>
      <x:c r="AC38" s="4622"/>
      <x:c r="AD38" s="4623"/>
    </x:row>
    <x:row r="39">
      <x:c r="A39" s="4621"/>
      <x:c r="B39" s="4622"/>
      <x:c r="C39" s="4622"/>
      <x:c r="D39" s="4622"/>
      <x:c r="E39" s="4623"/>
      <x:c r="F39" s="3945"/>
      <x:c r="G39" s="4621"/>
      <x:c r="H39" s="4622"/>
      <x:c r="I39" s="4622"/>
      <x:c r="J39" s="4622"/>
      <x:c r="K39" s="4623"/>
      <x:c r="L39" s="3945"/>
      <x:c r="M39" s="4621"/>
      <x:c r="N39" s="4622"/>
      <x:c r="O39" s="4622"/>
      <x:c r="P39" s="4622"/>
      <x:c r="Q39" s="4623"/>
      <x:c r="R39" s="3945"/>
      <x:c r="S39" s="4621"/>
      <x:c r="T39" s="4622"/>
      <x:c r="U39" s="4622"/>
      <x:c r="V39" s="4622"/>
      <x:c r="W39" s="4623"/>
      <x:c r="X39" s="3945"/>
      <x:c r="Y39" s="4621"/>
      <x:c r="Z39" s="4622"/>
      <x:c r="AA39" s="4622"/>
      <x:c r="AB39" s="4622"/>
      <x:c r="AC39" s="4622"/>
      <x:c r="AD39" s="4623"/>
    </x:row>
    <x:row r="40">
      <x:c r="A40" s="4621"/>
      <x:c r="B40" s="4622"/>
      <x:c r="C40" s="4622"/>
      <x:c r="D40" s="4622"/>
      <x:c r="E40" s="4623"/>
      <x:c r="F40" s="3945"/>
      <x:c r="G40" s="4621"/>
      <x:c r="H40" s="4622"/>
      <x:c r="I40" s="4622"/>
      <x:c r="J40" s="4622"/>
      <x:c r="K40" s="4623"/>
      <x:c r="L40" s="3945"/>
      <x:c r="M40" s="4621"/>
      <x:c r="N40" s="4622"/>
      <x:c r="O40" s="4622"/>
      <x:c r="P40" s="4622"/>
      <x:c r="Q40" s="4623"/>
      <x:c r="R40" s="3945"/>
      <x:c r="S40" s="4621"/>
      <x:c r="T40" s="4622"/>
      <x:c r="U40" s="4622"/>
      <x:c r="V40" s="4622"/>
      <x:c r="W40" s="4623"/>
      <x:c r="X40" s="3945"/>
      <x:c r="Y40" s="4621"/>
      <x:c r="Z40" s="4622"/>
      <x:c r="AA40" s="4622"/>
      <x:c r="AB40" s="4622"/>
      <x:c r="AC40" s="4622"/>
      <x:c r="AD40" s="4623"/>
    </x:row>
    <x:row r="41">
      <x:c r="A41" s="4621"/>
      <x:c r="B41" s="4622"/>
      <x:c r="C41" s="4622"/>
      <x:c r="D41" s="4622"/>
      <x:c r="E41" s="4623"/>
      <x:c r="F41" s="3945"/>
      <x:c r="G41" s="4621"/>
      <x:c r="H41" s="4622"/>
      <x:c r="I41" s="4622"/>
      <x:c r="J41" s="4622"/>
      <x:c r="K41" s="4623"/>
      <x:c r="L41" s="3945"/>
      <x:c r="M41" s="4621"/>
      <x:c r="N41" s="4622"/>
      <x:c r="O41" s="4622"/>
      <x:c r="P41" s="4622"/>
      <x:c r="Q41" s="4623"/>
      <x:c r="R41" s="3945"/>
      <x:c r="S41" s="4621"/>
      <x:c r="T41" s="4622"/>
      <x:c r="U41" s="4622"/>
      <x:c r="V41" s="4622"/>
      <x:c r="W41" s="4623"/>
      <x:c r="X41" s="3945"/>
      <x:c r="Y41" s="4621"/>
      <x:c r="Z41" s="4622"/>
      <x:c r="AA41" s="4622"/>
      <x:c r="AB41" s="4622"/>
      <x:c r="AC41" s="4622"/>
      <x:c r="AD41" s="4623"/>
    </x:row>
    <x:row r="42">
      <x:c r="A42" s="4621"/>
      <x:c r="B42" s="4622"/>
      <x:c r="C42" s="4622"/>
      <x:c r="D42" s="4622"/>
      <x:c r="E42" s="4623"/>
      <x:c r="F42" s="3945"/>
      <x:c r="G42" s="4621"/>
      <x:c r="H42" s="4622"/>
      <x:c r="I42" s="4622"/>
      <x:c r="J42" s="4622"/>
      <x:c r="K42" s="4623"/>
      <x:c r="L42" s="3945"/>
      <x:c r="M42" s="4621"/>
      <x:c r="N42" s="4622"/>
      <x:c r="O42" s="4622"/>
      <x:c r="P42" s="4622"/>
      <x:c r="Q42" s="4623"/>
      <x:c r="R42" s="3945"/>
      <x:c r="S42" s="4621"/>
      <x:c r="T42" s="4622"/>
      <x:c r="U42" s="4622"/>
      <x:c r="V42" s="4622"/>
      <x:c r="W42" s="4623"/>
      <x:c r="X42" s="3945"/>
      <x:c r="Y42" s="4621"/>
      <x:c r="Z42" s="4622"/>
      <x:c r="AA42" s="4622"/>
      <x:c r="AB42" s="4622"/>
      <x:c r="AC42" s="4622"/>
      <x:c r="AD42" s="4623"/>
    </x:row>
    <x:row r="43">
      <x:c r="A43" s="4624"/>
      <x:c r="B43" s="4625"/>
      <x:c r="C43" s="4625"/>
      <x:c r="D43" s="4625"/>
      <x:c r="E43" s="4626"/>
      <x:c r="F43" s="3945"/>
      <x:c r="G43" s="4624"/>
      <x:c r="H43" s="4625"/>
      <x:c r="I43" s="4625"/>
      <x:c r="J43" s="4625"/>
      <x:c r="K43" s="4626"/>
      <x:c r="L43" s="3945"/>
      <x:c r="M43" s="4624"/>
      <x:c r="N43" s="4625"/>
      <x:c r="O43" s="4625"/>
      <x:c r="P43" s="4625"/>
      <x:c r="Q43" s="4626"/>
      <x:c r="R43" s="3945"/>
      <x:c r="S43" s="4624"/>
      <x:c r="T43" s="4625"/>
      <x:c r="U43" s="4625"/>
      <x:c r="V43" s="4625"/>
      <x:c r="W43" s="4626"/>
      <x:c r="X43" s="3945"/>
      <x:c r="Y43" s="4624"/>
      <x:c r="Z43" s="4625"/>
      <x:c r="AA43" s="4625"/>
      <x:c r="AB43" s="4625"/>
      <x:c r="AC43" s="4625"/>
      <x:c r="AD43" s="4626"/>
    </x:row>
    <x:row r="44">
      <x:c r="A44" s="3945"/>
      <x:c r="B44" s="3945"/>
      <x:c r="C44" s="3945"/>
      <x:c r="D44" s="3945"/>
      <x:c r="E44" s="3945"/>
      <x:c r="F44" s="3945"/>
      <x:c r="G44" s="3945"/>
      <x:c r="H44" s="3945"/>
      <x:c r="I44" s="3945"/>
      <x:c r="J44" s="3945"/>
      <x:c r="K44" s="3945"/>
      <x:c r="L44" s="3945"/>
      <x:c r="M44" s="3945"/>
      <x:c r="N44" s="3945"/>
      <x:c r="O44" s="3945"/>
      <x:c r="P44" s="3945"/>
      <x:c r="Q44" s="3945"/>
      <x:c r="R44" s="3945"/>
      <x:c r="S44" s="3945"/>
      <x:c r="T44" s="3945"/>
      <x:c r="U44" s="3945"/>
      <x:c r="V44" s="3945"/>
      <x:c r="W44" s="3945"/>
      <x:c r="X44" s="3945"/>
      <x:c r="Y44" s="3945"/>
      <x:c r="Z44" s="3945"/>
      <x:c r="AA44" s="3945"/>
      <x:c r="AB44" s="3945"/>
      <x:c r="AC44" s="3945"/>
      <x:c r="AD44" s="3945"/>
    </x:row>
    <x:row r="45">
      <x:c r="A45" s="3945"/>
      <x:c r="B45" s="3945"/>
      <x:c r="C45" s="3945"/>
      <x:c r="D45" s="3945"/>
      <x:c r="E45" s="3945"/>
      <x:c r="F45" s="3945"/>
      <x:c r="G45" s="3945"/>
      <x:c r="H45" s="3945"/>
      <x:c r="I45" s="3945"/>
      <x:c r="J45" s="3945"/>
      <x:c r="K45" s="3945"/>
      <x:c r="L45" s="3945"/>
      <x:c r="M45" s="3945"/>
      <x:c r="N45" s="3945"/>
      <x:c r="O45" s="3945"/>
      <x:c r="P45" s="3945"/>
      <x:c r="Q45" s="3945"/>
      <x:c r="R45" s="3945"/>
      <x:c r="S45" s="3945"/>
      <x:c r="T45" s="3945"/>
      <x:c r="U45" s="3945"/>
      <x:c r="V45" s="3945"/>
      <x:c r="W45" s="3945"/>
      <x:c r="X45" s="3945"/>
      <x:c r="Y45" s="3945"/>
      <x:c r="Z45" s="3945"/>
      <x:c r="AA45" s="3945"/>
      <x:c r="AB45" s="3945"/>
      <x:c r="AC45" s="3945"/>
      <x:c r="AD45" s="3945"/>
    </x:row>
    <x:row r="46">
      <x:c r="A46" s="4646" t="str">
        <x:v>05 — DOWNSTREAM SIN RECARGA DE CAMPO</x:v>
      </x:c>
      <x:c r="B46" s="4646"/>
      <x:c r="C46" s="4646"/>
      <x:c r="D46" s="4646"/>
      <x:c r="E46" s="4646"/>
      <x:c r="F46" s="4646"/>
      <x:c r="G46" s="4646"/>
      <x:c r="H46" s="4646"/>
      <x:c r="I46" s="4646"/>
      <x:c r="J46" s="4646"/>
      <x:c r="K46" s="4646"/>
      <x:c r="L46" s="4646"/>
      <x:c r="M46" s="4646"/>
      <x:c r="N46" s="4646"/>
      <x:c r="O46" s="4646"/>
      <x:c r="P46" s="4646"/>
      <x:c r="Q46" s="4646"/>
      <x:c r="R46" s="4646"/>
      <x:c r="S46" s="4646"/>
      <x:c r="T46" s="4646"/>
      <x:c r="U46" s="4646"/>
      <x:c r="V46" s="4646"/>
      <x:c r="W46" s="4646"/>
      <x:c r="X46" s="4646"/>
      <x:c r="Y46" s="4646"/>
      <x:c r="Z46" s="4646"/>
      <x:c r="AA46" s="4646"/>
      <x:c r="AB46" s="4646"/>
      <x:c r="AC46" s="4646"/>
      <x:c r="AD46" s="4646"/>
    </x:row>
    <x:row r="47">
      <x:c r="A47" s="3945"/>
      <x:c r="B47" s="3945"/>
      <x:c r="C47" s="3945"/>
      <x:c r="D47" s="3945"/>
      <x:c r="E47" s="3945"/>
      <x:c r="F47" s="3945"/>
      <x:c r="G47" s="3945"/>
      <x:c r="H47" s="3945"/>
      <x:c r="I47" s="3945"/>
      <x:c r="J47" s="3945"/>
      <x:c r="K47" s="3945"/>
      <x:c r="L47" s="3945"/>
      <x:c r="M47" s="3945"/>
      <x:c r="N47" s="3945"/>
      <x:c r="O47" s="3945"/>
      <x:c r="P47" s="3945"/>
      <x:c r="Q47" s="3945"/>
      <x:c r="R47" s="3945"/>
      <x:c r="S47" s="3945"/>
      <x:c r="T47" s="3945"/>
      <x:c r="U47" s="3945"/>
      <x:c r="V47" s="3945"/>
      <x:c r="W47" s="3945"/>
      <x:c r="X47" s="3945"/>
      <x:c r="Y47" s="3945"/>
      <x:c r="Z47" s="3945"/>
      <x:c r="AA47" s="3945"/>
      <x:c r="AB47" s="3945"/>
      <x:c r="AC47" s="3945"/>
      <x:c r="AD47" s="3945"/>
    </x:row>
    <x:row r="48">
      <x:c r="A48" s="4618" t="str">
        <x:v>EJECUCIÓN REAL
UE · eventos · tiempos
mediciones · evidencia</x:v>
      </x:c>
      <x:c r="B48" s="4619"/>
      <x:c r="C48" s="4619"/>
      <x:c r="D48" s="4619"/>
      <x:c r="E48" s="4619"/>
      <x:c r="F48" s="4619"/>
      <x:c r="G48" s="4619"/>
      <x:c r="H48" s="4620"/>
      <x:c r="I48" s="3945"/>
      <x:c r="J48" s="4627" t="str">
        <x:v>MOTOR CONTRACTUAL
interpreta
NO reescribe</x:v>
      </x:c>
      <x:c r="K48" s="4628"/>
      <x:c r="L48" s="4628"/>
      <x:c r="M48" s="4628"/>
      <x:c r="N48" s="4628"/>
      <x:c r="O48" s="4628"/>
      <x:c r="P48" s="4628"/>
      <x:c r="Q48" s="4629"/>
      <x:c r="R48" s="3945"/>
      <x:c r="S48" s="4618" t="str">
        <x:v>UNIDAD COMERCIAL
+ PAQUETE
+ conformidad</x:v>
      </x:c>
      <x:c r="T48" s="4619"/>
      <x:c r="U48" s="4619"/>
      <x:c r="V48" s="4619"/>
      <x:c r="W48" s="4619"/>
      <x:c r="X48" s="4619"/>
      <x:c r="Y48" s="4620"/>
      <x:c r="Z48" s="3945"/>
      <x:c r="AA48" s="4618" t="str">
        <x:v>FACTURACIÓN
0 s extra
para campo</x:v>
      </x:c>
      <x:c r="AB48" s="4619"/>
      <x:c r="AC48" s="4619"/>
      <x:c r="AD48" s="4620"/>
    </x:row>
    <x:row r="49">
      <x:c r="A49" s="4621"/>
      <x:c r="B49" s="4622"/>
      <x:c r="C49" s="4622"/>
      <x:c r="D49" s="4622"/>
      <x:c r="E49" s="4622"/>
      <x:c r="F49" s="4622"/>
      <x:c r="G49" s="4622"/>
      <x:c r="H49" s="4623"/>
      <x:c r="I49" s="3945"/>
      <x:c r="J49" s="4630"/>
      <x:c r="K49" s="4631"/>
      <x:c r="L49" s="4631"/>
      <x:c r="M49" s="4631"/>
      <x:c r="N49" s="4631"/>
      <x:c r="O49" s="4631"/>
      <x:c r="P49" s="4631"/>
      <x:c r="Q49" s="4632"/>
      <x:c r="R49" s="3945"/>
      <x:c r="S49" s="4621"/>
      <x:c r="T49" s="4622"/>
      <x:c r="U49" s="4622"/>
      <x:c r="V49" s="4622"/>
      <x:c r="W49" s="4622"/>
      <x:c r="X49" s="4622"/>
      <x:c r="Y49" s="4623"/>
      <x:c r="Z49" s="3945"/>
      <x:c r="AA49" s="4621"/>
      <x:c r="AB49" s="4622"/>
      <x:c r="AC49" s="4622"/>
      <x:c r="AD49" s="4623"/>
    </x:row>
    <x:row r="50">
      <x:c r="A50" s="4621"/>
      <x:c r="B50" s="4622"/>
      <x:c r="C50" s="4622"/>
      <x:c r="D50" s="4622"/>
      <x:c r="E50" s="4622"/>
      <x:c r="F50" s="4622"/>
      <x:c r="G50" s="4622"/>
      <x:c r="H50" s="4623"/>
      <x:c r="I50" s="3945"/>
      <x:c r="J50" s="4630"/>
      <x:c r="K50" s="4631"/>
      <x:c r="L50" s="4631"/>
      <x:c r="M50" s="4631"/>
      <x:c r="N50" s="4631"/>
      <x:c r="O50" s="4631"/>
      <x:c r="P50" s="4631"/>
      <x:c r="Q50" s="4632"/>
      <x:c r="R50" s="3945"/>
      <x:c r="S50" s="4621"/>
      <x:c r="T50" s="4622"/>
      <x:c r="U50" s="4622"/>
      <x:c r="V50" s="4622"/>
      <x:c r="W50" s="4622"/>
      <x:c r="X50" s="4622"/>
      <x:c r="Y50" s="4623"/>
      <x:c r="Z50" s="3945"/>
      <x:c r="AA50" s="4621"/>
      <x:c r="AB50" s="4622"/>
      <x:c r="AC50" s="4622"/>
      <x:c r="AD50" s="4623"/>
    </x:row>
    <x:row r="51">
      <x:c r="A51" s="4621"/>
      <x:c r="B51" s="4622"/>
      <x:c r="C51" s="4622"/>
      <x:c r="D51" s="4622"/>
      <x:c r="E51" s="4622"/>
      <x:c r="F51" s="4622"/>
      <x:c r="G51" s="4622"/>
      <x:c r="H51" s="4623"/>
      <x:c r="I51" s="3945"/>
      <x:c r="J51" s="4630"/>
      <x:c r="K51" s="4631"/>
      <x:c r="L51" s="4631"/>
      <x:c r="M51" s="4631"/>
      <x:c r="N51" s="4631"/>
      <x:c r="O51" s="4631"/>
      <x:c r="P51" s="4631"/>
      <x:c r="Q51" s="4632"/>
      <x:c r="R51" s="3945"/>
      <x:c r="S51" s="4621"/>
      <x:c r="T51" s="4622"/>
      <x:c r="U51" s="4622"/>
      <x:c r="V51" s="4622"/>
      <x:c r="W51" s="4622"/>
      <x:c r="X51" s="4622"/>
      <x:c r="Y51" s="4623"/>
      <x:c r="Z51" s="3945"/>
      <x:c r="AA51" s="4621"/>
      <x:c r="AB51" s="4622"/>
      <x:c r="AC51" s="4622"/>
      <x:c r="AD51" s="4623"/>
    </x:row>
    <x:row r="52">
      <x:c r="A52" s="4621"/>
      <x:c r="B52" s="4622"/>
      <x:c r="C52" s="4622"/>
      <x:c r="D52" s="4622"/>
      <x:c r="E52" s="4622"/>
      <x:c r="F52" s="4622"/>
      <x:c r="G52" s="4622"/>
      <x:c r="H52" s="4623"/>
      <x:c r="I52" s="3945"/>
      <x:c r="J52" s="4630"/>
      <x:c r="K52" s="4631"/>
      <x:c r="L52" s="4631"/>
      <x:c r="M52" s="4631"/>
      <x:c r="N52" s="4631"/>
      <x:c r="O52" s="4631"/>
      <x:c r="P52" s="4631"/>
      <x:c r="Q52" s="4632"/>
      <x:c r="R52" s="3945"/>
      <x:c r="S52" s="4621"/>
      <x:c r="T52" s="4622"/>
      <x:c r="U52" s="4622"/>
      <x:c r="V52" s="4622"/>
      <x:c r="W52" s="4622"/>
      <x:c r="X52" s="4622"/>
      <x:c r="Y52" s="4623"/>
      <x:c r="Z52" s="3945"/>
      <x:c r="AA52" s="4621"/>
      <x:c r="AB52" s="4622"/>
      <x:c r="AC52" s="4622"/>
      <x:c r="AD52" s="4623"/>
    </x:row>
    <x:row r="53">
      <x:c r="A53" s="4621"/>
      <x:c r="B53" s="4622"/>
      <x:c r="C53" s="4622"/>
      <x:c r="D53" s="4622"/>
      <x:c r="E53" s="4622"/>
      <x:c r="F53" s="4622"/>
      <x:c r="G53" s="4622"/>
      <x:c r="H53" s="4623"/>
      <x:c r="I53" s="3945"/>
      <x:c r="J53" s="4630"/>
      <x:c r="K53" s="4631"/>
      <x:c r="L53" s="4631"/>
      <x:c r="M53" s="4631"/>
      <x:c r="N53" s="4631"/>
      <x:c r="O53" s="4631"/>
      <x:c r="P53" s="4631"/>
      <x:c r="Q53" s="4632"/>
      <x:c r="R53" s="3945"/>
      <x:c r="S53" s="4621"/>
      <x:c r="T53" s="4622"/>
      <x:c r="U53" s="4622"/>
      <x:c r="V53" s="4622"/>
      <x:c r="W53" s="4622"/>
      <x:c r="X53" s="4622"/>
      <x:c r="Y53" s="4623"/>
      <x:c r="Z53" s="3945"/>
      <x:c r="AA53" s="4621"/>
      <x:c r="AB53" s="4622"/>
      <x:c r="AC53" s="4622"/>
      <x:c r="AD53" s="4623"/>
    </x:row>
    <x:row r="54">
      <x:c r="A54" s="4624"/>
      <x:c r="B54" s="4625"/>
      <x:c r="C54" s="4625"/>
      <x:c r="D54" s="4625"/>
      <x:c r="E54" s="4625"/>
      <x:c r="F54" s="4625"/>
      <x:c r="G54" s="4625"/>
      <x:c r="H54" s="4626"/>
      <x:c r="I54" s="3945"/>
      <x:c r="J54" s="4633"/>
      <x:c r="K54" s="4634"/>
      <x:c r="L54" s="4634"/>
      <x:c r="M54" s="4634"/>
      <x:c r="N54" s="4634"/>
      <x:c r="O54" s="4634"/>
      <x:c r="P54" s="4634"/>
      <x:c r="Q54" s="4635"/>
      <x:c r="R54" s="3945"/>
      <x:c r="S54" s="4624"/>
      <x:c r="T54" s="4625"/>
      <x:c r="U54" s="4625"/>
      <x:c r="V54" s="4625"/>
      <x:c r="W54" s="4625"/>
      <x:c r="X54" s="4625"/>
      <x:c r="Y54" s="4626"/>
      <x:c r="Z54" s="3945"/>
      <x:c r="AA54" s="4624"/>
      <x:c r="AB54" s="4625"/>
      <x:c r="AC54" s="4625"/>
      <x:c r="AD54" s="4626"/>
    </x:row>
    <x:row r="55">
      <x:c r="A55" s="3945"/>
      <x:c r="B55" s="3945"/>
      <x:c r="C55" s="3945"/>
      <x:c r="D55" s="3945"/>
      <x:c r="E55" s="3945"/>
      <x:c r="F55" s="3945"/>
      <x:c r="G55" s="3945"/>
      <x:c r="H55" s="3945"/>
      <x:c r="I55" s="3945"/>
      <x:c r="J55" s="3945"/>
      <x:c r="K55" s="3945"/>
      <x:c r="L55" s="3945"/>
      <x:c r="M55" s="3945"/>
      <x:c r="N55" s="3945"/>
      <x:c r="O55" s="3945"/>
      <x:c r="P55" s="3945"/>
      <x:c r="Q55" s="3945"/>
      <x:c r="R55" s="3945"/>
      <x:c r="S55" s="3945"/>
      <x:c r="T55" s="3945"/>
      <x:c r="U55" s="3945"/>
      <x:c r="V55" s="3945"/>
      <x:c r="W55" s="3945"/>
      <x:c r="X55" s="3945"/>
      <x:c r="Y55" s="3945"/>
      <x:c r="Z55" s="3945"/>
      <x:c r="AA55" s="3945"/>
      <x:c r="AB55" s="3945"/>
      <x:c r="AC55" s="3945"/>
      <x:c r="AD55" s="3945"/>
    </x:row>
    <x:row r="56">
      <x:c r="A56" s="3945"/>
      <x:c r="B56" s="3945"/>
      <x:c r="C56" s="3945"/>
      <x:c r="D56" s="3945"/>
      <x:c r="E56" s="3945"/>
      <x:c r="F56" s="3945"/>
      <x:c r="G56" s="3945"/>
      <x:c r="H56" s="3945"/>
      <x:c r="I56" s="3945"/>
      <x:c r="J56" s="3945"/>
      <x:c r="K56" s="3945"/>
      <x:c r="L56" s="3945"/>
      <x:c r="M56" s="3945"/>
      <x:c r="N56" s="3945"/>
      <x:c r="O56" s="3945"/>
      <x:c r="P56" s="3945"/>
      <x:c r="Q56" s="3945"/>
      <x:c r="R56" s="3945"/>
      <x:c r="S56" s="3945"/>
      <x:c r="T56" s="3945"/>
      <x:c r="U56" s="3945"/>
      <x:c r="V56" s="3945"/>
      <x:c r="W56" s="3945"/>
      <x:c r="X56" s="3945"/>
      <x:c r="Y56" s="3945"/>
      <x:c r="Z56" s="3945"/>
      <x:c r="AA56" s="3945"/>
      <x:c r="AB56" s="3945"/>
      <x:c r="AC56" s="3945"/>
      <x:c r="AD56" s="3945"/>
    </x:row>
    <x:row r="57">
      <x:c r="A57" s="4646" t="str">
        <x:v>06 — EXCEPCIONES NO ENSUCIAN EL HAPPY PATH</x:v>
      </x:c>
      <x:c r="B57" s="4646"/>
      <x:c r="C57" s="4646"/>
      <x:c r="D57" s="4646"/>
      <x:c r="E57" s="4646"/>
      <x:c r="F57" s="4646"/>
      <x:c r="G57" s="4646"/>
      <x:c r="H57" s="4646"/>
      <x:c r="I57" s="4646"/>
      <x:c r="J57" s="4646"/>
      <x:c r="K57" s="4646"/>
      <x:c r="L57" s="4646"/>
      <x:c r="M57" s="4646"/>
      <x:c r="N57" s="4646"/>
      <x:c r="O57" s="4646"/>
      <x:c r="P57" s="4646"/>
      <x:c r="Q57" s="4646"/>
      <x:c r="R57" s="4646"/>
      <x:c r="S57" s="4646"/>
      <x:c r="T57" s="4646"/>
      <x:c r="U57" s="4646"/>
      <x:c r="V57" s="4646"/>
      <x:c r="W57" s="4646"/>
      <x:c r="X57" s="4646"/>
      <x:c r="Y57" s="4646"/>
      <x:c r="Z57" s="4646"/>
      <x:c r="AA57" s="4646"/>
      <x:c r="AB57" s="4646"/>
      <x:c r="AC57" s="4646"/>
      <x:c r="AD57" s="4646"/>
    </x:row>
    <x:row r="58">
      <x:c r="A58" s="3945"/>
      <x:c r="B58" s="3945"/>
      <x:c r="C58" s="3945"/>
      <x:c r="D58" s="3945"/>
      <x:c r="E58" s="3945"/>
      <x:c r="F58" s="3945"/>
      <x:c r="G58" s="3945"/>
      <x:c r="H58" s="3945"/>
      <x:c r="I58" s="3945"/>
      <x:c r="J58" s="3945"/>
      <x:c r="K58" s="3945"/>
      <x:c r="L58" s="3945"/>
      <x:c r="M58" s="3945"/>
      <x:c r="N58" s="3945"/>
      <x:c r="O58" s="3945"/>
      <x:c r="P58" s="3945"/>
      <x:c r="Q58" s="3945"/>
      <x:c r="R58" s="3945"/>
      <x:c r="S58" s="3945"/>
      <x:c r="T58" s="3945"/>
      <x:c r="U58" s="3945"/>
      <x:c r="V58" s="3945"/>
      <x:c r="W58" s="3945"/>
      <x:c r="X58" s="3945"/>
      <x:c r="Y58" s="3945"/>
      <x:c r="Z58" s="3945"/>
      <x:c r="AA58" s="3945"/>
      <x:c r="AB58" s="3945"/>
      <x:c r="AC58" s="3945"/>
      <x:c r="AD58" s="3945"/>
    </x:row>
    <x:row r="59">
      <x:c r="A59" s="4618" t="str">
        <x:v>NORMAL
0–3 taps
sin texto</x:v>
      </x:c>
      <x:c r="B59" s="4619"/>
      <x:c r="C59" s="4619"/>
      <x:c r="D59" s="4619"/>
      <x:c r="E59" s="4619"/>
      <x:c r="F59" s="4619"/>
      <x:c r="G59" s="4620"/>
      <x:c r="H59" s="3945"/>
      <x:c r="I59" s="4627" t="str">
        <x:v>AMBIGUO
confirmar valor
propuesto</x:v>
      </x:c>
      <x:c r="J59" s="4628"/>
      <x:c r="K59" s="4628"/>
      <x:c r="L59" s="4628"/>
      <x:c r="M59" s="4628"/>
      <x:c r="N59" s="4628"/>
      <x:c r="O59" s="4629"/>
      <x:c r="P59" s="3945"/>
      <x:c r="Q59" s="4636" t="str">
        <x:v>DESVÍO
abre causa / evidencia
solo si aplica</x:v>
      </x:c>
      <x:c r="R59" s="4637"/>
      <x:c r="S59" s="4637"/>
      <x:c r="T59" s="4637"/>
      <x:c r="U59" s="4637"/>
      <x:c r="V59" s="4637"/>
      <x:c r="W59" s="4638"/>
      <x:c r="X59" s="3945"/>
      <x:c r="Y59" s="4636" t="str">
        <x:v>EMERGENTE
modo contingencia
≤120 s</x:v>
      </x:c>
      <x:c r="Z59" s="4637"/>
      <x:c r="AA59" s="4637"/>
      <x:c r="AB59" s="4637"/>
      <x:c r="AC59" s="4637"/>
      <x:c r="AD59" s="4638"/>
    </x:row>
    <x:row r="60">
      <x:c r="A60" s="4621"/>
      <x:c r="B60" s="4622"/>
      <x:c r="C60" s="4622"/>
      <x:c r="D60" s="4622"/>
      <x:c r="E60" s="4622"/>
      <x:c r="F60" s="4622"/>
      <x:c r="G60" s="4623"/>
      <x:c r="H60" s="3945"/>
      <x:c r="I60" s="4630"/>
      <x:c r="J60" s="4631"/>
      <x:c r="K60" s="4631"/>
      <x:c r="L60" s="4631"/>
      <x:c r="M60" s="4631"/>
      <x:c r="N60" s="4631"/>
      <x:c r="O60" s="4632"/>
      <x:c r="P60" s="3945"/>
      <x:c r="Q60" s="4639"/>
      <x:c r="R60" s="4640"/>
      <x:c r="S60" s="4640"/>
      <x:c r="T60" s="4640"/>
      <x:c r="U60" s="4640"/>
      <x:c r="V60" s="4640"/>
      <x:c r="W60" s="4641"/>
      <x:c r="X60" s="3945"/>
      <x:c r="Y60" s="4639"/>
      <x:c r="Z60" s="4640"/>
      <x:c r="AA60" s="4640"/>
      <x:c r="AB60" s="4640"/>
      <x:c r="AC60" s="4640"/>
      <x:c r="AD60" s="4641"/>
    </x:row>
    <x:row r="61">
      <x:c r="A61" s="4621"/>
      <x:c r="B61" s="4622"/>
      <x:c r="C61" s="4622"/>
      <x:c r="D61" s="4622"/>
      <x:c r="E61" s="4622"/>
      <x:c r="F61" s="4622"/>
      <x:c r="G61" s="4623"/>
      <x:c r="H61" s="3945"/>
      <x:c r="I61" s="4630"/>
      <x:c r="J61" s="4631"/>
      <x:c r="K61" s="4631"/>
      <x:c r="L61" s="4631"/>
      <x:c r="M61" s="4631"/>
      <x:c r="N61" s="4631"/>
      <x:c r="O61" s="4632"/>
      <x:c r="P61" s="3945"/>
      <x:c r="Q61" s="4639"/>
      <x:c r="R61" s="4640"/>
      <x:c r="S61" s="4640"/>
      <x:c r="T61" s="4640"/>
      <x:c r="U61" s="4640"/>
      <x:c r="V61" s="4640"/>
      <x:c r="W61" s="4641"/>
      <x:c r="X61" s="3945"/>
      <x:c r="Y61" s="4639"/>
      <x:c r="Z61" s="4640"/>
      <x:c r="AA61" s="4640"/>
      <x:c r="AB61" s="4640"/>
      <x:c r="AC61" s="4640"/>
      <x:c r="AD61" s="4641"/>
    </x:row>
    <x:row r="62">
      <x:c r="A62" s="4621"/>
      <x:c r="B62" s="4622"/>
      <x:c r="C62" s="4622"/>
      <x:c r="D62" s="4622"/>
      <x:c r="E62" s="4622"/>
      <x:c r="F62" s="4622"/>
      <x:c r="G62" s="4623"/>
      <x:c r="H62" s="3945"/>
      <x:c r="I62" s="4630"/>
      <x:c r="J62" s="4631"/>
      <x:c r="K62" s="4631"/>
      <x:c r="L62" s="4631"/>
      <x:c r="M62" s="4631"/>
      <x:c r="N62" s="4631"/>
      <x:c r="O62" s="4632"/>
      <x:c r="P62" s="3945"/>
      <x:c r="Q62" s="4639"/>
      <x:c r="R62" s="4640"/>
      <x:c r="S62" s="4640"/>
      <x:c r="T62" s="4640"/>
      <x:c r="U62" s="4640"/>
      <x:c r="V62" s="4640"/>
      <x:c r="W62" s="4641"/>
      <x:c r="X62" s="3945"/>
      <x:c r="Y62" s="4639"/>
      <x:c r="Z62" s="4640"/>
      <x:c r="AA62" s="4640"/>
      <x:c r="AB62" s="4640"/>
      <x:c r="AC62" s="4640"/>
      <x:c r="AD62" s="4641"/>
    </x:row>
    <x:row r="63">
      <x:c r="A63" s="4621"/>
      <x:c r="B63" s="4622"/>
      <x:c r="C63" s="4622"/>
      <x:c r="D63" s="4622"/>
      <x:c r="E63" s="4622"/>
      <x:c r="F63" s="4622"/>
      <x:c r="G63" s="4623"/>
      <x:c r="H63" s="3945"/>
      <x:c r="I63" s="4630"/>
      <x:c r="J63" s="4631"/>
      <x:c r="K63" s="4631"/>
      <x:c r="L63" s="4631"/>
      <x:c r="M63" s="4631"/>
      <x:c r="N63" s="4631"/>
      <x:c r="O63" s="4632"/>
      <x:c r="P63" s="3945"/>
      <x:c r="Q63" s="4639"/>
      <x:c r="R63" s="4640"/>
      <x:c r="S63" s="4640"/>
      <x:c r="T63" s="4640"/>
      <x:c r="U63" s="4640"/>
      <x:c r="V63" s="4640"/>
      <x:c r="W63" s="4641"/>
      <x:c r="X63" s="3945"/>
      <x:c r="Y63" s="4639"/>
      <x:c r="Z63" s="4640"/>
      <x:c r="AA63" s="4640"/>
      <x:c r="AB63" s="4640"/>
      <x:c r="AC63" s="4640"/>
      <x:c r="AD63" s="4641"/>
    </x:row>
    <x:row r="64">
      <x:c r="A64" s="4621"/>
      <x:c r="B64" s="4622"/>
      <x:c r="C64" s="4622"/>
      <x:c r="D64" s="4622"/>
      <x:c r="E64" s="4622"/>
      <x:c r="F64" s="4622"/>
      <x:c r="G64" s="4623"/>
      <x:c r="H64" s="3945"/>
      <x:c r="I64" s="4630"/>
      <x:c r="J64" s="4631"/>
      <x:c r="K64" s="4631"/>
      <x:c r="L64" s="4631"/>
      <x:c r="M64" s="4631"/>
      <x:c r="N64" s="4631"/>
      <x:c r="O64" s="4632"/>
      <x:c r="P64" s="3945"/>
      <x:c r="Q64" s="4639"/>
      <x:c r="R64" s="4640"/>
      <x:c r="S64" s="4640"/>
      <x:c r="T64" s="4640"/>
      <x:c r="U64" s="4640"/>
      <x:c r="V64" s="4640"/>
      <x:c r="W64" s="4641"/>
      <x:c r="X64" s="3945"/>
      <x:c r="Y64" s="4639"/>
      <x:c r="Z64" s="4640"/>
      <x:c r="AA64" s="4640"/>
      <x:c r="AB64" s="4640"/>
      <x:c r="AC64" s="4640"/>
      <x:c r="AD64" s="4641"/>
    </x:row>
    <x:row r="65">
      <x:c r="A65" s="4624"/>
      <x:c r="B65" s="4625"/>
      <x:c r="C65" s="4625"/>
      <x:c r="D65" s="4625"/>
      <x:c r="E65" s="4625"/>
      <x:c r="F65" s="4625"/>
      <x:c r="G65" s="4626"/>
      <x:c r="H65" s="3945"/>
      <x:c r="I65" s="4633"/>
      <x:c r="J65" s="4634"/>
      <x:c r="K65" s="4634"/>
      <x:c r="L65" s="4634"/>
      <x:c r="M65" s="4634"/>
      <x:c r="N65" s="4634"/>
      <x:c r="O65" s="4635"/>
      <x:c r="P65" s="3945"/>
      <x:c r="Q65" s="4642"/>
      <x:c r="R65" s="4643"/>
      <x:c r="S65" s="4643"/>
      <x:c r="T65" s="4643"/>
      <x:c r="U65" s="4643"/>
      <x:c r="V65" s="4643"/>
      <x:c r="W65" s="4644"/>
      <x:c r="X65" s="3945"/>
      <x:c r="Y65" s="4642"/>
      <x:c r="Z65" s="4643"/>
      <x:c r="AA65" s="4643"/>
      <x:c r="AB65" s="4643"/>
      <x:c r="AC65" s="4643"/>
      <x:c r="AD65" s="4644"/>
    </x:row>
    <x:row r="66">
      <x:c r="A66" s="3945"/>
      <x:c r="B66" s="3945"/>
      <x:c r="C66" s="3945"/>
      <x:c r="D66" s="3945"/>
      <x:c r="E66" s="3945"/>
      <x:c r="F66" s="3945"/>
      <x:c r="G66" s="3945"/>
      <x:c r="H66" s="3945"/>
      <x:c r="I66" s="3945"/>
      <x:c r="J66" s="3945"/>
      <x:c r="K66" s="3945"/>
      <x:c r="L66" s="3945"/>
      <x:c r="M66" s="3945"/>
      <x:c r="N66" s="3945"/>
      <x:c r="O66" s="3945"/>
      <x:c r="P66" s="3945"/>
      <x:c r="Q66" s="3945"/>
      <x:c r="R66" s="3945"/>
      <x:c r="S66" s="3945"/>
      <x:c r="T66" s="3945"/>
      <x:c r="U66" s="3945"/>
      <x:c r="V66" s="3945"/>
      <x:c r="W66" s="3945"/>
      <x:c r="X66" s="3945"/>
      <x:c r="Y66" s="3945"/>
      <x:c r="Z66" s="3945"/>
      <x:c r="AA66" s="3945"/>
      <x:c r="AB66" s="3945"/>
      <x:c r="AC66" s="3945"/>
      <x:c r="AD66" s="3945"/>
    </x:row>
    <x:row r="67">
      <x:c r="A67" s="3945"/>
      <x:c r="B67" s="3945"/>
      <x:c r="C67" s="3945"/>
      <x:c r="D67" s="3945"/>
      <x:c r="E67" s="3945"/>
      <x:c r="F67" s="3945"/>
      <x:c r="G67" s="3945"/>
      <x:c r="H67" s="3945"/>
      <x:c r="I67" s="3945"/>
      <x:c r="J67" s="3945"/>
      <x:c r="K67" s="3945"/>
      <x:c r="L67" s="3945"/>
      <x:c r="M67" s="3945"/>
      <x:c r="N67" s="3945"/>
      <x:c r="O67" s="3945"/>
      <x:c r="P67" s="3945"/>
      <x:c r="Q67" s="3945"/>
      <x:c r="R67" s="3945"/>
      <x:c r="S67" s="3945"/>
      <x:c r="T67" s="3945"/>
      <x:c r="U67" s="3945"/>
      <x:c r="V67" s="3945"/>
      <x:c r="W67" s="3945"/>
      <x:c r="X67" s="3945"/>
      <x:c r="Y67" s="3945"/>
      <x:c r="Z67" s="3945"/>
      <x:c r="AA67" s="3945"/>
      <x:c r="AB67" s="3945"/>
      <x:c r="AC67" s="3945"/>
      <x:c r="AD67" s="3945"/>
    </x:row>
    <x:row r="68">
      <x:c r="A68" s="3945"/>
      <x:c r="B68" s="3945"/>
      <x:c r="C68" s="3945"/>
      <x:c r="D68" s="3945"/>
      <x:c r="E68" s="3945"/>
      <x:c r="F68" s="3945"/>
      <x:c r="G68" s="3945"/>
      <x:c r="H68" s="3945"/>
      <x:c r="I68" s="3945"/>
      <x:c r="J68" s="3945"/>
      <x:c r="K68" s="3945"/>
      <x:c r="L68" s="3945"/>
      <x:c r="M68" s="3945"/>
      <x:c r="N68" s="3945"/>
      <x:c r="O68" s="3945"/>
      <x:c r="P68" s="3945"/>
      <x:c r="Q68" s="3945"/>
      <x:c r="R68" s="3945"/>
      <x:c r="S68" s="3945"/>
      <x:c r="T68" s="3945"/>
      <x:c r="U68" s="3945"/>
      <x:c r="V68" s="3945"/>
      <x:c r="W68" s="3945"/>
      <x:c r="X68" s="3945"/>
      <x:c r="Y68" s="3945"/>
      <x:c r="Z68" s="3945"/>
      <x:c r="AA68" s="3945"/>
      <x:c r="AB68" s="3945"/>
      <x:c r="AC68" s="3945"/>
      <x:c r="AD68" s="3945"/>
    </x:row>
    <x:row r="69">
      <x:c r="A69" s="4646" t="str">
        <x:v>07 — CRITERIO DE FREEZE PARA UX</x:v>
      </x:c>
      <x:c r="B69" s="4646"/>
      <x:c r="C69" s="4646"/>
      <x:c r="D69" s="4646"/>
      <x:c r="E69" s="4646"/>
      <x:c r="F69" s="4646"/>
      <x:c r="G69" s="4646"/>
      <x:c r="H69" s="4646"/>
      <x:c r="I69" s="4646"/>
      <x:c r="J69" s="4646"/>
      <x:c r="K69" s="4646"/>
      <x:c r="L69" s="4646"/>
      <x:c r="M69" s="4646"/>
      <x:c r="N69" s="4646"/>
      <x:c r="O69" s="4646"/>
      <x:c r="P69" s="4646"/>
      <x:c r="Q69" s="4646"/>
      <x:c r="R69" s="4646"/>
      <x:c r="S69" s="4646"/>
      <x:c r="T69" s="4646"/>
      <x:c r="U69" s="4646"/>
      <x:c r="V69" s="4646"/>
      <x:c r="W69" s="4646"/>
      <x:c r="X69" s="4646"/>
      <x:c r="Y69" s="4646"/>
      <x:c r="Z69" s="4646"/>
      <x:c r="AA69" s="4646"/>
      <x:c r="AB69" s="4646"/>
      <x:c r="AC69" s="4646"/>
      <x:c r="AD69" s="4646"/>
    </x:row>
    <x:row r="70">
      <x:c r="A70" s="3945"/>
      <x:c r="B70" s="3945"/>
      <x:c r="C70" s="3945"/>
      <x:c r="D70" s="3945"/>
      <x:c r="E70" s="3945"/>
      <x:c r="F70" s="3945"/>
      <x:c r="G70" s="3945"/>
      <x:c r="H70" s="3945"/>
      <x:c r="I70" s="3945"/>
      <x:c r="J70" s="3945"/>
      <x:c r="K70" s="3945"/>
      <x:c r="L70" s="3945"/>
      <x:c r="M70" s="3945"/>
      <x:c r="N70" s="3945"/>
      <x:c r="O70" s="3945"/>
      <x:c r="P70" s="3945"/>
      <x:c r="Q70" s="3945"/>
      <x:c r="R70" s="3945"/>
      <x:c r="S70" s="3945"/>
      <x:c r="T70" s="3945"/>
      <x:c r="U70" s="3945"/>
      <x:c r="V70" s="3945"/>
      <x:c r="W70" s="3945"/>
      <x:c r="X70" s="3945"/>
      <x:c r="Y70" s="3945"/>
      <x:c r="Z70" s="3945"/>
      <x:c r="AA70" s="3945"/>
      <x:c r="AB70" s="3945"/>
      <x:c r="AC70" s="3945"/>
      <x:c r="AD70" s="3945"/>
    </x:row>
    <x:row r="71">
      <x:c r="A71" s="4645" t="str">
        <x:v>UN CAMPO MANUAL SOLO SOBREVIVE SI CUMPLE UNA DE ESTAS RAZONES:
1) expresa una realidad física que todavía no tiene fuente digital confiable;
2) exige juicio humano inmediato;
3) es un acto de autoridad/conformidad;
4) captura evidencia del mundo real;
5) aparece únicamente por excepción.
Si no cumple ninguna, el dato debe derivarse, precargarse o resolverse fuera de campo.</x:v>
      </x:c>
      <x:c r="B71" s="4645"/>
      <x:c r="C71" s="4645"/>
      <x:c r="D71" s="4645"/>
      <x:c r="E71" s="4645"/>
      <x:c r="F71" s="4645"/>
      <x:c r="G71" s="4645"/>
      <x:c r="H71" s="4645"/>
      <x:c r="I71" s="4645"/>
      <x:c r="J71" s="4645"/>
      <x:c r="K71" s="4645"/>
      <x:c r="L71" s="4645"/>
      <x:c r="M71" s="4645"/>
      <x:c r="N71" s="4645"/>
      <x:c r="O71" s="4645"/>
      <x:c r="P71" s="4645"/>
      <x:c r="Q71" s="4645"/>
      <x:c r="R71" s="4645"/>
      <x:c r="S71" s="4645"/>
      <x:c r="T71" s="4645"/>
      <x:c r="U71" s="4645"/>
      <x:c r="V71" s="4645"/>
      <x:c r="W71" s="4645"/>
      <x:c r="X71" s="4645"/>
      <x:c r="Y71" s="4645"/>
      <x:c r="Z71" s="4645"/>
      <x:c r="AA71" s="4645"/>
      <x:c r="AB71" s="4645"/>
      <x:c r="AC71" s="4645"/>
      <x:c r="AD71" s="4645"/>
    </x:row>
    <x:row r="72">
      <x:c r="A72" s="4645"/>
      <x:c r="B72" s="4645"/>
      <x:c r="C72" s="4645"/>
      <x:c r="D72" s="4645"/>
      <x:c r="E72" s="4645"/>
      <x:c r="F72" s="4645"/>
      <x:c r="G72" s="4645"/>
      <x:c r="H72" s="4645"/>
      <x:c r="I72" s="4645"/>
      <x:c r="J72" s="4645"/>
      <x:c r="K72" s="4645"/>
      <x:c r="L72" s="4645"/>
      <x:c r="M72" s="4645"/>
      <x:c r="N72" s="4645"/>
      <x:c r="O72" s="4645"/>
      <x:c r="P72" s="4645"/>
      <x:c r="Q72" s="4645"/>
      <x:c r="R72" s="4645"/>
      <x:c r="S72" s="4645"/>
      <x:c r="T72" s="4645"/>
      <x:c r="U72" s="4645"/>
      <x:c r="V72" s="4645"/>
      <x:c r="W72" s="4645"/>
      <x:c r="X72" s="4645"/>
      <x:c r="Y72" s="4645"/>
      <x:c r="Z72" s="4645"/>
      <x:c r="AA72" s="4645"/>
      <x:c r="AB72" s="4645"/>
      <x:c r="AC72" s="4645"/>
      <x:c r="AD72" s="4645"/>
    </x:row>
    <x:row r="73">
      <x:c r="A73" s="4645"/>
      <x:c r="B73" s="4645"/>
      <x:c r="C73" s="4645"/>
      <x:c r="D73" s="4645"/>
      <x:c r="E73" s="4645"/>
      <x:c r="F73" s="4645"/>
      <x:c r="G73" s="4645"/>
      <x:c r="H73" s="4645"/>
      <x:c r="I73" s="4645"/>
      <x:c r="J73" s="4645"/>
      <x:c r="K73" s="4645"/>
      <x:c r="L73" s="4645"/>
      <x:c r="M73" s="4645"/>
      <x:c r="N73" s="4645"/>
      <x:c r="O73" s="4645"/>
      <x:c r="P73" s="4645"/>
      <x:c r="Q73" s="4645"/>
      <x:c r="R73" s="4645"/>
      <x:c r="S73" s="4645"/>
      <x:c r="T73" s="4645"/>
      <x:c r="U73" s="4645"/>
      <x:c r="V73" s="4645"/>
      <x:c r="W73" s="4645"/>
      <x:c r="X73" s="4645"/>
      <x:c r="Y73" s="4645"/>
      <x:c r="Z73" s="4645"/>
      <x:c r="AA73" s="4645"/>
      <x:c r="AB73" s="4645"/>
      <x:c r="AC73" s="4645"/>
      <x:c r="AD73" s="4645"/>
    </x:row>
    <x:row r="74">
      <x:c r="A74" s="4645"/>
      <x:c r="B74" s="4645"/>
      <x:c r="C74" s="4645"/>
      <x:c r="D74" s="4645"/>
      <x:c r="E74" s="4645"/>
      <x:c r="F74" s="4645"/>
      <x:c r="G74" s="4645"/>
      <x:c r="H74" s="4645"/>
      <x:c r="I74" s="4645"/>
      <x:c r="J74" s="4645"/>
      <x:c r="K74" s="4645"/>
      <x:c r="L74" s="4645"/>
      <x:c r="M74" s="4645"/>
      <x:c r="N74" s="4645"/>
      <x:c r="O74" s="4645"/>
      <x:c r="P74" s="4645"/>
      <x:c r="Q74" s="4645"/>
      <x:c r="R74" s="4645"/>
      <x:c r="S74" s="4645"/>
      <x:c r="T74" s="4645"/>
      <x:c r="U74" s="4645"/>
      <x:c r="V74" s="4645"/>
      <x:c r="W74" s="4645"/>
      <x:c r="X74" s="4645"/>
      <x:c r="Y74" s="4645"/>
      <x:c r="Z74" s="4645"/>
      <x:c r="AA74" s="4645"/>
      <x:c r="AB74" s="4645"/>
      <x:c r="AC74" s="4645"/>
      <x:c r="AD74" s="4645"/>
    </x:row>
    <x:row r="75">
      <x:c r="A75" s="4645"/>
      <x:c r="B75" s="4645"/>
      <x:c r="C75" s="4645"/>
      <x:c r="D75" s="4645"/>
      <x:c r="E75" s="4645"/>
      <x:c r="F75" s="4645"/>
      <x:c r="G75" s="4645"/>
      <x:c r="H75" s="4645"/>
      <x:c r="I75" s="4645"/>
      <x:c r="J75" s="4645"/>
      <x:c r="K75" s="4645"/>
      <x:c r="L75" s="4645"/>
      <x:c r="M75" s="4645"/>
      <x:c r="N75" s="4645"/>
      <x:c r="O75" s="4645"/>
      <x:c r="P75" s="4645"/>
      <x:c r="Q75" s="4645"/>
      <x:c r="R75" s="4645"/>
      <x:c r="S75" s="4645"/>
      <x:c r="T75" s="4645"/>
      <x:c r="U75" s="4645"/>
      <x:c r="V75" s="4645"/>
      <x:c r="W75" s="4645"/>
      <x:c r="X75" s="4645"/>
      <x:c r="Y75" s="4645"/>
      <x:c r="Z75" s="4645"/>
      <x:c r="AA75" s="4645"/>
      <x:c r="AB75" s="4645"/>
      <x:c r="AC75" s="4645"/>
      <x:c r="AD75" s="4645"/>
    </x:row>
    <x:row r="76">
      <x:c r="A76" s="4645"/>
      <x:c r="B76" s="4645"/>
      <x:c r="C76" s="4645"/>
      <x:c r="D76" s="4645"/>
      <x:c r="E76" s="4645"/>
      <x:c r="F76" s="4645"/>
      <x:c r="G76" s="4645"/>
      <x:c r="H76" s="4645"/>
      <x:c r="I76" s="4645"/>
      <x:c r="J76" s="4645"/>
      <x:c r="K76" s="4645"/>
      <x:c r="L76" s="4645"/>
      <x:c r="M76" s="4645"/>
      <x:c r="N76" s="4645"/>
      <x:c r="O76" s="4645"/>
      <x:c r="P76" s="4645"/>
      <x:c r="Q76" s="4645"/>
      <x:c r="R76" s="4645"/>
      <x:c r="S76" s="4645"/>
      <x:c r="T76" s="4645"/>
      <x:c r="U76" s="4645"/>
      <x:c r="V76" s="4645"/>
      <x:c r="W76" s="4645"/>
      <x:c r="X76" s="4645"/>
      <x:c r="Y76" s="4645"/>
      <x:c r="Z76" s="4645"/>
      <x:c r="AA76" s="4645"/>
      <x:c r="AB76" s="4645"/>
      <x:c r="AC76" s="4645"/>
      <x:c r="AD76" s="4645"/>
    </x:row>
    <x:row r="77">
      <x:c r="A77" s="4645"/>
      <x:c r="B77" s="4645"/>
      <x:c r="C77" s="4645"/>
      <x:c r="D77" s="4645"/>
      <x:c r="E77" s="4645"/>
      <x:c r="F77" s="4645"/>
      <x:c r="G77" s="4645"/>
      <x:c r="H77" s="4645"/>
      <x:c r="I77" s="4645"/>
      <x:c r="J77" s="4645"/>
      <x:c r="K77" s="4645"/>
      <x:c r="L77" s="4645"/>
      <x:c r="M77" s="4645"/>
      <x:c r="N77" s="4645"/>
      <x:c r="O77" s="4645"/>
      <x:c r="P77" s="4645"/>
      <x:c r="Q77" s="4645"/>
      <x:c r="R77" s="4645"/>
      <x:c r="S77" s="4645"/>
      <x:c r="T77" s="4645"/>
      <x:c r="U77" s="4645"/>
      <x:c r="V77" s="4645"/>
      <x:c r="W77" s="4645"/>
      <x:c r="X77" s="4645"/>
      <x:c r="Y77" s="4645"/>
      <x:c r="Z77" s="4645"/>
      <x:c r="AA77" s="4645"/>
      <x:c r="AB77" s="4645"/>
      <x:c r="AC77" s="4645"/>
      <x:c r="AD77" s="4645"/>
    </x:row>
    <x:row r="78">
      <x:c r="A78" s="4645"/>
      <x:c r="B78" s="4645"/>
      <x:c r="C78" s="4645"/>
      <x:c r="D78" s="4645"/>
      <x:c r="E78" s="4645"/>
      <x:c r="F78" s="4645"/>
      <x:c r="G78" s="4645"/>
      <x:c r="H78" s="4645"/>
      <x:c r="I78" s="4645"/>
      <x:c r="J78" s="4645"/>
      <x:c r="K78" s="4645"/>
      <x:c r="L78" s="4645"/>
      <x:c r="M78" s="4645"/>
      <x:c r="N78" s="4645"/>
      <x:c r="O78" s="4645"/>
      <x:c r="P78" s="4645"/>
      <x:c r="Q78" s="4645"/>
      <x:c r="R78" s="4645"/>
      <x:c r="S78" s="4645"/>
      <x:c r="T78" s="4645"/>
      <x:c r="U78" s="4645"/>
      <x:c r="V78" s="4645"/>
      <x:c r="W78" s="4645"/>
      <x:c r="X78" s="4645"/>
      <x:c r="Y78" s="4645"/>
      <x:c r="Z78" s="4645"/>
      <x:c r="AA78" s="4645"/>
      <x:c r="AB78" s="4645"/>
      <x:c r="AC78" s="4645"/>
      <x:c r="AD78" s="4645"/>
    </x:row>
    <x:row r="79">
      <x:c r="A79" s="4645"/>
      <x:c r="B79" s="4645"/>
      <x:c r="C79" s="4645"/>
      <x:c r="D79" s="4645"/>
      <x:c r="E79" s="4645"/>
      <x:c r="F79" s="4645"/>
      <x:c r="G79" s="4645"/>
      <x:c r="H79" s="4645"/>
      <x:c r="I79" s="4645"/>
      <x:c r="J79" s="4645"/>
      <x:c r="K79" s="4645"/>
      <x:c r="L79" s="4645"/>
      <x:c r="M79" s="4645"/>
      <x:c r="N79" s="4645"/>
      <x:c r="O79" s="4645"/>
      <x:c r="P79" s="4645"/>
      <x:c r="Q79" s="4645"/>
      <x:c r="R79" s="4645"/>
      <x:c r="S79" s="4645"/>
      <x:c r="T79" s="4645"/>
      <x:c r="U79" s="4645"/>
      <x:c r="V79" s="4645"/>
      <x:c r="W79" s="4645"/>
      <x:c r="X79" s="4645"/>
      <x:c r="Y79" s="4645"/>
      <x:c r="Z79" s="4645"/>
      <x:c r="AA79" s="4645"/>
      <x:c r="AB79" s="4645"/>
      <x:c r="AC79" s="4645"/>
      <x:c r="AD79" s="4645"/>
    </x:row>
  </x:sheetData>
  <x:mergeCells>
    <x:mergeCell ref="A1:AD1"/>
    <x:mergeCell ref="A2:AD2"/>
    <x:mergeCell ref="A4:AD4"/>
    <x:mergeCell ref="A6:F11"/>
    <x:mergeCell ref="H6:M11"/>
    <x:mergeCell ref="O6:T11"/>
    <x:mergeCell ref="V6:Z11"/>
    <x:mergeCell ref="AB6:AD11"/>
    <x:mergeCell ref="A14:AD14"/>
    <x:mergeCell ref="A16:F21"/>
    <x:mergeCell ref="H16:M21"/>
    <x:mergeCell ref="O16:T21"/>
    <x:mergeCell ref="V16:Z21"/>
    <x:mergeCell ref="AB16:AD21"/>
    <x:mergeCell ref="A24:AD24"/>
    <x:mergeCell ref="A26:F32"/>
    <x:mergeCell ref="H26:M32"/>
    <x:mergeCell ref="O26:T32"/>
    <x:mergeCell ref="V26:Z32"/>
    <x:mergeCell ref="AB26:AD32"/>
    <x:mergeCell ref="A35:AD35"/>
    <x:mergeCell ref="A37:E43"/>
    <x:mergeCell ref="G37:K43"/>
    <x:mergeCell ref="M37:Q43"/>
    <x:mergeCell ref="S37:W43"/>
    <x:mergeCell ref="Y37:AD43"/>
    <x:mergeCell ref="A46:AD46"/>
    <x:mergeCell ref="A48:H54"/>
    <x:mergeCell ref="J48:Q54"/>
    <x:mergeCell ref="S48:Y54"/>
    <x:mergeCell ref="AA48:AD54"/>
    <x:mergeCell ref="A57:AD57"/>
    <x:mergeCell ref="A59:G65"/>
    <x:mergeCell ref="I59:O65"/>
    <x:mergeCell ref="Q59:W65"/>
    <x:mergeCell ref="Y59:AD65"/>
    <x:mergeCell ref="A69:AD69"/>
    <x:mergeCell ref="A71:AD79"/>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46" hidden="0" customWidth="1"/>
    <x:col min="6" max="6" width="36" hidden="0" customWidth="1"/>
    <x:col min="7" max="7" width="50" hidden="0" customWidth="1"/>
    <x:col min="8" max="8" width="38" hidden="0" customWidth="1"/>
    <x:col min="9" max="9" width="28" hidden="0" customWidth="1"/>
    <x:col min="10" max="10" width="30" hidden="0" customWidth="1"/>
    <x:col min="11" max="11" width="30" hidden="0" customWidth="1"/>
    <x:col min="12" max="12" width="18" hidden="0" customWidth="1"/>
    <x:col min="13" max="13" width="18" hidden="0" customWidth="1"/>
    <x:col min="14" max="14" width="18" hidden="0" customWidth="1"/>
    <x:col min="15" max="15" width="18" hidden="0" customWidth="1"/>
  </x:cols>
  <x:sheetData>
    <x:row r="1">
      <x:c r="A1" s="4658" t="str">
        <x:v>GOLDEN SCENARIOS / ACCEPTANCE TESTS · BASELINE FUNCIONAL 1.0</x:v>
      </x:c>
      <x:c r="B1" s="4658"/>
      <x:c r="C1" s="4658"/>
      <x:c r="D1" s="4658"/>
      <x:c r="E1" s="4658"/>
      <x:c r="F1" s="4658"/>
      <x:c r="G1" s="4658"/>
      <x:c r="H1" s="4658"/>
      <x:c r="I1" s="4658"/>
      <x:c r="J1" s="4658"/>
      <x:c r="K1" s="4658"/>
      <x:c r="L1" s="4658"/>
      <x:c r="M1" s="4658"/>
      <x:c r="N1" s="4658"/>
      <x:c r="O1" s="4658"/>
    </x:row>
    <x:row r="2">
      <x:c r="A2" s="4659" t="str">
        <x:v>Objetivo: romper el modelo antes del freeze. PASS significa que el comportamiento puede resolverse con entidades, estados, reglas y configuración ya existentes, sin inventar una nueva arquitectura.</x:v>
      </x:c>
      <x:c r="B2" s="4659"/>
      <x:c r="C2" s="4659"/>
      <x:c r="D2" s="4659"/>
      <x:c r="E2" s="4659"/>
      <x:c r="F2" s="4659"/>
      <x:c r="G2" s="4659"/>
      <x:c r="H2" s="4659"/>
      <x:c r="I2" s="4659"/>
      <x:c r="J2" s="4659"/>
      <x:c r="K2" s="4659"/>
      <x:c r="L2" s="4659"/>
      <x:c r="M2" s="4659"/>
      <x:c r="N2" s="4659"/>
      <x:c r="O2" s="4659"/>
    </x:row>
    <x:row r="3">
      <x:c r="A3" s="3945"/>
      <x:c r="B3" s="3945"/>
      <x:c r="C3" s="3945"/>
      <x:c r="D3" s="3945"/>
      <x:c r="E3" s="3945"/>
      <x:c r="F3" s="3945"/>
      <x:c r="G3" s="3945"/>
      <x:c r="H3" s="3945"/>
      <x:c r="I3" s="3945"/>
      <x:c r="J3" s="3945"/>
      <x:c r="K3" s="3945"/>
      <x:c r="L3" s="3945"/>
      <x:c r="M3" s="3945"/>
      <x:c r="N3" s="3945"/>
      <x:c r="O3" s="3945"/>
    </x:row>
    <x:row r="4">
      <x:c r="A4" s="4660" t="str">
        <x:v>Scenario</x:v>
      </x:c>
      <x:c r="B4" s="4660" t="str">
        <x:v>Dominio</x:v>
      </x:c>
      <x:c r="C4" s="4660" t="str">
        <x:v>Clase</x:v>
      </x:c>
      <x:c r="D4" s="4660" t="str">
        <x:v>Nombre</x:v>
      </x:c>
      <x:c r="E4" s="4660" t="str">
        <x:v>GIVEN</x:v>
      </x:c>
      <x:c r="F4" s="4660" t="str">
        <x:v>WHEN</x:v>
      </x:c>
      <x:c r="G4" s="4660" t="str">
        <x:v>THEN esperado</x:v>
      </x:c>
      <x:c r="H4" s="4660" t="str">
        <x:v>No debe ocurrir</x:v>
      </x:c>
      <x:c r="I4" s="4660" t="str">
        <x:v>Reglas clave</x:v>
      </x:c>
      <x:c r="J4" s="4660" t="str">
        <x:v>Objetos/relaciones</x:v>
      </x:c>
      <x:c r="K4" s="4660" t="str">
        <x:v>State transitions</x:v>
      </x:c>
      <x:c r="L4" s="4660" t="str">
        <x:v>UX / tiempo</x:v>
      </x:c>
      <x:c r="M4" s="4660" t="str">
        <x:v>Resultado</x:v>
      </x:c>
      <x:c r="N4" s="4660" t="str">
        <x:v>Tipo resolución</x:v>
      </x:c>
      <x:c r="O4" s="4660" t="str">
        <x:v>Patch estructural</x:v>
      </x:c>
    </x:row>
    <x:row r="5" ht="88" customHeight="1">
      <x:c r="A5" s="3947" t="str">
        <x:v>GS-001</x:v>
      </x:c>
      <x:c r="B5" s="3947" t="str">
        <x:v>PLANIFICACIÓN</x:v>
      </x:c>
      <x:c r="C5" s="4661" t="str">
        <x:v>HAPPY PATH</x:v>
      </x:c>
      <x:c r="D5" s="3947" t="str">
        <x:v>Plan aprobado y despachado</x:v>
      </x:c>
      <x:c r="E5" s="3947" t="str">
        <x:v>Demanda válida; PlanificacionVersion en validación; asignación consistente y sujetos elegibles.</x:v>
      </x:c>
      <x:c r="F5" s="3947" t="str">
        <x:v>Planificación aprueba versión y ejecuta readiness.</x:v>
      </x:c>
      <x:c r="G5" s="3947" t="str">
        <x:v>Versión APROBADA; Asignacion PROGRAMADA→READY→DESPACHADA; ExecutionContextBundle versionado.</x:v>
      </x:c>
      <x:c r="H5" s="3947" t="str">
        <x:v>No crear Parte todavía ni confundir DESPACHADA con EN_EJECUCION.</x:v>
      </x:c>
      <x:c r="I5" s="3947" t="str">
        <x:v>RUL-010,RUL-013,RUL-014,RUL-016,RUL-017</x:v>
      </x:c>
      <x:c r="J5" s="3947" t="str">
        <x:v>PlanificacionVersion, AsignacionPlanificada, EvaluacionPlanificacion, Bundle</x:v>
      </x:c>
      <x:c r="K5" s="3947" t="str">
        <x:v>BORRADOR→APROBADA / PROGRAMADA→READY→DESPACHADA</x:v>
      </x:c>
      <x:c r="L5" s="3947" t="str">
        <x:v>0 s campo</x:v>
      </x:c>
      <x:c r="M5" s="4661" t="str">
        <x:v>PASS</x:v>
      </x:c>
      <x:c r="N5" s="3947" t="str">
        <x:v>ESTRUCTURAL</x:v>
      </x:c>
      <x:c r="O5" s="4661" t="str">
        <x:v>NO</x:v>
      </x:c>
    </x:row>
    <x:row r="6" ht="88" customHeight="1">
      <x:c r="A6" s="3947" t="str">
        <x:v>GS-002</x:v>
      </x:c>
      <x:c r="B6" s="3947" t="str">
        <x:v>PLANIFICACIÓN</x:v>
      </x:c>
      <x:c r="C6" s="4662" t="str">
        <x:v>ADVERSARIAL</x:v>
      </x:c>
      <x:c r="D6" s="3947" t="str">
        <x:v>Readiness invalidado después de READY</x:v>
      </x:c>
      <x:c r="E6" s="3947" t="str">
        <x:v>Asignación READY con recurso/persona/documental vigente.</x:v>
      </x:c>
      <x:c r="F6" s="3947" t="str">
        <x:v>Vence un requisito o cambia recurso/ventana antes del inicio.</x:v>
      </x:c>
      <x:c r="G6" s="3947" t="str">
        <x:v>EventoInvalidacionReadiness; READY deja de habilitar despacho/inicio hasta reevaluación.</x:v>
      </x:c>
      <x:c r="H6" s="3947" t="str">
        <x:v>No mantener READY como checkbox eterno.</x:v>
      </x:c>
      <x:c r="I6" s="3947" t="str">
        <x:v>RUL-015,RUL-013,RUL-014</x:v>
      </x:c>
      <x:c r="J6" s="3947" t="str">
        <x:v>EvaluacionPlanificacion, EventoInvalidacionReadiness</x:v>
      </x:c>
      <x:c r="K6" s="3947" t="str">
        <x:v>READY→PROGRAMADA/REEVALUAR</x:v>
      </x:c>
      <x:c r="L6" s="3947" t="str">
        <x:v>0 s campo</x:v>
      </x:c>
      <x:c r="M6" s="4661" t="str">
        <x:v>PASS</x:v>
      </x:c>
      <x:c r="N6" s="3947" t="str">
        <x:v>ESTRUCTURAL</x:v>
      </x:c>
      <x:c r="O6" s="4661" t="str">
        <x:v>NO</x:v>
      </x:c>
    </x:row>
    <x:row r="7" ht="88" customHeight="1">
      <x:c r="A7" s="3947" t="str">
        <x:v>GS-003</x:v>
      </x:c>
      <x:c r="B7" s="3947" t="str">
        <x:v>PLANIFICACIÓN</x:v>
      </x:c>
      <x:c r="C7" s="4663" t="str">
        <x:v>OFFLINE</x:v>
      </x:c>
      <x:c r="D7" s="3947" t="str">
        <x:v>Cambio post-despacho con campo desconectado</x:v>
      </x:c>
      <x:c r="E7" s="3947" t="str">
        <x:v>Asignación DESPACHADA; tablet conserva snapshot válido; planificación cambia prioridad/alcance.</x:v>
      </x:c>
      <x:c r="F7" s="3947" t="str">
        <x:v>Se aprueba una nueva versión mientras campo está offline.</x:v>
      </x:c>
      <x:c r="G7" s="3947" t="str">
        <x:v>Snapshot original no se muta; se emite DirectivaOperativa / nueva versión; aplicación espera recepción.</x:v>
      </x:c>
      <x:c r="H7" s="3947" t="str">
        <x:v>No cambiar retroactivamente lo que el dispositivo ya recibió.</x:v>
      </x:c>
      <x:c r="I7" s="3947" t="str">
        <x:v>RUL-020,RUL-054,RUL-055</x:v>
      </x:c>
      <x:c r="J7" s="3947" t="str">
        <x:v>PlanificacionVersion, DirectivaOperativa, Bundle</x:v>
      </x:c>
      <x:c r="K7" s="3947" t="str">
        <x:v>Directiva —→EMITIDA (hasta recepción)</x:v>
      </x:c>
      <x:c r="L7" s="3947" t="str">
        <x:v>0 s campo inmediato</x:v>
      </x:c>
      <x:c r="M7" s="4661" t="str">
        <x:v>PASS</x:v>
      </x:c>
      <x:c r="N7" s="3947" t="str">
        <x:v>ESTRUCTURAL</x:v>
      </x:c>
      <x:c r="O7" s="4661" t="str">
        <x:v>NO</x:v>
      </x:c>
    </x:row>
    <x:row r="8" ht="88" customHeight="1">
      <x:c r="A8" s="3947" t="str">
        <x:v>GS-004</x:v>
      </x:c>
      <x:c r="B8" s="3947" t="str">
        <x:v>PLANIFICACIÓN</x:v>
      </x:c>
      <x:c r="C8" s="4662" t="str">
        <x:v>ADVERSARIAL</x:v>
      </x:c>
      <x:c r="D8" s="3947" t="str">
        <x:v>Cancelar plan con ejecución ya iniciada</x:v>
      </x:c>
      <x:c r="E8" s="3947" t="str">
        <x:v>Plan ACTIVO y una UE real EN_EJECUCION.</x:v>
      </x:c>
      <x:c r="F8" s="3947" t="str">
        <x:v>Alguien intenta CANCELAR_PLAN_COMPLETO.</x:v>
      </x:c>
      <x:c r="G8" s="3947" t="str">
        <x:v>Bloquear cancelación destructiva; usar DirectivaOperativa y resolver ejecuciones/asignaciones.</x:v>
      </x:c>
      <x:c r="H8" s="3947" t="str">
        <x:v>No convertir ejecución real en inexistente.</x:v>
      </x:c>
      <x:c r="I8" s="3947" t="str">
        <x:v>P0/P2 + State Machine Planificacion + RUL-054</x:v>
      </x:c>
      <x:c r="J8" s="3947" t="str">
        <x:v>Planificacion, Parte, UE, Directiva</x:v>
      </x:c>
      <x:c r="K8" s="3947" t="str">
        <x:v>ACTIVA permanece; UE se resuelve por Control Plane</x:v>
      </x:c>
      <x:c r="L8" s="3947" t="str">
        <x:v>0 s campo</x:v>
      </x:c>
      <x:c r="M8" s="4661" t="str">
        <x:v>PASS</x:v>
      </x:c>
      <x:c r="N8" s="3947" t="str">
        <x:v>ESTRUCTURAL</x:v>
      </x:c>
      <x:c r="O8" s="4661" t="str">
        <x:v>NO</x:v>
      </x:c>
    </x:row>
    <x:row r="9" ht="88" customHeight="1">
      <x:c r="A9" s="3947" t="str">
        <x:v>GS-005</x:v>
      </x:c>
      <x:c r="B9" s="3947" t="str">
        <x:v>ROUTING</x:v>
      </x:c>
      <x:c r="C9" s="4661" t="str">
        <x:v>HAPPY PATH</x:v>
      </x:c>
      <x:c r="D9" s="3947" t="str">
        <x:v>TipoParte derivado por perfil/contexto</x:v>
      </x:c>
      <x:c r="E9" s="3947" t="str">
        <x:v>Persona autenticada, perfil operativo vigente, asignación y servicio conocidos.</x:v>
      </x:c>
      <x:c r="F9" s="3947" t="str">
        <x:v>Se prepara inicio de trabajo.</x:v>
      </x:c>
      <x:c r="G9" s="3947" t="str">
        <x:v>Motor deriva TipoParte correcto y crea Parte/UE idempotentes.</x:v>
      </x:c>
      <x:c r="H9" s="3947" t="str">
        <x:v>No mostrar selector libre como camino normal.</x:v>
      </x:c>
      <x:c r="I9" s="3947" t="str">
        <x:v>RUL-001,RUL-021,RUL-074</x:v>
      </x:c>
      <x:c r="J9" s="3947" t="str">
        <x:v>PersonaPerfilOperativo, TipoParte, Parte, UE, DecisionTrace</x:v>
      </x:c>
      <x:c r="K9" s="3947" t="str">
        <x:v>—→PREPARADO / —→PENDIENTE</x:v>
      </x:c>
      <x:c r="L9" s="3947" t="str">
        <x:v>UX-01 ≈5 s</x:v>
      </x:c>
      <x:c r="M9" s="4661" t="str">
        <x:v>PASS</x:v>
      </x:c>
      <x:c r="N9" s="3947" t="str">
        <x:v>ESTRUCTURAL</x:v>
      </x:c>
      <x:c r="O9" s="4661" t="str">
        <x:v>NO</x:v>
      </x:c>
    </x:row>
    <x:row r="10" ht="88" customHeight="1">
      <x:c r="A10" s="3947" t="str">
        <x:v>GS-006</x:v>
      </x:c>
      <x:c r="B10" s="3947" t="str">
        <x:v>ROUTING</x:v>
      </x:c>
      <x:c r="C10" s="4662" t="str">
        <x:v>ADVERSARIAL</x:v>
      </x:c>
      <x:c r="D10" s="3947" t="str">
        <x:v>Ruteo ambiguo</x:v>
      </x:c>
      <x:c r="E10" s="3947" t="str">
        <x:v>Dos TipoParte resultan compatibles con el contexto.</x:v>
      </x:c>
      <x:c r="F10" s="3947" t="str">
        <x:v>El motor no puede discriminar confiablemente.</x:v>
      </x:c>
      <x:c r="G10" s="3947" t="str">
        <x:v>Pedir confirmación mínima o escalar; registrar candidatos y decisión.</x:v>
      </x:c>
      <x:c r="H10" s="3947" t="str">
        <x:v>No elegir silenciosamente por orden de catálogo.</x:v>
      </x:c>
      <x:c r="I10" s="3947" t="str">
        <x:v>RUL-002,RUL-074</x:v>
      </x:c>
      <x:c r="J10" s="3947" t="str">
        <x:v>TipoParte, DecisionTrace</x:v>
      </x:c>
      <x:c r="K10" s="3947" t="str">
        <x:v>sin transición hasta resolución</x:v>
      </x:c>
      <x:c r="L10" s="3947" t="str">
        <x:v>≤20 s</x:v>
      </x:c>
      <x:c r="M10" s="4661" t="str">
        <x:v>PASS</x:v>
      </x:c>
      <x:c r="N10" s="3947" t="str">
        <x:v>ESTRUCTURAL</x:v>
      </x:c>
      <x:c r="O10" s="4661" t="str">
        <x:v>NO</x:v>
      </x:c>
    </x:row>
    <x:row r="11" ht="88" customHeight="1">
      <x:c r="A11" s="3947" t="str">
        <x:v>GS-007</x:v>
      </x:c>
      <x:c r="B11" s="3947" t="str">
        <x:v>TP-01</x:v>
      </x:c>
      <x:c r="C11" s="4661" t="str">
        <x:v>HAPPY PATH</x:v>
      </x:c>
      <x:c r="D11" s="3947" t="str">
        <x:v>Intervención planificada normal</x:v>
      </x:c>
      <x:c r="E11" s="3947" t="str">
        <x:v>TP-01 PREPARADO, UE PENDIENTE, Habilita/doc OK, PTW VIGENTE.</x:v>
      </x:c>
      <x:c r="F11" s="3947" t="str">
        <x:v>Operario confirma ubicación e inicia.</x:v>
      </x:c>
      <x:c r="G11" s="3947" t="str">
        <x:v>Parte/UE pasan EN_EJECUCION; persona/recurso/timestamps/contexto se derivan.</x:v>
      </x:c>
      <x:c r="H11" s="3947" t="str">
        <x:v>No recapturar cliente, tipo de parte, roster, recursos ni reglas.</x:v>
      </x:c>
      <x:c r="I11" s="3947" t="str">
        <x:v>RUL-022,RUL-023,RUL-024,RUL-031</x:v>
      </x:c>
      <x:c r="J11" s="3947" t="str">
        <x:v>Parte, UE, asignaciones, ubicación, PTW</x:v>
      </x:c>
      <x:c r="K11" s="3947" t="str">
        <x:v>PREPARADO→EN_EJECUCION / PENDIENTE→EN_EJECUCION</x:v>
      </x:c>
      <x:c r="L11" s="3947" t="str">
        <x:v>UX-01 ≈5 s</x:v>
      </x:c>
      <x:c r="M11" s="4661" t="str">
        <x:v>PASS</x:v>
      </x:c>
      <x:c r="N11" s="3947" t="str">
        <x:v>ESTRUCTURAL</x:v>
      </x:c>
      <x:c r="O11" s="4661" t="str">
        <x:v>NO</x:v>
      </x:c>
    </x:row>
    <x:row r="12" ht="88" customHeight="1">
      <x:c r="A12" s="3947" t="str">
        <x:v>GS-008</x:v>
      </x:c>
      <x:c r="B12" s="3947" t="str">
        <x:v>TP-01</x:v>
      </x:c>
      <x:c r="C12" s="4663" t="str">
        <x:v>TEMPORAL</x:v>
      </x:c>
      <x:c r="D12" s="3947" t="str">
        <x:v>Cambio de turno sin cambio de work package</x:v>
      </x:c>
      <x:c r="E12" s="3947" t="str">
        <x:v>TP-01 EN_EJECUCION con turno A y PTW aplicable.</x:v>
      </x:c>
      <x:c r="F12" s="3947" t="str">
        <x:v>Ingresa turno B.</x:v>
      </x:c>
      <x:c r="G12" s="3947" t="str">
        <x:v>Mismo TP-01; handover; cerrar/abrir intervalos; revalidar Habilita/PTW.</x:v>
      </x:c>
      <x:c r="H12" s="3947" t="str">
        <x:v>No crear Parte nuevo solo por turno.</x:v>
      </x:c>
      <x:c r="I12" s="3947" t="str">
        <x:v>RUL-005,RUL-025,RUL-044</x:v>
      </x:c>
      <x:c r="J12" s="3947" t="str">
        <x:v>Parte, AsignacionPersonaEjecucion, EventoOperativo/Handover, PTW</x:v>
      </x:c>
      <x:c r="K12" s="3947" t="str">
        <x:v>Parte permanece EN_EJECUCION</x:v>
      </x:c>
      <x:c r="L12" s="3947" t="str">
        <x:v>UX-03 ≈26 s</x:v>
      </x:c>
      <x:c r="M12" s="4661" t="str">
        <x:v>PASS</x:v>
      </x:c>
      <x:c r="N12" s="3947" t="str">
        <x:v>ESTRUCTURAL</x:v>
      </x:c>
      <x:c r="O12" s="4661" t="str">
        <x:v>NO</x:v>
      </x:c>
    </x:row>
    <x:row r="13" ht="88" customHeight="1">
      <x:c r="A13" s="3947" t="str">
        <x:v>GS-009</x:v>
      </x:c>
      <x:c r="B13" s="3947" t="str">
        <x:v>TP-01</x:v>
      </x:c>
      <x:c r="C13" s="4663" t="str">
        <x:v>TEMPORAL</x:v>
      </x:c>
      <x:c r="D13" s="3947" t="str">
        <x:v>Reemplazo de operario</x:v>
      </x:c>
      <x:c r="E13" s="3947" t="str">
        <x:v>UE EN_EJECUCION con persona A.</x:v>
      </x:c>
      <x:c r="F13" s="3947" t="str">
        <x:v>Persona A sale y persona B elegible la reemplaza.</x:v>
      </x:c>
      <x:c r="G13" s="3947" t="str">
        <x:v>Cerrar intervalo A; abrir intervalo B; mantener Parte/UE.</x:v>
      </x:c>
      <x:c r="H13" s="3947" t="str">
        <x:v>No editar persona original ni crear Parte nuevo.</x:v>
      </x:c>
      <x:c r="I13" s="3947" t="str">
        <x:v>RUL-025,RUL-039</x:v>
      </x:c>
      <x:c r="J13" s="3947" t="str">
        <x:v>AsignacionPersonaEjecucion, EvaluacionHabilitacion</x:v>
      </x:c>
      <x:c r="K13" s="3947" t="str">
        <x:v>UE permanece EN_EJECUCION</x:v>
      </x:c>
      <x:c r="L13" s="3947" t="str">
        <x:v>UX-04 ≈12 s</x:v>
      </x:c>
      <x:c r="M13" s="4661" t="str">
        <x:v>PASS</x:v>
      </x:c>
      <x:c r="N13" s="3947" t="str">
        <x:v>ESTRUCTURAL</x:v>
      </x:c>
      <x:c r="O13" s="4661" t="str">
        <x:v>NO</x:v>
      </x:c>
    </x:row>
    <x:row r="14" ht="88" customHeight="1">
      <x:c r="A14" s="3947" t="str">
        <x:v>GS-010</x:v>
      </x:c>
      <x:c r="B14" s="3947" t="str">
        <x:v>TP-01</x:v>
      </x:c>
      <x:c r="C14" s="4663" t="str">
        <x:v>TEMPORAL</x:v>
      </x:c>
      <x:c r="D14" s="3947" t="str">
        <x:v>Reemplazo por persona no habilitada</x:v>
      </x:c>
      <x:c r="E14" s="3947" t="str">
        <x:v>UE activa; candidato B disponible pero falla requisito crítico Habilita.</x:v>
      </x:c>
      <x:c r="F14" s="3947" t="str">
        <x:v>Supervisor intenta seleccionarlo.</x:v>
      </x:c>
      <x:c r="G14" s="3947" t="str">
        <x:v>Hard block; reemplazo no se materializa.</x:v>
      </x:c>
      <x:c r="H14" s="3947" t="str">
        <x:v>No permitir por necesidad operativa ni por override comercial.</x:v>
      </x:c>
      <x:c r="I14" s="3947" t="str">
        <x:v>RUL-039,RUL-041,RUL-027</x:v>
      </x:c>
      <x:c r="J14" s="3947" t="str">
        <x:v>Persona, CumplimientoHabilitacion, ConflictoTemporal</x:v>
      </x:c>
      <x:c r="K14" s="3947" t="str">
        <x:v>sin cambio</x:v>
      </x:c>
      <x:c r="L14" s="3947" t="str">
        <x:v>UX-04 bloqueado</x:v>
      </x:c>
      <x:c r="M14" s="4661" t="str">
        <x:v>PASS</x:v>
      </x:c>
      <x:c r="N14" s="3947" t="str">
        <x:v>ESTRUCTURAL</x:v>
      </x:c>
      <x:c r="O14" s="4661" t="str">
        <x:v>NO</x:v>
      </x:c>
    </x:row>
    <x:row r="15" ht="88" customHeight="1">
      <x:c r="A15" s="3947" t="str">
        <x:v>GS-011</x:v>
      </x:c>
      <x:c r="B15" s="3947" t="str">
        <x:v>TP-01</x:v>
      </x:c>
      <x:c r="C15" s="4661" t="str">
        <x:v>IDENTIDAD</x:v>
      </x:c>
      <x:c r="D15" s="3947" t="str">
        <x:v>Recurso adicional como apoyo</x:v>
      </x:c>
      <x:c r="E15" s="3947" t="str">
        <x:v>UE activa con retro A; llega equipo B para apoyar la misma unidad de trabajo.</x:v>
      </x:c>
      <x:c r="F15" s="3947" t="str">
        <x:v>Se incorpora B.</x:v>
      </x:c>
      <x:c r="G15" s="3947" t="str">
        <x:v>Nueva AsignacionRecursoEjecucion dentro de misma UE/Parte.</x:v>
      </x:c>
      <x:c r="H15" s="3947" t="str">
        <x:v>No crear UE ni TP-01 por el mero recurso adicional.</x:v>
      </x:c>
      <x:c r="I15" s="3947" t="str">
        <x:v>RUL-006,RUL-026</x:v>
      </x:c>
      <x:c r="J15" s="3947" t="str">
        <x:v>UE, AsignacionRecursoEjecucion</x:v>
      </x:c>
      <x:c r="K15" s="3947" t="str">
        <x:v>UE permanece EN_EJECUCION</x:v>
      </x:c>
      <x:c r="L15" s="3947" t="str">
        <x:v>UX-04 ≈12 s</x:v>
      </x:c>
      <x:c r="M15" s="4661" t="str">
        <x:v>PASS</x:v>
      </x:c>
      <x:c r="N15" s="3947" t="str">
        <x:v>ESTRUCTURAL</x:v>
      </x:c>
      <x:c r="O15" s="4661" t="str">
        <x:v>NO</x:v>
      </x:c>
    </x:row>
    <x:row r="16" ht="88" customHeight="1">
      <x:c r="A16" s="3947" t="str">
        <x:v>GS-012</x:v>
      </x:c>
      <x:c r="B16" s="3947" t="str">
        <x:v>TP-01</x:v>
      </x:c>
      <x:c r="C16" s="4661" t="str">
        <x:v>IDENTIDAD</x:v>
      </x:c>
      <x:c r="D16" s="3947" t="str">
        <x:v>Subtrabajo autónomo dentro del mismo work package</x:v>
      </x:c>
      <x:c r="E16" s="3947" t="str">
        <x:v>TP-01 activo; aparece subtrabajo con resultado/tiempo propio pero mismo objetivo de intervención.</x:v>
      </x:c>
      <x:c r="F16" s="3947" t="str">
        <x:v>Comienza subtrabajo.</x:v>
      </x:c>
      <x:c r="G16" s="3947" t="str">
        <x:v>Crear nueva UE dentro del mismo TP-01.</x:v>
      </x:c>
      <x:c r="H16" s="3947" t="str">
        <x:v>No fragmentar en otro Parte.</x:v>
      </x:c>
      <x:c r="I16" s="3947" t="str">
        <x:v>RUL-007,RUL-003</x:v>
      </x:c>
      <x:c r="J16" s="3947" t="str">
        <x:v>Parte, UE</x:v>
      </x:c>
      <x:c r="K16" s="3947" t="str">
        <x:v>—→PENDIENTE→EN_EJECUCION</x:v>
      </x:c>
      <x:c r="L16" s="3947" t="str">
        <x:v>micro ≤20 s</x:v>
      </x:c>
      <x:c r="M16" s="4661" t="str">
        <x:v>PASS</x:v>
      </x:c>
      <x:c r="N16" s="3947" t="str">
        <x:v>ESTRUCTURAL</x:v>
      </x:c>
      <x:c r="O16" s="4661" t="str">
        <x:v>NO</x:v>
      </x:c>
    </x:row>
    <x:row r="17" ht="88" customHeight="1">
      <x:c r="A17" s="3947" t="str">
        <x:v>GS-013</x:v>
      </x:c>
      <x:c r="B17" s="3947" t="str">
        <x:v>TP-01</x:v>
      </x:c>
      <x:c r="C17" s="4661" t="str">
        <x:v>IDENTIDAD</x:v>
      </x:c>
      <x:c r="D17" s="3947" t="str">
        <x:v>Cambio real de work package</x:v>
      </x:c>
      <x:c r="E17" s="3947" t="str">
        <x:v>TP-01 activo.</x:v>
      </x:c>
      <x:c r="F17" s="3947" t="str">
        <x:v>La cuadrilla termina objetivo A y comienza objetivo B independiente.</x:v>
      </x:c>
      <x:c r="G17" s="3947" t="str">
        <x:v>Resolver/cerrar alcance anterior y crear nuevo TP-01.</x:v>
      </x:c>
      <x:c r="H17" s="3947" t="str">
        <x:v>No mezclar dos work packages bajo la misma identidad.</x:v>
      </x:c>
      <x:c r="I17" s="3947" t="str">
        <x:v>RUL-004,RUL-034</x:v>
      </x:c>
      <x:c r="J17" s="3947" t="str">
        <x:v>Parte, UE, VinculoPlanEjecucion</x:v>
      </x:c>
      <x:c r="K17" s="3947" t="str">
        <x:v>Parte A→CERRADO_OPERATIVAMENTE; Parte B→PREPARADO</x:v>
      </x:c>
      <x:c r="L17" s="3947" t="str">
        <x:v>≤20 s</x:v>
      </x:c>
      <x:c r="M17" s="4661" t="str">
        <x:v>PASS</x:v>
      </x:c>
      <x:c r="N17" s="3947" t="str">
        <x:v>ESTRUCTURAL</x:v>
      </x:c>
      <x:c r="O17" s="4661" t="str">
        <x:v>NO</x:v>
      </x:c>
    </x:row>
    <x:row r="18" ht="88" customHeight="1">
      <x:c r="A18" s="3947" t="str">
        <x:v>GS-014</x:v>
      </x:c>
      <x:c r="B18" s="3947" t="str">
        <x:v>TP-01</x:v>
      </x:c>
      <x:c r="C18" s="4661" t="str">
        <x:v>IDENTIDAD</x:v>
      </x:c>
      <x:c r="D18" s="3947" t="str">
        <x:v>Cambio de ubicación sin regla de corte</x:v>
      </x:c>
      <x:c r="E18" s="3947" t="str">
        <x:v>TP-01 activo y TipoParte/servicio no usa ubicación como driver de corte.</x:v>
      </x:c>
      <x:c r="F18" s="3947" t="str">
        <x:v>Trabajo se desplaza a otra ubicación.</x:v>
      </x:c>
      <x:c r="G18" s="3947" t="str">
        <x:v>Mismo Parte; registrar nueva ubicación/transición.</x:v>
      </x:c>
      <x:c r="H18" s="3947" t="str">
        <x:v>No crear Parte por default.</x:v>
      </x:c>
      <x:c r="I18" s="3947" t="str">
        <x:v>RUL-008,RUL-031,RUL-030</x:v>
      </x:c>
      <x:c r="J18" s="3947" t="str">
        <x:v>EjecucionUbicacion, TransicionOperativa</x:v>
      </x:c>
      <x:c r="K18" s="3947" t="str">
        <x:v>Parte permanece</x:v>
      </x:c>
      <x:c r="L18" s="3947" t="str">
        <x:v>UX-05 ≈4 s</x:v>
      </x:c>
      <x:c r="M18" s="4661" t="str">
        <x:v>PASS</x:v>
      </x:c>
      <x:c r="N18" s="3947" t="str">
        <x:v>ESTRUCTURAL</x:v>
      </x:c>
      <x:c r="O18" s="4661" t="str">
        <x:v>NO</x:v>
      </x:c>
    </x:row>
    <x:row r="19" ht="88" customHeight="1">
      <x:c r="A19" s="3947" t="str">
        <x:v>GS-015</x:v>
      </x:c>
      <x:c r="B19" s="3947" t="str">
        <x:v>TP-01</x:v>
      </x:c>
      <x:c r="C19" s="4663" t="str">
        <x:v>CONFIGURABLE</x:v>
      </x:c>
      <x:c r="D19" s="3947" t="str">
        <x:v>Cliente exige corte por ubicación</x:v>
      </x:c>
      <x:c r="E19" s="3947" t="str">
        <x:v>Mismo caso anterior pero existe ReglaCorte específica vigente.</x:v>
      </x:c>
      <x:c r="F19" s="3947" t="str">
        <x:v>Se cambia ubicación según contexto configurado.</x:v>
      </x:c>
      <x:c r="G19" s="3947" t="str">
        <x:v>Regla específica P4 gana al default; cerrar/split según configuración.</x:v>
      </x:c>
      <x:c r="H19" s="3947" t="str">
        <x:v>No ignorar configuración específica.</x:v>
      </x:c>
      <x:c r="I19" s="3947" t="str">
        <x:v>RUL-003,RUL-008 + precedencia/especificidad</x:v>
      </x:c>
      <x:c r="J19" s="3947" t="str">
        <x:v>ReglaCorteTipoParte, Parte</x:v>
      </x:c>
      <x:c r="K19" s="3947" t="str">
        <x:v>según regla específica</x:v>
      </x:c>
      <x:c r="L19" s="3947" t="str">
        <x:v>configurable</x:v>
      </x:c>
      <x:c r="M19" s="4661" t="str">
        <x:v>PASS</x:v>
      </x:c>
      <x:c r="N19" s="3947" t="str">
        <x:v>ESTRUCTURAL</x:v>
      </x:c>
      <x:c r="O19" s="4661" t="str">
        <x:v>NO</x:v>
      </x:c>
    </x:row>
    <x:row r="20" ht="88" customHeight="1">
      <x:c r="A20" s="3947" t="str">
        <x:v>GS-016</x:v>
      </x:c>
      <x:c r="B20" s="3947" t="str">
        <x:v>EJECUCIÓN</x:v>
      </x:c>
      <x:c r="C20" s="4663" t="str">
        <x:v>TEMPORAL</x:v>
      </x:c>
      <x:c r="D20" s="3947" t="str">
        <x:v>Cambio de categoría de tiempo</x:v>
      </x:c>
      <x:c r="E20" s="3947" t="str">
        <x:v>UE EN_EJECUCION con intervalo ejecución abierto.</x:v>
      </x:c>
      <x:c r="F20" s="3947" t="str">
        <x:v>Comienza espera/standby/traslado.</x:v>
      </x:c>
      <x:c r="G20" s="3947" t="str">
        <x:v>Cerrar intervalo previo y abrir nueva categoría sin gaps/solapes.</x:v>
      </x:c>
      <x:c r="H20" s="3947" t="str">
        <x:v>No reescribir horas al cierre.</x:v>
      </x:c>
      <x:c r="I20" s="3947" t="str">
        <x:v>RUL-028,RUL-029</x:v>
      </x:c>
      <x:c r="J20" s="3947" t="str">
        <x:v>EventoTiempo</x:v>
      </x:c>
      <x:c r="K20" s="3947" t="str">
        <x:v>UE sin cambio</x:v>
      </x:c>
      <x:c r="L20" s="3947" t="str">
        <x:v>UX-06 ≈7 s</x:v>
      </x:c>
      <x:c r="M20" s="4661" t="str">
        <x:v>PASS</x:v>
      </x:c>
      <x:c r="N20" s="3947" t="str">
        <x:v>ESTRUCTURAL</x:v>
      </x:c>
      <x:c r="O20" s="4661" t="str">
        <x:v>NO</x:v>
      </x:c>
    </x:row>
    <x:row r="21" ht="88" customHeight="1">
      <x:c r="A21" s="3947" t="str">
        <x:v>GS-017</x:v>
      </x:c>
      <x:c r="B21" s="3947" t="str">
        <x:v>EJECUCIÓN</x:v>
      </x:c>
      <x:c r="C21" s="4662" t="str">
        <x:v>ADVERSARIAL</x:v>
      </x:c>
      <x:c r="D21" s="3947" t="str">
        <x:v>Solapamiento incompatible de recurso</x:v>
      </x:c>
      <x:c r="E21" s="3947" t="str">
        <x:v>Recurso exclusivo ya asignado en intervalo activo.</x:v>
      </x:c>
      <x:c r="F21" s="3947" t="str">
        <x:v>Otra UE intenta asignarlo simultáneamente.</x:v>
      </x:c>
      <x:c r="G21" s="3947" t="str">
        <x:v>ConflictoTemporal; bloquear o warning solo según ReglaSolapamiento.</x:v>
      </x:c>
      <x:c r="H21" s="3947" t="str">
        <x:v>No permitir doble uso silencioso.</x:v>
      </x:c>
      <x:c r="I21" s="3947" t="str">
        <x:v>RUL-027</x:v>
      </x:c>
      <x:c r="J21" s="3947" t="str">
        <x:v>Disponibilidad/AsignacionRecurso, ConflictoTemporal</x:v>
      </x:c>
      <x:c r="K21" s="3947" t="str">
        <x:v>sin cambio</x:v>
      </x:c>
      <x:c r="L21" s="3947" t="str">
        <x:v>excepción</x:v>
      </x:c>
      <x:c r="M21" s="4661" t="str">
        <x:v>PASS</x:v>
      </x:c>
      <x:c r="N21" s="3947" t="str">
        <x:v>ESTRUCTURAL</x:v>
      </x:c>
      <x:c r="O21" s="4661" t="str">
        <x:v>NO</x:v>
      </x:c>
    </x:row>
    <x:row r="22" ht="88" customHeight="1">
      <x:c r="A22" s="3947" t="str">
        <x:v>GS-018</x:v>
      </x:c>
      <x:c r="B22" s="3947" t="str">
        <x:v>EJECUCIÓN</x:v>
      </x:c>
      <x:c r="C22" s="4661" t="str">
        <x:v>CLOSE</x:v>
      </x:c>
      <x:c r="D22" s="3947" t="str">
        <x:v>Cierre UE con medición requerida faltante</x:v>
      </x:c>
      <x:c r="E22" s="3947" t="str">
        <x:v>UE activa cuyo componente exige una medición.</x:v>
      </x:c>
      <x:c r="F22" s="3947" t="str">
        <x:v>Operario intenta cerrar sin valor.</x:v>
      </x:c>
      <x:c r="G22" s="3947" t="str">
        <x:v>Cierre bloqueado y UI pide solo la medición faltante.</x:v>
      </x:c>
      <x:c r="H22" s="3947" t="str">
        <x:v>No pedir un formulario completo ni cerrar incompleta.</x:v>
      </x:c>
      <x:c r="I22" s="3947" t="str">
        <x:v>RUL-032,RUL-033</x:v>
      </x:c>
      <x:c r="J22" s="3947" t="str">
        <x:v>UE, EjecucionMedicion</x:v>
      </x:c>
      <x:c r="K22" s="3947" t="str">
        <x:v>permanece EN_EJECUCION/SUSPENDIDA</x:v>
      </x:c>
      <x:c r="L22" s="3947" t="str">
        <x:v>UX-08 condicional</x:v>
      </x:c>
      <x:c r="M22" s="4661" t="str">
        <x:v>PASS</x:v>
      </x:c>
      <x:c r="N22" s="3947" t="str">
        <x:v>ESTRUCTURAL</x:v>
      </x:c>
      <x:c r="O22" s="4661" t="str">
        <x:v>NO</x:v>
      </x:c>
    </x:row>
    <x:row r="23" ht="88" customHeight="1">
      <x:c r="A23" s="3947" t="str">
        <x:v>GS-019</x:v>
      </x:c>
      <x:c r="B23" s="3947" t="str">
        <x:v>EJECUCIÓN</x:v>
      </x:c>
      <x:c r="C23" s="4661" t="str">
        <x:v>CLOSE</x:v>
      </x:c>
      <x:c r="D23" s="3947" t="str">
        <x:v>Cierre operativo con contrato pendiente</x:v>
      </x:c>
      <x:c r="E23" s="3947" t="str">
        <x:v>UE ejecutada; contexto contractual=PENDIENTE.</x:v>
      </x:c>
      <x:c r="F23" s="3947" t="str">
        <x:v>Operario cierra trabajo real.</x:v>
      </x:c>
      <x:c r="G23" s="3947" t="str">
        <x:v>UE/Parte pueden cerrar operacionalmente; derivación comercial queda bloqueada.</x:v>
      </x:c>
      <x:c r="H23" s="3947" t="str">
        <x:v>No obligar al campo a inventar CC/Item para cerrar.</x:v>
      </x:c>
      <x:c r="I23" s="3947" t="str">
        <x:v>RUL-033,RUL-034,RUL-038</x:v>
      </x:c>
      <x:c r="J23" s="3947" t="str">
        <x:v>UE, Parte, ImputacionEjecucion</x:v>
      </x:c>
      <x:c r="K23" s="3947" t="str">
        <x:v>UE→CERRADA; Parte→CERRADO_OPERATIVAMENTE</x:v>
      </x:c>
      <x:c r="L23" s="3947" t="str">
        <x:v>UX-08≈10 s / UX-09≈2 s</x:v>
      </x:c>
      <x:c r="M23" s="4661" t="str">
        <x:v>PASS</x:v>
      </x:c>
      <x:c r="N23" s="3947" t="str">
        <x:v>ESTRUCTURAL</x:v>
      </x:c>
      <x:c r="O23" s="4661" t="str">
        <x:v>NO</x:v>
      </x:c>
    </x:row>
    <x:row r="24" ht="88" customHeight="1">
      <x:c r="A24" s="3947" t="str">
        <x:v>GS-020</x:v>
      </x:c>
      <x:c r="B24" s="3947" t="str">
        <x:v>EJECUCIÓN</x:v>
      </x:c>
      <x:c r="C24" s="4663" t="str">
        <x:v>CORRECCIÓN</x:v>
      </x:c>
      <x:c r="D24" s="3947" t="str">
        <x:v>Error descubierto después del cierre</x:v>
      </x:c>
      <x:c r="E24" s="3947" t="str">
        <x:v>UE CERRADA registra 80 h, realidad era 8 h.</x:v>
      </x:c>
      <x:c r="F24" s="3947" t="str">
        <x:v>Supervisor descubre error.</x:v>
      </x:c>
      <x:c r="G24" s="3947" t="str">
        <x:v>Bloquear edición directa; crear EnmiendaOperativa/nueva versión efectiva.</x:v>
      </x:c>
      <x:c r="H24" s="3947" t="str">
        <x:v>No reabrir UE y sobrescribir 80.</x:v>
      </x:c>
      <x:c r="I24" s="3947" t="str">
        <x:v>RUL-035,RUL-073</x:v>
      </x:c>
      <x:c r="J24" s="3947" t="str">
        <x:v>UE, EnmiendaOperativa</x:v>
      </x:c>
      <x:c r="K24" s="3947" t="str">
        <x:v>UE histórica sigue CERRADA</x:v>
      </x:c>
      <x:c r="L24" s="3947" t="str">
        <x:v>back office</x:v>
      </x:c>
      <x:c r="M24" s="4661" t="str">
        <x:v>PASS</x:v>
      </x:c>
      <x:c r="N24" s="3947" t="str">
        <x:v>ESTRUCTURAL</x:v>
      </x:c>
      <x:c r="O24" s="4661" t="str">
        <x:v>NO</x:v>
      </x:c>
    </x:row>
    <x:row r="25" ht="88" customHeight="1">
      <x:c r="A25" s="3947" t="str">
        <x:v>GS-021</x:v>
      </x:c>
      <x:c r="B25" s="3947" t="str">
        <x:v>EMERGENTE</x:v>
      </x:c>
      <x:c r="C25" s="4663" t="str">
        <x:v>OFFLINE</x:v>
      </x:c>
      <x:c r="D25" s="3947" t="str">
        <x:v>Emergente con contrato desconocido autorizado</x:v>
      </x:c>
      <x:c r="E25" s="3947" t="str">
        <x:v>Trabajo urgente offline; persona/recurso/ubicación conocidos; contrato/CC/Item no resueltos; Habilita OK.</x:v>
      </x:c>
      <x:c r="F25" s="3947" t="str">
        <x:v>ReglaInicioEmergente permite con autorización válida.</x:v>
      </x:c>
      <x:c r="G25" s="3947" t="str">
        <x:v>Crear UE/Parte; estado contractual=PENDIENTE; iniciar; trazabilidad de autorización; commercial downstream bloqueado.</x:v>
      </x:c>
      <x:c r="H25" s="3947" t="str">
        <x:v>No inventar CC/Item ni bloquear la realidad por falta comercial.</x:v>
      </x:c>
      <x:c r="I25" s="3947" t="str">
        <x:v>RUL-036,RUL-037,RUL-038,RUL-074</x:v>
      </x:c>
      <x:c r="J25" s="3947" t="str">
        <x:v>UE, ImputacionEjecucion, DecisionTrace</x:v>
      </x:c>
      <x:c r="K25" s="3947" t="str">
        <x:v>PENDIENTE→EN_EJECUCION</x:v>
      </x:c>
      <x:c r="L25" s="3947" t="str">
        <x:v>UX-02 ≈48 s</x:v>
      </x:c>
      <x:c r="M25" s="4661" t="str">
        <x:v>PASS</x:v>
      </x:c>
      <x:c r="N25" s="3947" t="str">
        <x:v>ESTRUCTURAL</x:v>
      </x:c>
      <x:c r="O25" s="4661" t="str">
        <x:v>NO</x:v>
      </x:c>
    </x:row>
    <x:row r="26" ht="88" customHeight="1">
      <x:c r="A26" s="3947" t="str">
        <x:v>GS-022</x:v>
      </x:c>
      <x:c r="B26" s="3947" t="str">
        <x:v>EMERGENTE</x:v>
      </x:c>
      <x:c r="C26" s="4662" t="str">
        <x:v>ADVERSARIAL</x:v>
      </x:c>
      <x:c r="D26" s="3947" t="str">
        <x:v>Emergente con hard block Habilita</x:v>
      </x:c>
      <x:c r="E26" s="3947" t="str">
        <x:v>Trabajo urgente y supervisor dispuesto a autorizar; PTW requerido no vigente/requisito crítico falla.</x:v>
      </x:c>
      <x:c r="F26" s="3947" t="str">
        <x:v>Se intenta iniciar.</x:v>
      </x:c>
      <x:c r="G26" s="3947" t="str">
        <x:v>P1 Habilita BLOCK domina sobre autorización emergente/comercial.</x:v>
      </x:c>
      <x:c r="H26" s="3947" t="str">
        <x:v>No usar modo contingencia como bypass de Habilita.</x:v>
      </x:c>
      <x:c r="I26" s="3947" t="str">
        <x:v>RUL-022,RUL-039,RUL-042 + precedencia P1&gt;P6/P7</x:v>
      </x:c>
      <x:c r="J26" s="3947" t="str">
        <x:v>PTW, EvalHabilitacion, DecisionTrace</x:v>
      </x:c>
      <x:c r="K26" s="3947" t="str">
        <x:v>sin Start Work</x:v>
      </x:c>
      <x:c r="L26" s="3947" t="str">
        <x:v>bloqueado</x:v>
      </x:c>
      <x:c r="M26" s="4661" t="str">
        <x:v>PASS</x:v>
      </x:c>
      <x:c r="N26" s="3947" t="str">
        <x:v>ESTRUCTURAL</x:v>
      </x:c>
      <x:c r="O26" s="4661" t="str">
        <x:v>NO</x:v>
      </x:c>
    </x:row>
    <x:row r="27" ht="88" customHeight="1">
      <x:c r="A27" s="3947" t="str">
        <x:v>GS-023</x:v>
      </x:c>
      <x:c r="B27" s="3947" t="str">
        <x:v>EMERGENTE</x:v>
      </x:c>
      <x:c r="C27" s="4662" t="str">
        <x:v>ADVERSARIAL</x:v>
      </x:c>
      <x:c r="D27" s="3947" t="str">
        <x:v>Emergente sin autoridad válida</x:v>
      </x:c>
      <x:c r="E27" s="3947" t="str">
        <x:v>Contrato pendiente; Habilita OK; regla requiere PERMITIR_AUTORIZADO.</x:v>
      </x:c>
      <x:c r="F27" s="3947" t="str">
        <x:v>Operario intenta iniciar sin aprobación de rol autorizado.</x:v>
      </x:c>
      <x:c r="G27" s="3947" t="str">
        <x:v>Bloquear Start Work.</x:v>
      </x:c>
      <x:c r="H27" s="3947" t="str">
        <x:v>No convertir warning o necesidad en autorización.</x:v>
      </x:c>
      <x:c r="I27" s="3947" t="str">
        <x:v>RUL-037,RUL-041</x:v>
      </x:c>
      <x:c r="J27" s="3947" t="str">
        <x:v>ReglaInicioEmergente, DecisionTrace</x:v>
      </x:c>
      <x:c r="K27" s="3947" t="str">
        <x:v>sin cambio</x:v>
      </x:c>
      <x:c r="L27" s="3947" t="str">
        <x:v>bloqueado</x:v>
      </x:c>
      <x:c r="M27" s="4661" t="str">
        <x:v>PASS</x:v>
      </x:c>
      <x:c r="N27" s="3947" t="str">
        <x:v>ESTRUCTURAL</x:v>
      </x:c>
      <x:c r="O27" s="4661" t="str">
        <x:v>NO</x:v>
      </x:c>
    </x:row>
    <x:row r="28" ht="88" customHeight="1">
      <x:c r="A28" s="3947" t="str">
        <x:v>GS-024</x:v>
      </x:c>
      <x:c r="B28" s="3947" t="str">
        <x:v>OFFLINE</x:v>
      </x:c>
      <x:c r="C28" s="4662" t="str">
        <x:v>ADVERSARIAL</x:v>
      </x:c>
      <x:c r="D28" s="3947" t="str">
        <x:v>Bundle vencido antes de Start Work</x:v>
      </x:c>
      <x:c r="E28" s="3947" t="str">
        <x:v>Dispositivo offline con ExecutionContextBundle cuyo valid_until_at ya expiró.</x:v>
      </x:c>
      <x:c r="F28" s="3947" t="str">
        <x:v>Operario intenta iniciar.</x:v>
      </x:c>
      <x:c r="G28" s="3947" t="str">
        <x:v>No asumir contexto válido; reevaluar si existe política offline válida o bloquear/escalar.</x:v>
      </x:c>
      <x:c r="H28" s="3947" t="str">
        <x:v>No usar cache vieja como fuente maestra.</x:v>
      </x:c>
      <x:c r="I28" s="3947" t="str">
        <x:v>RUL-017 + invariant Bundle projection + P1/P2</x:v>
      </x:c>
      <x:c r="J28" s="3947" t="str">
        <x:v>ExecutionContextBundle, DecisionTrace</x:v>
      </x:c>
      <x:c r="K28" s="3947" t="str">
        <x:v>sin Start Work salvo regla explícita</x:v>
      </x:c>
      <x:c r="L28" s="3947" t="str">
        <x:v>bloqueado/config</x:v>
      </x:c>
      <x:c r="M28" s="4661" t="str">
        <x:v>PASS</x:v>
      </x:c>
      <x:c r="N28" s="3947" t="str">
        <x:v>ESTRUCTURAL</x:v>
      </x:c>
      <x:c r="O28" s="4661" t="str">
        <x:v>NO</x:v>
      </x:c>
    </x:row>
    <x:row r="29" ht="88" customHeight="1">
      <x:c r="A29" s="3947" t="str">
        <x:v>GS-025</x:v>
      </x:c>
      <x:c r="B29" s="3947" t="str">
        <x:v>OFFLINE</x:v>
      </x:c>
      <x:c r="C29" s="4661" t="str">
        <x:v>IDEMPOTENCIA</x:v>
      </x:c>
      <x:c r="D29" s="3947" t="str">
        <x:v>Retry duplica evento de inicio</x:v>
      </x:c>
      <x:c r="E29" s="3947" t="str">
        <x:v>Tablet envió START_WORK; servidor lo procesó, ACK se perdió.</x:v>
      </x:c>
      <x:c r="F29" s="3947" t="str">
        <x:v>Tablet reenvía mismo event/correlation key.</x:v>
      </x:c>
      <x:c r="G29" s="3947" t="str">
        <x:v>Misma decisión/side effect; no crear segundo Parte/UE ni segundo intervalo.</x:v>
      </x:c>
      <x:c r="H29" s="3947" t="str">
        <x:v>No duplicar hechos por retry.</x:v>
      </x:c>
      <x:c r="I29" s="3947" t="str">
        <x:v>RUL-074 + contrato idempotencia</x:v>
      </x:c>
      <x:c r="J29" s="3947" t="str">
        <x:v>DecisionTrace, Parte, UE</x:v>
      </x:c>
      <x:c r="K29" s="3947" t="str">
        <x:v>permanece EN_EJECUCION</x:v>
      </x:c>
      <x:c r="L29" s="3947" t="str">
        <x:v>0 s</x:v>
      </x:c>
      <x:c r="M29" s="4661" t="str">
        <x:v>PASS</x:v>
      </x:c>
      <x:c r="N29" s="3947" t="str">
        <x:v>ESTRUCTURAL</x:v>
      </x:c>
      <x:c r="O29" s="4661" t="str">
        <x:v>NO</x:v>
      </x:c>
    </x:row>
    <x:row r="30" ht="88" customHeight="1">
      <x:c r="A30" s="3947" t="str">
        <x:v>GS-026</x:v>
      </x:c>
      <x:c r="B30" s="3947" t="str">
        <x:v>CONTROL</x:v>
      </x:c>
      <x:c r="C30" s="4663" t="str">
        <x:v>OFFLINE</x:v>
      </x:c>
      <x:c r="D30" s="3947" t="str">
        <x:v>Directiva emitida todavía no recibida</x:v>
      </x:c>
      <x:c r="E30" s="3947" t="str">
        <x:v>Campo offline, Parte activo; supervisión emite SUSPENDER.</x:v>
      </x:c>
      <x:c r="F30" s="3947" t="str">
        <x:v>Directiva queda EMITIDA sin receipt.</x:v>
      </x:c>
      <x:c r="G30" s="3947" t="str">
        <x:v>No afirmar que trabajo ya está suspendido; mantener diferencia entre emitida/recibida/aplicada.</x:v>
      </x:c>
      <x:c r="H30" s="3947" t="str">
        <x:v>No marcar APLICADA por emisión.</x:v>
      </x:c>
      <x:c r="I30" s="3947" t="str">
        <x:v>RUL-054,RUL-055,RUL-057</x:v>
      </x:c>
      <x:c r="J30" s="3947" t="str">
        <x:v>DirectivaOperativa</x:v>
      </x:c>
      <x:c r="K30" s="3947" t="str">
        <x:v>—→EMITIDA</x:v>
      </x:c>
      <x:c r="L30" s="3947" t="str">
        <x:v>0 s</x:v>
      </x:c>
      <x:c r="M30" s="4661" t="str">
        <x:v>PASS</x:v>
      </x:c>
      <x:c r="N30" s="3947" t="str">
        <x:v>ESTRUCTURAL</x:v>
      </x:c>
      <x:c r="O30" s="4661" t="str">
        <x:v>NO</x:v>
      </x:c>
    </x:row>
    <x:row r="31" ht="88" customHeight="1">
      <x:c r="A31" s="3947" t="str">
        <x:v>GS-027</x:v>
      </x:c>
      <x:c r="B31" s="3947" t="str">
        <x:v>CONTROL</x:v>
      </x:c>
      <x:c r="C31" s="4662" t="str">
        <x:v>ADVERSARIAL</x:v>
      </x:c>
      <x:c r="D31" s="3947" t="str">
        <x:v>Directiva expirada llega tarde</x:v>
      </x:c>
      <x:c r="E31" s="3947" t="str">
        <x:v>Directiva EMITIDA/RECIBIDA supera valid_until antes de aplicarse.</x:v>
      </x:c>
      <x:c r="F31" s="3947" t="str">
        <x:v>Dispositivo intenta aplicarla.</x:v>
      </x:c>
      <x:c r="G31" s="3947" t="str">
        <x:v>Marcar EXPIRADA; bloquear efecto; requerir nueva directiva.</x:v>
      </x:c>
      <x:c r="H31" s="3947" t="str">
        <x:v>No ejecutar orden obsoleta.</x:v>
      </x:c>
      <x:c r="I31" s="3947" t="str">
        <x:v>RUL-058</x:v>
      </x:c>
      <x:c r="J31" s="3947" t="str">
        <x:v>DirectivaOperativa, DecisionTrace</x:v>
      </x:c>
      <x:c r="K31" s="3947" t="str">
        <x:v>EMITIDA/RECIBIDA→EXPIRADA</x:v>
      </x:c>
      <x:c r="L31" s="3947" t="str">
        <x:v>0 s</x:v>
      </x:c>
      <x:c r="M31" s="4661" t="str">
        <x:v>PASS</x:v>
      </x:c>
      <x:c r="N31" s="3947" t="str">
        <x:v>ESTRUCTURAL</x:v>
      </x:c>
      <x:c r="O31" s="4661" t="str">
        <x:v>NO</x:v>
      </x:c>
    </x:row>
    <x:row r="32" ht="88" customHeight="1">
      <x:c r="A32" s="3947" t="str">
        <x:v>GS-028</x:v>
      </x:c>
      <x:c r="B32" s="3947" t="str">
        <x:v>HABILITA</x:v>
      </x:c>
      <x:c r="C32" s="4661" t="str">
        <x:v>HAPPY PATH</x:v>
      </x:c>
      <x:c r="D32" s="3947" t="str">
        <x:v>PTW completo y activado</x:v>
      </x:c>
      <x:c r="E32" s="3947" t="str">
        <x:v>Permiso BORRADOR con requisitos y mediciones completas.</x:v>
      </x:c>
      <x:c r="F32" s="3947" t="str">
        <x:v>Se aprueba y contexto real coincide.</x:v>
      </x:c>
      <x:c r="G32" s="3947" t="str">
        <x:v>PENDIENTE_APROBACION→APROBADO→VIGENTE; Start Work queda habilitable.</x:v>
      </x:c>
      <x:c r="H32" s="3947" t="str">
        <x:v>No asumir APROBADO=VIGENTE.</x:v>
      </x:c>
      <x:c r="I32" s="3947" t="str">
        <x:v>RUL-042,RUL-043</x:v>
      </x:c>
      <x:c r="J32" s="3947" t="str">
        <x:v>PermisoTrabajo, EvalHabilitacion</x:v>
      </x:c>
      <x:c r="K32" s="3947" t="str">
        <x:v>BORRADOR→PENDIENTE→APROBADO→VIGENTE</x:v>
      </x:c>
      <x:c r="L32" s="3947" t="str">
        <x:v>UX-13 ≤120 s</x:v>
      </x:c>
      <x:c r="M32" s="4661" t="str">
        <x:v>PASS</x:v>
      </x:c>
      <x:c r="N32" s="3947" t="str">
        <x:v>ESTRUCTURAL</x:v>
      </x:c>
      <x:c r="O32" s="4661" t="str">
        <x:v>NO</x:v>
      </x:c>
    </x:row>
    <x:row r="33" ht="88" customHeight="1">
      <x:c r="A33" s="3947" t="str">
        <x:v>GS-029</x:v>
      </x:c>
      <x:c r="B33" s="3947" t="str">
        <x:v>HABILITA</x:v>
      </x:c>
      <x:c r="C33" s="4662" t="str">
        <x:v>ADVERSARIAL</x:v>
      </x:c>
      <x:c r="D33" s="3947" t="str">
        <x:v>PTW vence durante el trabajo</x:v>
      </x:c>
      <x:c r="E33" s="3947" t="str">
        <x:v>UE activa cubierta por PTW VIGENTE.</x:v>
      </x:c>
      <x:c r="F33" s="3947" t="str">
        <x:v>Se alcanza valid_until.</x:v>
      </x:c>
      <x:c r="G33" s="3947" t="str">
        <x:v>PTW→VENCIDO; bloquear nuevos Start/Restart; disparar alerta/suspensión según regla.</x:v>
      </x:c>
      <x:c r="H33" s="3947" t="str">
        <x:v>No autocerrar PTW ni seguir como si siguiera vigente.</x:v>
      </x:c>
      <x:c r="I33" s="3947" t="str">
        <x:v>RUL-045,RUL-044</x:v>
      </x:c>
      <x:c r="J33" s="3947" t="str">
        <x:v>PermisoTrabajo, DirectivaOperativa</x:v>
      </x:c>
      <x:c r="K33" s="3947" t="str">
        <x:v>VIGENTE→VENCIDO; UE puede suspender</x:v>
      </x:c>
      <x:c r="L33" s="3947" t="str">
        <x:v>automático</x:v>
      </x:c>
      <x:c r="M33" s="4661" t="str">
        <x:v>PASS</x:v>
      </x:c>
      <x:c r="N33" s="3947" t="str">
        <x:v>ESTRUCTURAL</x:v>
      </x:c>
      <x:c r="O33" s="4661" t="str">
        <x:v>NO</x:v>
      </x:c>
    </x:row>
    <x:row r="34" ht="88" customHeight="1">
      <x:c r="A34" s="3947" t="str">
        <x:v>GS-030</x:v>
      </x:c>
      <x:c r="B34" s="3947" t="str">
        <x:v>HABILITA</x:v>
      </x:c>
      <x:c r="C34" s="4662" t="str">
        <x:v>ADVERSARIAL</x:v>
      </x:c>
      <x:c r="D34" s="3947" t="str">
        <x:v>Timeout de PTW no es cierre</x:v>
      </x:c>
      <x:c r="E34" s="3947" t="str">
        <x:v>PTW VENCIDO no cerrado formalmente.</x:v>
      </x:c>
      <x:c r="F34" s="3947" t="str">
        <x:v>Sistema procesa job de timeout.</x:v>
      </x:c>
      <x:c r="G34" s="3947" t="str">
        <x:v>Permanece VENCIDO hasta cierre autorizado/administrativo.</x:v>
      </x:c>
      <x:c r="H34" s="3947" t="str">
        <x:v>No pasar a CERRADO por reloj.</x:v>
      </x:c>
      <x:c r="I34" s="3947" t="str">
        <x:v>RUL-045,RUL-046</x:v>
      </x:c>
      <x:c r="J34" s="3947" t="str">
        <x:v>PermisoTrabajo</x:v>
      </x:c>
      <x:c r="K34" s="3947" t="str">
        <x:v>VENCIDO permanece</x:v>
      </x:c>
      <x:c r="L34" s="3947" t="str">
        <x:v>0 s</x:v>
      </x:c>
      <x:c r="M34" s="4661" t="str">
        <x:v>PASS</x:v>
      </x:c>
      <x:c r="N34" s="3947" t="str">
        <x:v>ESTRUCTURAL</x:v>
      </x:c>
      <x:c r="O34" s="4661" t="str">
        <x:v>NO</x:v>
      </x:c>
    </x:row>
    <x:row r="35" ht="88" customHeight="1">
      <x:c r="A35" s="3947" t="str">
        <x:v>GS-031</x:v>
      </x:c>
      <x:c r="B35" s="3947" t="str">
        <x:v>HABILITA</x:v>
      </x:c>
      <x:c r="C35" s="4661" t="str">
        <x:v>HAPPY PATH</x:v>
      </x:c>
      <x:c r="D35" s="3947" t="str">
        <x:v>Flash Report controlado sin caso</x:v>
      </x:c>
      <x:c r="E35" s="3947" t="str">
        <x:v>Evento reportable, situación controlada, contexto activo disponible.</x:v>
      </x:c>
      <x:c r="F35" s="3947" t="str">
        <x:v>Operario reporta categoría + descripción breve + controlada=Sí.</x:v>
      </x:c>
      <x:c r="G35" s="3947" t="str">
        <x:v>Evento REPORTADO→EN_TRIAGE→CLASIFICADO→CERRADO_SIN_CASO si regla no exige caso.</x:v>
      </x:c>
      <x:c r="H35" s="3947" t="str">
        <x:v>No pedir causa raíz al operario.</x:v>
      </x:c>
      <x:c r="I35" s="3947" t="str">
        <x:v>RUL-047,RUL-048,RUL-049,RUL-050</x:v>
      </x:c>
      <x:c r="J35" s="3947" t="str">
        <x:v>EventoHabilita, EvalEscalamiento</x:v>
      </x:c>
      <x:c r="K35" s="3947" t="str">
        <x:v>REPORTADO→EN_TRIAGE→CLASIFICADO→CERRADO_SIN_CASO</x:v>
      </x:c>
      <x:c r="L35" s="3947" t="str">
        <x:v>UX-12 ≈54 s</x:v>
      </x:c>
      <x:c r="M35" s="4661" t="str">
        <x:v>PASS</x:v>
      </x:c>
      <x:c r="N35" s="3947" t="str">
        <x:v>ESTRUCTURAL</x:v>
      </x:c>
      <x:c r="O35" s="4661" t="str">
        <x:v>NO</x:v>
      </x:c>
    </x:row>
    <x:row r="36" ht="88" customHeight="1">
      <x:c r="A36" s="3947" t="str">
        <x:v>GS-032</x:v>
      </x:c>
      <x:c r="B36" s="3947" t="str">
        <x:v>HABILITA</x:v>
      </x:c>
      <x:c r="C36" s="4662" t="str">
        <x:v>ADVERSARIAL</x:v>
      </x:c>
      <x:c r="D36" s="3947" t="str">
        <x:v>Evento no controlado</x:v>
      </x:c>
      <x:c r="E36" s="3947" t="str">
        <x:v>Flash Report con situación_controlada=NO.</x:v>
      </x:c>
      <x:c r="F36" s="3947" t="str">
        <x:v>Se registra reporte.</x:v>
      </x:c>
      <x:c r="G36" s="3947" t="str">
        <x:v>Default conservador: suspender trabajo afectado/escalar triage; crear Caso si regla lo exige.</x:v>
      </x:c>
      <x:c r="H36" s="3947" t="str">
        <x:v>No seguir happy path por defecto.</x:v>
      </x:c>
      <x:c r="I36" s="3947" t="str">
        <x:v>RUL-051,RUL-050,RUL-052</x:v>
      </x:c>
      <x:c r="J36" s="3947" t="str">
        <x:v>EventoHabilita, Directiva, CasoHabilita</x:v>
      </x:c>
      <x:c r="K36" s="3947" t="str">
        <x:v>REPORTADO→...→ESCALADO_A_CASO</x:v>
      </x:c>
      <x:c r="L36" s="3947" t="str">
        <x:v>≤120 s</x:v>
      </x:c>
      <x:c r="M36" s="4661" t="str">
        <x:v>PASS</x:v>
      </x:c>
      <x:c r="N36" s="3947" t="str">
        <x:v>ESTRUCTURAL</x:v>
      </x:c>
      <x:c r="O36" s="4661" t="str">
        <x:v>NO</x:v>
      </x:c>
    </x:row>
    <x:row r="37" ht="88" customHeight="1">
      <x:c r="A37" s="3947" t="str">
        <x:v>GS-033</x:v>
      </x:c>
      <x:c r="B37" s="3947" t="str">
        <x:v>HABILITA</x:v>
      </x:c>
      <x:c r="C37" s="4663" t="str">
        <x:v>BOUNDARY</x:v>
      </x:c>
      <x:c r="D37" s="3947" t="str">
        <x:v>Evento standalone sin Parte</x:v>
      </x:c>
      <x:c r="E37" s="3947" t="str">
        <x:v>Se detecta condición/evento fuera de ejecución activa.</x:v>
      </x:c>
      <x:c r="F37" s="3947" t="str">
        <x:v>Persona genera Flash Report.</x:v>
      </x:c>
      <x:c r="G37" s="3947" t="str">
        <x:v>Crear EventoHabilita válido sin Parte/UE; contexto opcional.</x:v>
      </x:c>
      <x:c r="H37" s="3947" t="str">
        <x:v>No forzar Parte ficticio para registrar Habilita.</x:v>
      </x:c>
      <x:c r="I37" s="3947" t="str">
        <x:v>RUL-047 + ERD EventoHabilita standalone</x:v>
      </x:c>
      <x:c r="J37" s="3947" t="str">
        <x:v>EventoHabilita</x:v>
      </x:c>
      <x:c r="K37" s="3947" t="str">
        <x:v>—→REPORTADO</x:v>
      </x:c>
      <x:c r="L37" s="3947" t="str">
        <x:v>≤120 s</x:v>
      </x:c>
      <x:c r="M37" s="4661" t="str">
        <x:v>PASS</x:v>
      </x:c>
      <x:c r="N37" s="3947" t="str">
        <x:v>ESTRUCTURAL</x:v>
      </x:c>
      <x:c r="O37" s="4661" t="str">
        <x:v>NO</x:v>
      </x:c>
    </x:row>
    <x:row r="38" ht="88" customHeight="1">
      <x:c r="A38" s="3947" t="str">
        <x:v>GS-034</x:v>
      </x:c>
      <x:c r="B38" s="3947" t="str">
        <x:v>HABILITA</x:v>
      </x:c>
      <x:c r="C38" s="4661" t="str">
        <x:v>RELACIONAL</x:v>
      </x:c>
      <x:c r="D38" s="3947" t="str">
        <x:v>Evento afecta múltiples UE</x:v>
      </x:c>
      <x:c r="E38" s="3947" t="str">
        <x:v>Un hecho impacta dos operaciones/UE simultáneamente.</x:v>
      </x:c>
      <x:c r="F38" s="3947" t="str">
        <x:v>Habilita vincula ambas.</x:v>
      </x:c>
      <x:c r="G38" s="3947" t="str">
        <x:v>Un EventoHabilita con N vínculos UE; identidad del evento única.</x:v>
      </x:c>
      <x:c r="H38" s="3947" t="str">
        <x:v>No duplicar evento por cada UE.</x:v>
      </x:c>
      <x:c r="I38" s="3947" t="str">
        <x:v>ERD R-052 + Habilita core</x:v>
      </x:c>
      <x:c r="J38" s="3947" t="str">
        <x:v>EventoHabilitaUnidadEjecucion</x:v>
      </x:c>
      <x:c r="K38" s="3947" t="str">
        <x:v>sin cambio de lifecycle</x:v>
      </x:c>
      <x:c r="L38" s="3947" t="str">
        <x:v>back office</x:v>
      </x:c>
      <x:c r="M38" s="4661" t="str">
        <x:v>PASS</x:v>
      </x:c>
      <x:c r="N38" s="3947" t="str">
        <x:v>ESTRUCTURAL</x:v>
      </x:c>
      <x:c r="O38" s="4661" t="str">
        <x:v>NO</x:v>
      </x:c>
    </x:row>
    <x:row r="39" ht="88" customHeight="1">
      <x:c r="A39" s="3947" t="str">
        <x:v>GS-035</x:v>
      </x:c>
      <x:c r="B39" s="3947" t="str">
        <x:v>HABILITA</x:v>
      </x:c>
      <x:c r="C39" s="4661" t="str">
        <x:v>LIFECYCLE</x:v>
      </x:c>
      <x:c r="D39" s="3947" t="str">
        <x:v>Investigación finaliza con acciones abiertas</x:v>
      </x:c>
      <x:c r="E39" s="3947" t="str">
        <x:v>Caso EN_INVESTIGACION; investigación terminada; se definieron acciones.</x:v>
      </x:c>
      <x:c r="F39" s="3947" t="str">
        <x:v>Habilita finaliza investigación.</x:v>
      </x:c>
      <x:c r="G39" s="3947" t="str">
        <x:v>Caso→SEGUIMIENTO_ACCIONES; acciones continúan su lifecycle independiente.</x:v>
      </x:c>
      <x:c r="H39" s="3947" t="str">
        <x:v>No cerrar todas las acciones por cerrar investigación.</x:v>
      </x:c>
      <x:c r="I39" s="3947" t="str">
        <x:v>State Machine CasoHabilita + RUL-053</x:v>
      </x:c>
      <x:c r="J39" s="3947" t="str">
        <x:v>CasoHabilita, AccionCorrectivaHabilita</x:v>
      </x:c>
      <x:c r="K39" s="3947" t="str">
        <x:v>EN_INVESTIGACION→SEGUIMIENTO_ACCIONES</x:v>
      </x:c>
      <x:c r="L39" s="3947" t="str">
        <x:v>back office</x:v>
      </x:c>
      <x:c r="M39" s="4661" t="str">
        <x:v>PASS</x:v>
      </x:c>
      <x:c r="N39" s="3947" t="str">
        <x:v>ESTRUCTURAL</x:v>
      </x:c>
      <x:c r="O39" s="4661" t="str">
        <x:v>NO</x:v>
      </x:c>
    </x:row>
    <x:row r="40" ht="88" customHeight="1">
      <x:c r="A40" s="3947" t="str">
        <x:v>GS-036</x:v>
      </x:c>
      <x:c r="B40" s="3947" t="str">
        <x:v>HABILITA</x:v>
      </x:c>
      <x:c r="C40" s="4662" t="str">
        <x:v>ADVERSARIAL</x:v>
      </x:c>
      <x:c r="D40" s="3947" t="str">
        <x:v>Acción crítica bloquea cierre de Caso</x:v>
      </x:c>
      <x:c r="E40" s="3947" t="str">
        <x:v>Caso en seguimiento; una acción marcada bloqueante aún no verificada.</x:v>
      </x:c>
      <x:c r="F40" s="3947" t="str">
        <x:v>Se intenta cerrar caso.</x:v>
      </x:c>
      <x:c r="G40" s="3947" t="str">
        <x:v>Cierre bloqueado hasta verificación o cambio autorizado de política.</x:v>
      </x:c>
      <x:c r="H40" s="3947" t="str">
        <x:v>No cerrar por conveniencia administrativa.</x:v>
      </x:c>
      <x:c r="I40" s="3947" t="str">
        <x:v>RUL-053</x:v>
      </x:c>
      <x:c r="J40" s="3947" t="str">
        <x:v>CasoHabilita, AccionCorrectivaHabilita</x:v>
      </x:c>
      <x:c r="K40" s="3947" t="str">
        <x:v>permanece SEGUIMIENTO_ACCIONES</x:v>
      </x:c>
      <x:c r="L40" s="3947" t="str">
        <x:v>back office</x:v>
      </x:c>
      <x:c r="M40" s="4661" t="str">
        <x:v>PASS</x:v>
      </x:c>
      <x:c r="N40" s="3947" t="str">
        <x:v>ESTRUCTURAL</x:v>
      </x:c>
      <x:c r="O40" s="4661" t="str">
        <x:v>NO</x:v>
      </x:c>
    </x:row>
    <x:row r="41" ht="88" customHeight="1">
      <x:c r="A41" s="3947" t="str">
        <x:v>GS-037</x:v>
      </x:c>
      <x:c r="B41" s="3947" t="str">
        <x:v>HABILITA</x:v>
      </x:c>
      <x:c r="C41" s="4661" t="str">
        <x:v>IDEMPOTENCIA</x:v>
      </x:c>
      <x:c r="D41" s="3947" t="str">
        <x:v>Reporte duplicado por retry/offline</x:v>
      </x:c>
      <x:c r="E41" s="3947" t="str">
        <x:v>Mismo Flash Report se reenvía tras perder ACK.</x:v>
      </x:c>
      <x:c r="F41" s="3947" t="str">
        <x:v>Servidor recibe correlation key repetida.</x:v>
      </x:c>
      <x:c r="G41" s="3947" t="str">
        <x:v>No crear segundo EventoHabilita; reutilizar/relacionar DecisionTrace.</x:v>
      </x:c>
      <x:c r="H41" s="3947" t="str">
        <x:v>No duplicar incidentes por sincronización.</x:v>
      </x:c>
      <x:c r="I41" s="3947" t="str">
        <x:v>RUL-074 + idempotencia</x:v>
      </x:c>
      <x:c r="J41" s="3947" t="str">
        <x:v>EventoHabilita, DecisionTrace</x:v>
      </x:c>
      <x:c r="K41" s="3947" t="str">
        <x:v>sin duplicado</x:v>
      </x:c>
      <x:c r="L41" s="3947" t="str">
        <x:v>0 s</x:v>
      </x:c>
      <x:c r="M41" s="4661" t="str">
        <x:v>PASS</x:v>
      </x:c>
      <x:c r="N41" s="3947" t="str">
        <x:v>ESTRUCTURAL</x:v>
      </x:c>
      <x:c r="O41" s="4661" t="str">
        <x:v>NO</x:v>
      </x:c>
    </x:row>
    <x:row r="42" ht="88" customHeight="1">
      <x:c r="A42" s="3947" t="str">
        <x:v>GS-038</x:v>
      </x:c>
      <x:c r="B42" s="3947" t="str">
        <x:v>TP-02</x:v>
      </x:c>
      <x:c r="C42" s="4661" t="str">
        <x:v>HAPPY PATH</x:v>
      </x:c>
      <x:c r="D42" s="3947" t="str">
        <x:v>Movimiento planificado</x:v>
      </x:c>
      <x:c r="E42" s="3947" t="str">
        <x:v>TP-02 con origen/destino/recurso/chofer/carga prevista.</x:v>
      </x:c>
      <x:c r="F42" s="3947" t="str">
        <x:v>Operario confirma contexto y realiza movimiento.</x:v>
      </x:c>
      <x:c r="G42" s="3947" t="str">
        <x:v>Registrar movimiento/UE, timestamps, ubicaciones, carga real; cierre rápido.</x:v>
      </x:c>
      <x:c r="H42" s="3947" t="str">
        <x:v>No recargar identidad/cliente/recurso desde cero.</x:v>
      </x:c>
      <x:c r="I42" s="3947" t="str">
        <x:v>RUL-023,RUL-024,RUL-031,RUL-032,RUL-033</x:v>
      </x:c>
      <x:c r="J42" s="3947" t="str">
        <x:v>Parte TP-02, UE, Ubicacion, Medicion</x:v>
      </x:c>
      <x:c r="K42" s="3947" t="str">
        <x:v>PENDIENTE→EN_EJECUCION→CERRADA</x:v>
      </x:c>
      <x:c r="L42" s="3947" t="str">
        <x:v>UX-10 ≈17 s</x:v>
      </x:c>
      <x:c r="M42" s="4661" t="str">
        <x:v>PASS</x:v>
      </x:c>
      <x:c r="N42" s="3947" t="str">
        <x:v>ESTRUCTURAL</x:v>
      </x:c>
      <x:c r="O42" s="4661" t="str">
        <x:v>NO</x:v>
      </x:c>
    </x:row>
    <x:row r="43" ht="88" customHeight="1">
      <x:c r="A43" s="3947" t="str">
        <x:v>GS-039</x:v>
      </x:c>
      <x:c r="B43" s="3947" t="str">
        <x:v>TP-02</x:v>
      </x:c>
      <x:c r="C43" s="4663" t="str">
        <x:v>DEVIATION</x:v>
      </x:c>
      <x:c r="D43" s="3947" t="str">
        <x:v>Destino real difiere del plan</x:v>
      </x:c>
      <x:c r="E43" s="3947" t="str">
        <x:v>Movimiento activo con destino previsto A.</x:v>
      </x:c>
      <x:c r="F43" s="3947" t="str">
        <x:v>Por directiva/operación termina en B.</x:v>
      </x:c>
      <x:c r="G43" s="3947" t="str">
        <x:v>Registrar ubicación B como realidad + EventoOperativo/Directiva si aplica; plan permanece histórico.</x:v>
      </x:c>
      <x:c r="H43" s="3947" t="str">
        <x:v>No editar destino planificado para que coincida.</x:v>
      </x:c>
      <x:c r="I43" s="3947" t="str">
        <x:v>RUL-020,RUL-031,RUL-054</x:v>
      </x:c>
      <x:c r="J43" s="3947" t="str">
        <x:v>UnidadPlanificada, UE, EjecucionUbicacion</x:v>
      </x:c>
      <x:c r="K43" s="3947" t="str">
        <x:v>UE cierra con realidad B</x:v>
      </x:c>
      <x:c r="L43" s="3947" t="str">
        <x:v>≤45 s</x:v>
      </x:c>
      <x:c r="M43" s="4661" t="str">
        <x:v>PASS</x:v>
      </x:c>
      <x:c r="N43" s="3947" t="str">
        <x:v>ESTRUCTURAL</x:v>
      </x:c>
      <x:c r="O43" s="4661" t="str">
        <x:v>NO</x:v>
      </x:c>
    </x:row>
    <x:row r="44" ht="88" customHeight="1">
      <x:c r="A44" s="3947" t="str">
        <x:v>GS-040</x:v>
      </x:c>
      <x:c r="B44" s="3947" t="str">
        <x:v>TP-03</x:v>
      </x:c>
      <x:c r="C44" s="4661" t="str">
        <x:v>HAPPY PATH</x:v>
      </x:c>
      <x:c r="D44" s="3947" t="str">
        <x:v>Cierre diario de cuadrilla</x:v>
      </x:c>
      <x:c r="E44" s="3947" t="str">
        <x:v>Durante turno se acumularon UE, personas, recursos y EventosTiempo.</x:v>
      </x:c>
      <x:c r="F44" s="3947" t="str">
        <x:v>Supervisor/operario cierra TP-03.</x:v>
      </x:c>
      <x:c r="G44" s="3947" t="str">
        <x:v>Roster/horas/trabajos se derivan; humano solo confirma/novedad excepcional.</x:v>
      </x:c>
      <x:c r="H44" s="3947" t="str">
        <x:v>No reconstruir el día manualmente.</x:v>
      </x:c>
      <x:c r="I44" s="3947" t="str">
        <x:v>RUL-025,RUL-026,RUL-028,RUL-034</x:v>
      </x:c>
      <x:c r="J44" s="3947" t="str">
        <x:v>Parte TP-03, UE, asignaciones, tiempos</x:v>
      </x:c>
      <x:c r="K44" s="3947" t="str">
        <x:v>Parte→CERRADO_OPERATIVAMENTE</x:v>
      </x:c>
      <x:c r="L44" s="3947" t="str">
        <x:v>UX-11 ≈23 s</x:v>
      </x:c>
      <x:c r="M44" s="4661" t="str">
        <x:v>PASS</x:v>
      </x:c>
      <x:c r="N44" s="3947" t="str">
        <x:v>ESTRUCTURAL</x:v>
      </x:c>
      <x:c r="O44" s="4661" t="str">
        <x:v>NO</x:v>
      </x:c>
    </x:row>
    <x:row r="45" ht="88" customHeight="1">
      <x:c r="A45" s="3947" t="str">
        <x:v>GS-041</x:v>
      </x:c>
      <x:c r="B45" s="3947" t="str">
        <x:v>CERTIFICACIÓN</x:v>
      </x:c>
      <x:c r="C45" s="4661" t="str">
        <x:v>LINEAGE</x:v>
      </x:c>
      <x:c r="D45" s="3947" t="str">
        <x:v>N ejecuciones consolidan 1 UC</x:v>
      </x:c>
      <x:c r="E45" s="3947" t="str">
        <x:v>Varias UE cerradas pertenecen al mismo grano comercial mensual/período.</x:v>
      </x:c>
      <x:c r="F45" s="3947" t="str">
        <x:v>Motor aplica ReglaGranoUC.</x:v>
      </x:c>
      <x:c r="G45" s="3947" t="str">
        <x:v>Crear una UC con N UnidadComercialFuenteEjecucion y versiones exactas.</x:v>
      </x:c>
      <x:c r="H45" s="3947" t="str">
        <x:v>No perder qué ejecuciones alimentaron la UC.</x:v>
      </x:c>
      <x:c r="I45" s="3947" t="str">
        <x:v>RUL-059,RUL-074</x:v>
      </x:c>
      <x:c r="J45" s="3947" t="str">
        <x:v>UC, UnidadComercialFuenteEjecucion</x:v>
      </x:c>
      <x:c r="K45" s="3947" t="str">
        <x:v>—→INCOMPLETA/ELEGIBLE</x:v>
      </x:c>
      <x:c r="L45" s="3947" t="str">
        <x:v>0 s campo</x:v>
      </x:c>
      <x:c r="M45" s="4661" t="str">
        <x:v>PASS</x:v>
      </x:c>
      <x:c r="N45" s="3947" t="str">
        <x:v>ESTRUCTURAL</x:v>
      </x:c>
      <x:c r="O45" s="4661" t="str">
        <x:v>NO</x:v>
      </x:c>
    </x:row>
    <x:row r="46" ht="88" customHeight="1">
      <x:c r="A46" s="3947" t="str">
        <x:v>GS-042</x:v>
      </x:c>
      <x:c r="B46" s="3947" t="str">
        <x:v>CERTIFICACIÓN</x:v>
      </x:c>
      <x:c r="C46" s="4661" t="str">
        <x:v>LINEAGE</x:v>
      </x:c>
      <x:c r="D46" s="3947" t="str">
        <x:v>Una UE genera múltiples UC</x:v>
      </x:c>
      <x:c r="E46" s="3947" t="str">
        <x:v>Una UE contiene imputaciones/items distintos válidos.</x:v>
      </x:c>
      <x:c r="F46" s="3947" t="str">
        <x:v>Motor aplica grano/item.</x:v>
      </x:c>
      <x:c r="G46" s="3947" t="str">
        <x:v>Crear múltiples UC con lineage a la misma UE/imputaciones correspondientes.</x:v>
      </x:c>
      <x:c r="H46" s="3947" t="str">
        <x:v>No forzar 1 UE=1 UC.</x:v>
      </x:c>
      <x:c r="I46" s="3947" t="str">
        <x:v>RUL-059,RUL-061</x:v>
      </x:c>
      <x:c r="J46" s="3947" t="str">
        <x:v>UE, ImputacionEjecucion, UC source bridge</x:v>
      </x:c>
      <x:c r="K46" s="3947" t="str">
        <x:v>varias UC creadas</x:v>
      </x:c>
      <x:c r="L46" s="3947" t="str">
        <x:v>0 s campo</x:v>
      </x:c>
      <x:c r="M46" s="4661" t="str">
        <x:v>PASS</x:v>
      </x:c>
      <x:c r="N46" s="3947" t="str">
        <x:v>ESTRUCTURAL</x:v>
      </x:c>
      <x:c r="O46" s="4661" t="str">
        <x:v>NO</x:v>
      </x:c>
    </x:row>
    <x:row r="47" ht="88" customHeight="1">
      <x:c r="A47" s="3947" t="str">
        <x:v>GS-043</x:v>
      </x:c>
      <x:c r="B47" s="3947" t="str">
        <x:v>CERTIFICACIÓN</x:v>
      </x:c>
      <x:c r="C47" s="4661" t="str">
        <x:v>CONTRATO</x:v>
      </x:c>
      <x:c r="D47" s="3947" t="str">
        <x:v>Standby registrado pero no certificable</x:v>
      </x:c>
      <x:c r="E47" s="3947" t="str">
        <x:v>EventoTiempo STANDBY existe en ejecución.</x:v>
      </x:c>
      <x:c r="F47" s="3947" t="str">
        <x:v>ReglaTratamientoTiempo indica no certificable o mapea a otro item.</x:v>
      </x:c>
      <x:c r="G47" s="3947" t="str">
        <x:v>Mantener standby operacional intacto; derivar cantidad comercial según regla.</x:v>
      </x:c>
      <x:c r="H47" s="3947" t="str">
        <x:v>No borrar/cambiar categoría de tiempo para cobrar.</x:v>
      </x:c>
      <x:c r="I47" s="3947" t="str">
        <x:v>RUL-060</x:v>
      </x:c>
      <x:c r="J47" s="3947" t="str">
        <x:v>EventoTiempo, ReglaTratamientoTiempo, UC</x:v>
      </x:c>
      <x:c r="K47" s="3947" t="str">
        <x:v>sin cambio ejecución</x:v>
      </x:c>
      <x:c r="L47" s="3947" t="str">
        <x:v>0 s campo</x:v>
      </x:c>
      <x:c r="M47" s="4661" t="str">
        <x:v>PASS</x:v>
      </x:c>
      <x:c r="N47" s="3947" t="str">
        <x:v>ESTRUCTURAL</x:v>
      </x:c>
      <x:c r="O47" s="4661" t="str">
        <x:v>NO</x:v>
      </x:c>
    </x:row>
    <x:row r="48" ht="88" customHeight="1">
      <x:c r="A48" s="3947" t="str">
        <x:v>GS-044</x:v>
      </x:c>
      <x:c r="B48" s="3947" t="str">
        <x:v>CERTIFICACIÓN</x:v>
      </x:c>
      <x:c r="C48" s="4661" t="str">
        <x:v>OBSERVATION</x:v>
      </x:c>
      <x:c r="D48" s="3947" t="str">
        <x:v>Cliente observa UC</x:v>
      </x:c>
      <x:c r="E48" s="3947" t="str">
        <x:v>UC EN_REVISION.</x:v>
      </x:c>
      <x:c r="F48" s="3947" t="str">
        <x:v>Cliente/certificador observa evidencia/cantidad comercial.</x:v>
      </x:c>
      <x:c r="G48" s="3947" t="str">
        <x:v>UC→OBSERVADA + ObservacionCertificacion; ejecución permanece intacta.</x:v>
      </x:c>
      <x:c r="H48" s="3947" t="str">
        <x:v>No editar Parte/UE para hacer coincidir criterio comercial.</x:v>
      </x:c>
      <x:c r="I48" s="3947" t="str">
        <x:v>RUL-063,RUL-064</x:v>
      </x:c>
      <x:c r="J48" s="3947" t="str">
        <x:v>UC, ObservacionCertificacion, AjusteCertificacion</x:v>
      </x:c>
      <x:c r="K48" s="3947" t="str">
        <x:v>EN_REVISION→OBSERVADA</x:v>
      </x:c>
      <x:c r="L48" s="3947" t="str">
        <x:v>0 s campo</x:v>
      </x:c>
      <x:c r="M48" s="4661" t="str">
        <x:v>PASS</x:v>
      </x:c>
      <x:c r="N48" s="3947" t="str">
        <x:v>ESTRUCTURAL</x:v>
      </x:c>
      <x:c r="O48" s="4661" t="str">
        <x:v>NO</x:v>
      </x:c>
    </x:row>
    <x:row r="49" ht="88" customHeight="1">
      <x:c r="A49" s="3947" t="str">
        <x:v>GS-045</x:v>
      </x:c>
      <x:c r="B49" s="3947" t="str">
        <x:v>CERTIFICACIÓN</x:v>
      </x:c>
      <x:c r="C49" s="4663" t="str">
        <x:v>PARTIAL</x:v>
      </x:c>
      <x:c r="D49" s="3947" t="str">
        <x:v>Aceptación parcial permitida</x:v>
      </x:c>
      <x:c r="E49" s="3947" t="str">
        <x:v>Paquete EN_REVISION y ReglaParcialidad permite subset.</x:v>
      </x:c>
      <x:c r="F49" s="3947" t="str">
        <x:v>Cliente acepta algunas UC.</x:v>
      </x:c>
      <x:c r="G49" s="3947" t="str">
        <x:v>Paquete→ACEPTADO_PARCIAL con subset explícito/versionado.</x:v>
      </x:c>
      <x:c r="H49" s="3947" t="str">
        <x:v>No asumir aceptación de todas las UC.</x:v>
      </x:c>
      <x:c r="I49" s="3947" t="str">
        <x:v>RUL-068</x:v>
      </x:c>
      <x:c r="J49" s="3947" t="str">
        <x:v>PaqueteCertificacion, bridge UC, Conformidad</x:v>
      </x:c>
      <x:c r="K49" s="3947" t="str">
        <x:v>EN_REVISION→ACEPTADO_PARCIAL</x:v>
      </x:c>
      <x:c r="L49" s="3947" t="str">
        <x:v>0 s campo</x:v>
      </x:c>
      <x:c r="M49" s="4661" t="str">
        <x:v>PASS</x:v>
      </x:c>
      <x:c r="N49" s="3947" t="str">
        <x:v>ESTRUCTURAL</x:v>
      </x:c>
      <x:c r="O49" s="4661" t="str">
        <x:v>NO</x:v>
      </x:c>
    </x:row>
    <x:row r="50" ht="88" customHeight="1">
      <x:c r="A50" s="3947" t="str">
        <x:v>GS-046</x:v>
      </x:c>
      <x:c r="B50" s="3947" t="str">
        <x:v>CERTIFICACIÓN</x:v>
      </x:c>
      <x:c r="C50" s="4662" t="str">
        <x:v>ADVERSARIAL</x:v>
      </x:c>
      <x:c r="D50" s="3947" t="str">
        <x:v>Aceptación parcial no permitida</x:v>
      </x:c>
      <x:c r="E50" s="3947" t="str">
        <x:v>Paquete EN_REVISION; contrato no permite parcialidad.</x:v>
      </x:c>
      <x:c r="F50" s="3947" t="str">
        <x:v>Cliente/usuario intenta aceptar subset.</x:v>
      </x:c>
      <x:c r="G50" s="3947" t="str">
        <x:v>Bloquear transición parcial; exigir resolución compatible con regla.</x:v>
      </x:c>
      <x:c r="H50" s="3947" t="str">
        <x:v>No saltarse configuración contractual.</x:v>
      </x:c>
      <x:c r="I50" s="3947" t="str">
        <x:v>RUL-068 + P6 hard gate</x:v>
      </x:c>
      <x:c r="J50" s="3947" t="str">
        <x:v>PaqueteCertificacion</x:v>
      </x:c>
      <x:c r="K50" s="3947" t="str">
        <x:v>permanece EN_REVISION</x:v>
      </x:c>
      <x:c r="L50" s="3947" t="str">
        <x:v>0 s campo</x:v>
      </x:c>
      <x:c r="M50" s="4661" t="str">
        <x:v>PASS</x:v>
      </x:c>
      <x:c r="N50" s="3947" t="str">
        <x:v>ESTRUCTURAL</x:v>
      </x:c>
      <x:c r="O50" s="4661" t="str">
        <x:v>NO</x:v>
      </x:c>
    </x:row>
    <x:row r="51" ht="88" customHeight="1">
      <x:c r="A51" s="3947" t="str">
        <x:v>GS-047</x:v>
      </x:c>
      <x:c r="B51" s="3947" t="str">
        <x:v>CERTIFICACIÓN</x:v>
      </x:c>
      <x:c r="C51" s="4663" t="str">
        <x:v>CORRECCIÓN</x:v>
      </x:c>
      <x:c r="D51" s="3947" t="str">
        <x:v>Enmienda después de aceptación, antes de factura</x:v>
      </x:c>
      <x:c r="E51" s="3947" t="str">
        <x:v>UC v1 ACEPTADA deriva de ejecución v1; EnmiendaOperativa crea ejecución v2.</x:v>
      </x:c>
      <x:c r="F51" s="3947" t="str">
        <x:v>Motor detecta fuente superada.</x:v>
      </x:c>
      <x:c r="G51" s="3947" t="str">
        <x:v>UC v1 supersession→REQUIERE_RECALCULO; nueva UC v2 sustituye v1; requiere nueva revisión según flujo.</x:v>
      </x:c>
      <x:c r="H51" s="3947" t="str">
        <x:v>No borrar aceptación histórica ni actualizar v1 en sitio.</x:v>
      </x:c>
      <x:c r="I51" s="3947" t="str">
        <x:v>RUL-065,RUL-066,RUL-073</x:v>
      </x:c>
      <x:c r="J51" s="3947" t="str">
        <x:v>Enmienda, UC source, supersession</x:v>
      </x:c>
      <x:c r="K51" s="3947" t="str">
        <x:v>UC v1 histórica + UC v2 nueva</x:v>
      </x:c>
      <x:c r="L51" s="3947" t="str">
        <x:v>0 s campo</x:v>
      </x:c>
      <x:c r="M51" s="4661" t="str">
        <x:v>PASS</x:v>
      </x:c>
      <x:c r="N51" s="3947" t="str">
        <x:v>ESTRUCTURAL</x:v>
      </x:c>
      <x:c r="O51" s="4661" t="str">
        <x:v>NO</x:v>
      </x:c>
    </x:row>
    <x:row r="52" ht="88" customHeight="1">
      <x:c r="A52" s="3947" t="str">
        <x:v>GS-048</x:v>
      </x:c>
      <x:c r="B52" s="3947" t="str">
        <x:v>FACTURACIÓN</x:v>
      </x:c>
      <x:c r="C52" s="4663" t="str">
        <x:v>CORRECCIÓN</x:v>
      </x:c>
      <x:c r="D52" s="3947" t="str">
        <x:v>Enmienda después de factura/ERP</x:v>
      </x:c>
      <x:c r="E52" s="3947" t="str">
        <x:v>UC/línea ya cruzó boundary ERP.</x:v>
      </x:c>
      <x:c r="F52" s="3947" t="str">
        <x:v>Se descubre error operacional.</x:v>
      </x:c>
      <x:c r="G52" s="3947" t="str">
        <x:v>Preservar documento original; generar nueva verdad + supersession + necesidad de ajuste/reversión administrativa downstream.</x:v>
      </x:c>
      <x:c r="H52" s="3947" t="str">
        <x:v>No editar factura/documento histórico desde el sistema de Partes.</x:v>
      </x:c>
      <x:c r="I52" s="3947" t="str">
        <x:v>RUL-065,RUL-066,RUL-070,RUL-072,RUL-073</x:v>
      </x:c>
      <x:c r="J52" s="3947" t="str">
        <x:v>UC, LineaFacturable, Lote, ERP boundary</x:v>
      </x:c>
      <x:c r="K52" s="3947" t="str">
        <x:v>nuevo flujo compensatorio</x:v>
      </x:c>
      <x:c r="L52" s="3947" t="str">
        <x:v>0 s campo</x:v>
      </x:c>
      <x:c r="M52" s="4661" t="str">
        <x:v>PASS</x:v>
      </x:c>
      <x:c r="N52" s="3947" t="str">
        <x:v>ESTRUCTURAL</x:v>
      </x:c>
      <x:c r="O52" s="4661" t="str">
        <x:v>NO</x:v>
      </x:c>
    </x:row>
    <x:row r="53" ht="88" customHeight="1">
      <x:c r="A53" s="3947" t="str">
        <x:v>GS-049</x:v>
      </x:c>
      <x:c r="B53" s="3947" t="str">
        <x:v>FACTURACIÓN</x:v>
      </x:c>
      <x:c r="C53" s="4662" t="str">
        <x:v>ADVERSARIAL</x:v>
      </x:c>
      <x:c r="D53" s="3947" t="str">
        <x:v>Intento de facturar UC sustituida</x:v>
      </x:c>
      <x:c r="E53" s="3947" t="str">
        <x:v>UC ACEPTADA históricamente pero supersession=SUSTITUIDA/INVALIDADA.</x:v>
      </x:c>
      <x:c r="F53" s="3947" t="str">
        <x:v>Motor intenta construir línea.</x:v>
      </x:c>
      <x:c r="G53" s="3947" t="str">
        <x:v>Bloquear; solo UC vigente puede producir línea facturable nueva.</x:v>
      </x:c>
      <x:c r="H53" s="3947" t="str">
        <x:v>No usar aceptación histórica como vigencia actual.</x:v>
      </x:c>
      <x:c r="I53" s="3947" t="str">
        <x:v>RUL-065,RUL-070</x:v>
      </x:c>
      <x:c r="J53" s="3947" t="str">
        <x:v>UC, LineaFacturable</x:v>
      </x:c>
      <x:c r="K53" s="3947" t="str">
        <x:v>sin línea nueva</x:v>
      </x:c>
      <x:c r="L53" s="3947" t="str">
        <x:v>0 s campo</x:v>
      </x:c>
      <x:c r="M53" s="4661" t="str">
        <x:v>PASS</x:v>
      </x:c>
      <x:c r="N53" s="3947" t="str">
        <x:v>ESTRUCTURAL</x:v>
      </x:c>
      <x:c r="O53" s="4661" t="str">
        <x:v>NO</x:v>
      </x:c>
    </x:row>
    <x:row r="54" ht="88" customHeight="1">
      <x:c r="A54" s="3947" t="str">
        <x:v>GS-050</x:v>
      </x:c>
      <x:c r="B54" s="3947" t="str">
        <x:v>FACTURACIÓN</x:v>
      </x:c>
      <x:c r="C54" s="4661" t="str">
        <x:v>HAPPY PATH</x:v>
      </x:c>
      <x:c r="D54" s="3947" t="str">
        <x:v>UC aceptada vigente a ERP</x:v>
      </x:c>
      <x:c r="E54" s="3947" t="str">
        <x:v>UC ACEPTADA, vigente, reglas completas.</x:v>
      </x:c>
      <x:c r="F54" s="3947" t="str">
        <x:v>Se agrupan líneas y se envía lote.</x:v>
      </x:c>
      <x:c r="G54" s="3947" t="str">
        <x:v>LineaFacturable→Lote BORRADOR→VALIDADO→ENVIADO_ERP→ACEPTADO_ERP.</x:v>
      </x:c>
      <x:c r="H54" s="3947" t="str">
        <x:v>No volver a preguntarle nada al operario.</x:v>
      </x:c>
      <x:c r="I54" s="3947" t="str">
        <x:v>RUL-070,RUL-071,RUL-072</x:v>
      </x:c>
      <x:c r="J54" s="3947" t="str">
        <x:v>UC, Linea, Lote, ERP boundary</x:v>
      </x:c>
      <x:c r="K54" s="3947" t="str">
        <x:v>Lote lifecycle completo</x:v>
      </x:c>
      <x:c r="L54" s="3947" t="str">
        <x:v>0 s campo</x:v>
      </x:c>
      <x:c r="M54" s="4661" t="str">
        <x:v>PASS</x:v>
      </x:c>
      <x:c r="N54" s="3947" t="str">
        <x:v>ESTRUCTURAL</x:v>
      </x:c>
      <x:c r="O54" s="4661" t="str">
        <x:v>NO</x:v>
      </x:c>
    </x:row>
    <x:row r="55" ht="88" customHeight="1">
      <x:c r="A55" s="3947" t="str">
        <x:v>GS-051</x:v>
      </x:c>
      <x:c r="B55" s="3947" t="str">
        <x:v>TRACE</x:v>
      </x:c>
      <x:c r="C55" s="4661" t="str">
        <x:v>RELACIONAL</x:v>
      </x:c>
      <x:c r="D55" s="3947" t="str">
        <x:v>Una evidencia valida múltiples scopes</x:v>
      </x:c>
      <x:c r="E55" s="3947" t="str">
        <x:v>Foto/documento aplica a UE y EventoHabilita o PTW.</x:v>
      </x:c>
      <x:c r="F55" s="3947" t="str">
        <x:v>Sistema vincula evidencia a más de un objeto.</x:v>
      </x:c>
      <x:c r="G55" s="3947" t="str">
        <x:v>Una Evidencia con múltiples EvidenciaVinculo tipados.</x:v>
      </x:c>
      <x:c r="H55" s="3947" t="str">
        <x:v>No duplicar archivo innecesariamente ni usar FK polimórfica opaca.</x:v>
      </x:c>
      <x:c r="I55" s="3947" t="str">
        <x:v>ERD R-048 + invariant evidencia</x:v>
      </x:c>
      <x:c r="J55" s="3947" t="str">
        <x:v>Evidencia, EvidenciaVinculo</x:v>
      </x:c>
      <x:c r="K55" s="3947" t="str">
        <x:v>sin state transition</x:v>
      </x:c>
      <x:c r="L55" s="3947" t="str">
        <x:v>0 s</x:v>
      </x:c>
      <x:c r="M55" s="4661" t="str">
        <x:v>PASS</x:v>
      </x:c>
      <x:c r="N55" s="3947" t="str">
        <x:v>ESTRUCTURAL</x:v>
      </x:c>
      <x:c r="O55" s="4661" t="str">
        <x:v>NO</x:v>
      </x:c>
    </x:row>
    <x:row r="56" ht="88" customHeight="1">
      <x:c r="A56" s="3947" t="str">
        <x:v>GS-052</x:v>
      </x:c>
      <x:c r="B56" s="3947" t="str">
        <x:v>TRACE</x:v>
      </x:c>
      <x:c r="C56" s="4661" t="str">
        <x:v>AUDIT</x:v>
      </x:c>
      <x:c r="D56" s="3947" t="str">
        <x:v>Explicar decisión histórica con reglas antiguas</x:v>
      </x:c>
      <x:c r="E56" s="3947" t="str">
        <x:v>Una decisión fue tomada con ruleset v1; hoy existe v2.</x:v>
      </x:c>
      <x:c r="F56" s="3947" t="str">
        <x:v>Auditor consulta por qué se permitió/bloqueó.</x:v>
      </x:c>
      <x:c r="G56" s="3947" t="str">
        <x:v>DecisionTrace referencia ruleset efectivo v1 y reproduce lógica histórica.</x:v>
      </x:c>
      <x:c r="H56" s="3947" t="str">
        <x:v>No recalcular pasado con configuración actual.</x:v>
      </x:c>
      <x:c r="I56" s="3947" t="str">
        <x:v>RUL-074 + precedencia temporal</x:v>
      </x:c>
      <x:c r="J56" s="3947" t="str">
        <x:v>DecisionTrace</x:v>
      </x:c>
      <x:c r="K56" s="3947" t="str">
        <x:v>inmutable</x:v>
      </x:c>
      <x:c r="L56" s="3947" t="str">
        <x:v>0 s</x:v>
      </x:c>
      <x:c r="M56" s="4661" t="str">
        <x:v>PASS</x:v>
      </x:c>
      <x:c r="N56" s="3947" t="str">
        <x:v>ESTRUCTURAL</x:v>
      </x:c>
      <x:c r="O56" s="4661" t="str">
        <x:v>NO</x:v>
      </x:c>
    </x:row>
    <x:row r="57" ht="88" customHeight="1">
      <x:c r="A57" s="3947" t="str">
        <x:v>GS-053</x:v>
      </x:c>
      <x:c r="B57" s="3947" t="str">
        <x:v>TRACE</x:v>
      </x:c>
      <x:c r="C57" s="4662" t="str">
        <x:v>ADVERSARIAL</x:v>
      </x:c>
      <x:c r="D57" s="3947" t="str">
        <x:v>Commercial rule contradice Habilita</x:v>
      </x:c>
      <x:c r="E57" s="3947" t="str">
        <x:v>Contrato permitiría ejecutar/cobrar; PTW requerido no vigente.</x:v>
      </x:c>
      <x:c r="F57" s="3947" t="str">
        <x:v>Motor evalúa ambas reglas.</x:v>
      </x:c>
      <x:c r="G57" s="3947" t="str">
        <x:v>P1 BLOCK gana sobre P6 ALLOW; DecisionTrace registra conflicto/resolución.</x:v>
      </x:c>
      <x:c r="H57" s="3947" t="str">
        <x:v>No permitir por prioridad comercial.</x:v>
      </x:c>
      <x:c r="I57" s="3947" t="str">
        <x:v>precedencia P1&gt;P6 + RUL-022,RUL-042</x:v>
      </x:c>
      <x:c r="J57" s="3947" t="str">
        <x:v>DecisionTrace, PTW</x:v>
      </x:c>
      <x:c r="K57" s="3947" t="str">
        <x:v>sin Start Work</x:v>
      </x:c>
      <x:c r="L57" s="3947" t="str">
        <x:v>bloqueado</x:v>
      </x:c>
      <x:c r="M57" s="4661" t="str">
        <x:v>PASS</x:v>
      </x:c>
      <x:c r="N57" s="3947" t="str">
        <x:v>ESTRUCTURAL</x:v>
      </x:c>
      <x:c r="O57" s="4661" t="str">
        <x:v>NO</x:v>
      </x:c>
    </x:row>
    <x:row r="58" ht="88" customHeight="1">
      <x:c r="A58" s="3947" t="str">
        <x:v>GS-054</x:v>
      </x:c>
      <x:c r="B58" s="3947" t="str">
        <x:v>TRACE</x:v>
      </x:c>
      <x:c r="C58" s="4662" t="str">
        <x:v>ADVERSARIAL</x:v>
      </x:c>
      <x:c r="D58" s="3947" t="str">
        <x:v>Dos reglas iguales se contradicen</x:v>
      </x:c>
      <x:c r="E58" s="3947" t="str">
        <x:v>Dos reglas de misma precedencia, vigencia y especificidad producen ALLOW/BLOCK.</x:v>
      </x:c>
      <x:c r="F58" s="3947" t="str">
        <x:v>Motor intenta resolver.</x:v>
      </x:c>
      <x:c r="G58" s="3947" t="str">
        <x:v>FAIL CLOSED: bloquear/escalar y registrar conflicto.</x:v>
      </x:c>
      <x:c r="H58" s="3947" t="str">
        <x:v>No elegir arbitrariamente.</x:v>
      </x:c>
      <x:c r="I58" s="3947" t="str">
        <x:v>58_Prioridad_Conflictos_Reglas</x:v>
      </x:c>
      <x:c r="J58" s="3947" t="str">
        <x:v>DecisionTrace</x:v>
      </x:c>
      <x:c r="K58" s="3947" t="str">
        <x:v>sin transición</x:v>
      </x:c>
      <x:c r="L58" s="3947" t="str">
        <x:v>bloqueado</x:v>
      </x:c>
      <x:c r="M58" s="4661" t="str">
        <x:v>PASS</x:v>
      </x:c>
      <x:c r="N58" s="3947" t="str">
        <x:v>ESTRUCTURAL</x:v>
      </x:c>
      <x:c r="O58" s="4661" t="str">
        <x:v>NO</x:v>
      </x:c>
    </x:row>
    <x:row r="59" ht="88" customHeight="1">
      <x:c r="A59" s="3947" t="str">
        <x:v>GS-055</x:v>
      </x:c>
      <x:c r="B59" s="3947" t="str">
        <x:v>CHANGE CONTROL</x:v>
      </x:c>
      <x:c r="C59" s="4663" t="str">
        <x:v>BOUNDARY</x:v>
      </x:c>
      <x:c r="D59" s="3947" t="str">
        <x:v>Contrato futuro introduce nueva regla comercial</x:v>
      </x:c>
      <x:c r="E59" s="3947" t="str">
        <x:v>Llega contrato real con tratamiento de tiempos/grano/agrupación no conocido hoy.</x:v>
      </x:c>
      <x:c r="F59" s="3947" t="str">
        <x:v>Se parametriza configuración.</x:v>
      </x:c>
      <x:c r="G59" s="3947" t="str">
        <x:v>Nueva versión de reglas P6 sin cambiar Parte/UE/Habilita/Interfaces si el patrón existente alcanza.</x:v>
      </x:c>
      <x:c r="H59" s="3947" t="str">
        <x:v>No reabrir arquitectura por cada nuevo valor contractual.</x:v>
      </x:c>
      <x:c r="I59" s="3947" t="str">
        <x:v>P6 configuration + baseline contract-agnostic</x:v>
      </x:c>
      <x:c r="J59" s="3947" t="str">
        <x:v>ContratoVersion, ContratoServicio, reglas</x:v>
      </x:c>
      <x:c r="K59" s="3947" t="str">
        <x:v>sin cambio core</x:v>
      </x:c>
      <x:c r="L59" s="3947" t="str">
        <x:v>CONFIGURABLE</x:v>
      </x:c>
      <x:c r="M59" s="4661" t="str">
        <x:v>PASS</x:v>
      </x:c>
      <x:c r="N59" s="3947" t="str">
        <x:v>ESTRUCTURAL</x:v>
      </x:c>
      <x:c r="O59" s="4661" t="str">
        <x:v>NO</x:v>
      </x:c>
    </x:row>
    <x:row r="60" ht="88" customHeight="1">
      <x:c r="A60" s="3947" t="str">
        <x:v>GS-056</x:v>
      </x:c>
      <x:c r="B60" s="3947" t="str">
        <x:v>CHANGE CONTROL</x:v>
      </x:c>
      <x:c r="C60" s="4662" t="str">
        <x:v>STRUCTURAL TEST</x:v>
      </x:c>
      <x:c r="D60" s="3947" t="str">
        <x:v>Contrato futuro parece requerir cuarto TipoParte</x:v>
      </x:c>
      <x:c r="E60" s="3947" t="str">
        <x:v>Nueva evidencia contractual/operativa no encaja en TP-01/02/03 incluso mediante componentes/reglas.</x:v>
      </x:c>
      <x:c r="F60" s="3947" t="str">
        <x:v>Equipo evalúa el caso.</x:v>
      </x:c>
      <x:c r="G60" s="3947" t="str">
        <x:v>NO auto-extender baseline: abrir Change Control arquitectónico y demostrar nuevo patrón operacional.</x:v>
      </x:c>
      <x:c r="H60" s="3947" t="str">
        <x:v>No inventar TP-04 por presión de formulario.</x:v>
      </x:c>
      <x:c r="I60" s="3947" t="str">
        <x:v>Baseline governance / Freeze rule</x:v>
      </x:c>
      <x:c r="J60" s="3947" t="str">
        <x:v>TipoParte, Change Control</x:v>
      </x:c>
      <x:c r="K60" s="3947" t="str">
        <x:v>baseline se reabre solo si evidencia lo exige</x:v>
      </x:c>
      <x:c r="L60" s="3947" t="str">
        <x:v>EXCEPCIÓN</x:v>
      </x:c>
      <x:c r="M60" s="4661" t="str">
        <x:v>PASS</x:v>
      </x:c>
      <x:c r="N60" s="3947" t="str">
        <x:v>ESTRUCTURAL</x:v>
      </x:c>
      <x:c r="O60" s="4661" t="str">
        <x:v>NO</x:v>
      </x:c>
    </x:row>
  </x:sheetData>
  <x:mergeCells>
    <x:mergeCell ref="A1:O1"/>
    <x:mergeCell ref="A2:O2"/>
  </x:mergeCells>
  <x:dataValidations count="3">
    <x:dataValidation type="list" sqref="M5:M60">
      <x:formula1>"PASS,FAIL,REVIEW"</x:formula1>
    </x:dataValidation>
    <x:dataValidation type="list" sqref="N5:N60">
      <x:formula1>"ESTRUCTURAL,CONFIGURABLE,DEFAULT REABRIBLE,EXCEPCIÓN"</x:formula1>
    </x:dataValidation>
    <x:dataValidation type="list" sqref="O5:O60">
      <x:formula1>"NO,SÍ - MENOR,SÍ - ESTRUCTURAL"</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20" hidden="0" customWidth="1"/>
    <x:col min="5" max="5" width="18" hidden="0" customWidth="1"/>
    <x:col min="6" max="6" width="42" hidden="0" customWidth="1"/>
  </x:cols>
  <x:sheetData>
    <x:row r="1">
      <x:c r="A1" s="4671" t="str">
        <x:v>GOLDEN SCENARIOS · COVERAGE &amp; RESULT</x:v>
      </x:c>
      <x:c r="B1" s="4671"/>
      <x:c r="C1" s="4671"/>
      <x:c r="D1" s="4671"/>
      <x:c r="E1" s="4671"/>
      <x:c r="F1" s="4671"/>
    </x:row>
    <x:row r="2">
      <x:c r="A2" s="4672" t="str">
        <x:v>Cobertura funcional del pack de 56 escenarios. Los counts son derivados de 70_Golden_Scenarios_Master.</x:v>
      </x:c>
      <x:c r="B2" s="4672"/>
      <x:c r="C2" s="4672"/>
      <x:c r="D2" s="4672"/>
      <x:c r="E2" s="4672"/>
      <x:c r="F2" s="4672"/>
    </x:row>
    <x:row r="3">
      <x:c r="A3" s="1277"/>
      <x:c r="B3" s="1277"/>
      <x:c r="C3" s="1277"/>
      <x:c r="D3" s="1277"/>
      <x:c r="E3" s="1277"/>
      <x:c r="F3" s="1277"/>
    </x:row>
    <x:row r="4">
      <x:c r="A4" s="4673" t="str">
        <x:v>Dimensión</x:v>
      </x:c>
      <x:c r="B4" s="4673" t="str">
        <x:v>Scenarios</x:v>
      </x:c>
      <x:c r="C4" s="4673" t="str">
        <x:v>PASS</x:v>
      </x:c>
      <x:c r="D4" s="4673" t="str">
        <x:v>FAIL/REVIEW</x:v>
      </x:c>
      <x:c r="E4" s="4673" t="str">
        <x:v>Cobertura esperada</x:v>
      </x:c>
      <x:c r="F4" s="4673" t="str">
        <x:v>Lectura</x:v>
      </x:c>
    </x:row>
    <x:row r="5" ht="42" customHeight="1">
      <x:c r="A5" s="1327" t="str">
        <x:v>PLANIFICACIÓN</x:v>
      </x:c>
      <x:c r="B5" s="1327" t="n">
        <x:f>COUNTIF('70_Golden_Scenarios_Master'!$B$5:$B$60,A5)</x:f>
        <x:v>4</x:v>
      </x:c>
      <x:c r="C5" s="1327" t="n">
        <x:f>COUNTIFS('70_Golden_Scenarios_Master'!$B$5:$B$60,A5,'70_Golden_Scenarios_Master'!$M$5:$M$60,"PASS")</x:f>
        <x:v>4</x:v>
      </x:c>
      <x:c r="D5" s="1327" t="n">
        <x:f>COUNTIFS('70_Golden_Scenarios_Master'!$B$5:$B$60,A5,'70_Golden_Scenarios_Master'!$M$5:$M$60,"&lt;&gt;PASS")</x:f>
        <x:v>0</x:v>
      </x:c>
      <x:c r="E5" s="1327" t="str">
        <x:v>Sí</x:v>
      </x:c>
      <x:c r="F5" s="1327" t="str">
        <x:v>Intención, readiness, versionado y post-despacho</x:v>
      </x:c>
    </x:row>
    <x:row r="6" ht="42" customHeight="1">
      <x:c r="A6" s="1327" t="str">
        <x:v>ROUTING</x:v>
      </x:c>
      <x:c r="B6" s="1327" t="n">
        <x:f>COUNTIF('70_Golden_Scenarios_Master'!$B$5:$B$60,A6)</x:f>
        <x:v>2</x:v>
      </x:c>
      <x:c r="C6" s="1327" t="n">
        <x:f>COUNTIFS('70_Golden_Scenarios_Master'!$B$5:$B$60,A6,'70_Golden_Scenarios_Master'!$M$5:$M$60,"PASS")</x:f>
        <x:v>2</x:v>
      </x:c>
      <x:c r="D6" s="1327" t="n">
        <x:f>COUNTIFS('70_Golden_Scenarios_Master'!$B$5:$B$60,A6,'70_Golden_Scenarios_Master'!$M$5:$M$60,"&lt;&gt;PASS")</x:f>
        <x:v>0</x:v>
      </x:c>
      <x:c r="E6" s="1327" t="str">
        <x:v>Sí</x:v>
      </x:c>
      <x:c r="F6" s="1327" t="str">
        <x:v>TipoParte automático y ambigüedad</x:v>
      </x:c>
    </x:row>
    <x:row r="7" ht="42" customHeight="1">
      <x:c r="A7" s="1327" t="str">
        <x:v>TP-01</x:v>
      </x:c>
      <x:c r="B7" s="1327" t="n">
        <x:f>COUNTIF('70_Golden_Scenarios_Master'!$B$5:$B$60,A7)</x:f>
        <x:v>9</x:v>
      </x:c>
      <x:c r="C7" s="1327" t="n">
        <x:f>COUNTIFS('70_Golden_Scenarios_Master'!$B$5:$B$60,A7,'70_Golden_Scenarios_Master'!$M$5:$M$60,"PASS")</x:f>
        <x:v>9</x:v>
      </x:c>
      <x:c r="D7" s="1327" t="n">
        <x:f>COUNTIFS('70_Golden_Scenarios_Master'!$B$5:$B$60,A7,'70_Golden_Scenarios_Master'!$M$5:$M$60,"&lt;&gt;PASS")</x:f>
        <x:v>0</x:v>
      </x:c>
      <x:c r="E7" s="1327" t="str">
        <x:v>Sí</x:v>
      </x:c>
      <x:c r="F7" s="1327" t="str">
        <x:v>Identidad, turnos, recursos, ubicación y work package</x:v>
      </x:c>
    </x:row>
    <x:row r="8" ht="42" customHeight="1">
      <x:c r="A8" s="1327" t="str">
        <x:v>EJECUCIÓN</x:v>
      </x:c>
      <x:c r="B8" s="1327" t="n">
        <x:f>COUNTIF('70_Golden_Scenarios_Master'!$B$5:$B$60,A8)</x:f>
        <x:v>5</x:v>
      </x:c>
      <x:c r="C8" s="1327" t="n">
        <x:f>COUNTIFS('70_Golden_Scenarios_Master'!$B$5:$B$60,A8,'70_Golden_Scenarios_Master'!$M$5:$M$60,"PASS")</x:f>
        <x:v>5</x:v>
      </x:c>
      <x:c r="D8" s="1327" t="n">
        <x:f>COUNTIFS('70_Golden_Scenarios_Master'!$B$5:$B$60,A8,'70_Golden_Scenarios_Master'!$M$5:$M$60,"&lt;&gt;PASS")</x:f>
        <x:v>0</x:v>
      </x:c>
      <x:c r="E8" s="1327" t="str">
        <x:v>Sí</x:v>
      </x:c>
      <x:c r="F8" s="1327" t="str">
        <x:v>Temporalidad, cierre, medición y corrección</x:v>
      </x:c>
    </x:row>
    <x:row r="9" ht="42" customHeight="1">
      <x:c r="A9" s="1327" t="str">
        <x:v>EMERGENTE</x:v>
      </x:c>
      <x:c r="B9" s="1327" t="n">
        <x:f>COUNTIF('70_Golden_Scenarios_Master'!$B$5:$B$60,A9)</x:f>
        <x:v>3</x:v>
      </x:c>
      <x:c r="C9" s="1327" t="n">
        <x:f>COUNTIFS('70_Golden_Scenarios_Master'!$B$5:$B$60,A9,'70_Golden_Scenarios_Master'!$M$5:$M$60,"PASS")</x:f>
        <x:v>3</x:v>
      </x:c>
      <x:c r="D9" s="1327" t="n">
        <x:f>COUNTIFS('70_Golden_Scenarios_Master'!$B$5:$B$60,A9,'70_Golden_Scenarios_Master'!$M$5:$M$60,"&lt;&gt;PASS")</x:f>
        <x:v>0</x:v>
      </x:c>
      <x:c r="E9" s="1327" t="str">
        <x:v>Sí</x:v>
      </x:c>
      <x:c r="F9" s="1327" t="str">
        <x:v>Offline, autorización y contrato pendiente</x:v>
      </x:c>
    </x:row>
    <x:row r="10" ht="42" customHeight="1">
      <x:c r="A10" s="1327" t="str">
        <x:v>OFFLINE</x:v>
      </x:c>
      <x:c r="B10" s="1327" t="n">
        <x:f>COUNTIF('70_Golden_Scenarios_Master'!$B$5:$B$60,A10)</x:f>
        <x:v>2</x:v>
      </x:c>
      <x:c r="C10" s="1327" t="n">
        <x:f>COUNTIFS('70_Golden_Scenarios_Master'!$B$5:$B$60,A10,'70_Golden_Scenarios_Master'!$M$5:$M$60,"PASS")</x:f>
        <x:v>2</x:v>
      </x:c>
      <x:c r="D10" s="1327" t="n">
        <x:f>COUNTIFS('70_Golden_Scenarios_Master'!$B$5:$B$60,A10,'70_Golden_Scenarios_Master'!$M$5:$M$60,"&lt;&gt;PASS")</x:f>
        <x:v>0</x:v>
      </x:c>
      <x:c r="E10" s="1327" t="str">
        <x:v>Sí</x:v>
      </x:c>
      <x:c r="F10" s="1327" t="str">
        <x:v>Idempotencia, bundle, sincronización</x:v>
      </x:c>
    </x:row>
    <x:row r="11" ht="42" customHeight="1">
      <x:c r="A11" s="1327" t="str">
        <x:v>CONTROL</x:v>
      </x:c>
      <x:c r="B11" s="1327" t="n">
        <x:f>COUNTIF('70_Golden_Scenarios_Master'!$B$5:$B$60,A11)</x:f>
        <x:v>2</x:v>
      </x:c>
      <x:c r="C11" s="1327" t="n">
        <x:f>COUNTIFS('70_Golden_Scenarios_Master'!$B$5:$B$60,A11,'70_Golden_Scenarios_Master'!$M$5:$M$60,"PASS")</x:f>
        <x:v>2</x:v>
      </x:c>
      <x:c r="D11" s="1327" t="n">
        <x:f>COUNTIFS('70_Golden_Scenarios_Master'!$B$5:$B$60,A11,'70_Golden_Scenarios_Master'!$M$5:$M$60,"&lt;&gt;PASS")</x:f>
        <x:v>0</x:v>
      </x:c>
      <x:c r="E11" s="1327" t="str">
        <x:v>Sí</x:v>
      </x:c>
      <x:c r="F11" s="1327" t="str">
        <x:v>Directivas y expiración</x:v>
      </x:c>
    </x:row>
    <x:row r="12" ht="42" customHeight="1">
      <x:c r="A12" s="1327" t="str">
        <x:v>HABILITA</x:v>
      </x:c>
      <x:c r="B12" s="1327" t="n">
        <x:f>COUNTIF('70_Golden_Scenarios_Master'!$B$5:$B$60,A12)</x:f>
        <x:v>10</x:v>
      </x:c>
      <x:c r="C12" s="1327" t="n">
        <x:f>COUNTIFS('70_Golden_Scenarios_Master'!$B$5:$B$60,A12,'70_Golden_Scenarios_Master'!$M$5:$M$60,"PASS")</x:f>
        <x:v>10</x:v>
      </x:c>
      <x:c r="D12" s="1327" t="n">
        <x:f>COUNTIFS('70_Golden_Scenarios_Master'!$B$5:$B$60,A12,'70_Golden_Scenarios_Master'!$M$5:$M$60,"&lt;&gt;PASS")</x:f>
        <x:v>0</x:v>
      </x:c>
      <x:c r="E12" s="1327" t="str">
        <x:v>Sí</x:v>
      </x:c>
      <x:c r="F12" s="1327" t="str">
        <x:v>PTW, eventos, triage, casos y acciones</x:v>
      </x:c>
    </x:row>
    <x:row r="13" ht="42" customHeight="1">
      <x:c r="A13" s="1327" t="str">
        <x:v>TP-02</x:v>
      </x:c>
      <x:c r="B13" s="1327" t="n">
        <x:f>COUNTIF('70_Golden_Scenarios_Master'!$B$5:$B$60,A13)</x:f>
        <x:v>2</x:v>
      </x:c>
      <x:c r="C13" s="1327" t="n">
        <x:f>COUNTIFS('70_Golden_Scenarios_Master'!$B$5:$B$60,A13,'70_Golden_Scenarios_Master'!$M$5:$M$60,"PASS")</x:f>
        <x:v>2</x:v>
      </x:c>
      <x:c r="D13" s="1327" t="n">
        <x:f>COUNTIFS('70_Golden_Scenarios_Master'!$B$5:$B$60,A13,'70_Golden_Scenarios_Master'!$M$5:$M$60,"&lt;&gt;PASS")</x:f>
        <x:v>0</x:v>
      </x:c>
      <x:c r="E13" s="1327" t="str">
        <x:v>Sí</x:v>
      </x:c>
      <x:c r="F13" s="1327" t="str">
        <x:v>Transporte / movimientos</x:v>
      </x:c>
    </x:row>
    <x:row r="14" ht="42" customHeight="1">
      <x:c r="A14" s="1327" t="str">
        <x:v>TP-03</x:v>
      </x:c>
      <x:c r="B14" s="1327" t="n">
        <x:f>COUNTIF('70_Golden_Scenarios_Master'!$B$5:$B$60,A14)</x:f>
        <x:v>1</x:v>
      </x:c>
      <x:c r="C14" s="1327" t="n">
        <x:f>COUNTIFS('70_Golden_Scenarios_Master'!$B$5:$B$60,A14,'70_Golden_Scenarios_Master'!$M$5:$M$60,"PASS")</x:f>
        <x:v>1</x:v>
      </x:c>
      <x:c r="D14" s="1327" t="n">
        <x:f>COUNTIFS('70_Golden_Scenarios_Master'!$B$5:$B$60,A14,'70_Golden_Scenarios_Master'!$M$5:$M$60,"&lt;&gt;PASS")</x:f>
        <x:v>0</x:v>
      </x:c>
      <x:c r="E14" s="1327" t="str">
        <x:v>Sí</x:v>
      </x:c>
      <x:c r="F14" s="1327" t="str">
        <x:v>Reporte diario de cuadrilla</x:v>
      </x:c>
    </x:row>
    <x:row r="15" ht="42" customHeight="1">
      <x:c r="A15" s="1327" t="str">
        <x:v>CERTIFICACIÓN</x:v>
      </x:c>
      <x:c r="B15" s="1327" t="n">
        <x:f>COUNTIF('70_Golden_Scenarios_Master'!$B$5:$B$60,A15)</x:f>
        <x:v>7</x:v>
      </x:c>
      <x:c r="C15" s="1327" t="n">
        <x:f>COUNTIFS('70_Golden_Scenarios_Master'!$B$5:$B$60,A15,'70_Golden_Scenarios_Master'!$M$5:$M$60,"PASS")</x:f>
        <x:v>7</x:v>
      </x:c>
      <x:c r="D15" s="1327" t="n">
        <x:f>COUNTIFS('70_Golden_Scenarios_Master'!$B$5:$B$60,A15,'70_Golden_Scenarios_Master'!$M$5:$M$60,"&lt;&gt;PASS")</x:f>
        <x:v>0</x:v>
      </x:c>
      <x:c r="E15" s="1327" t="str">
        <x:v>Sí</x:v>
      </x:c>
      <x:c r="F15" s="1327" t="str">
        <x:v>Lineage, UC, observaciones, parcialidad</x:v>
      </x:c>
    </x:row>
    <x:row r="16" ht="42" customHeight="1">
      <x:c r="A16" s="1327" t="str">
        <x:v>FACTURACIÓN</x:v>
      </x:c>
      <x:c r="B16" s="1327" t="n">
        <x:f>COUNTIF('70_Golden_Scenarios_Master'!$B$5:$B$60,A16)</x:f>
        <x:v>3</x:v>
      </x:c>
      <x:c r="C16" s="1327" t="n">
        <x:f>COUNTIFS('70_Golden_Scenarios_Master'!$B$5:$B$60,A16,'70_Golden_Scenarios_Master'!$M$5:$M$60,"PASS")</x:f>
        <x:v>3</x:v>
      </x:c>
      <x:c r="D16" s="1327" t="n">
        <x:f>COUNTIFS('70_Golden_Scenarios_Master'!$B$5:$B$60,A16,'70_Golden_Scenarios_Master'!$M$5:$M$60,"&lt;&gt;PASS")</x:f>
        <x:v>0</x:v>
      </x:c>
      <x:c r="E16" s="1327" t="str">
        <x:v>Sí</x:v>
      </x:c>
      <x:c r="F16" s="1327" t="str">
        <x:v>Líneas, lotes, ERP y correcciones</x:v>
      </x:c>
    </x:row>
    <x:row r="17" ht="42" customHeight="1">
      <x:c r="A17" s="1327" t="str">
        <x:v>TRACE</x:v>
      </x:c>
      <x:c r="B17" s="1327" t="n">
        <x:f>COUNTIF('70_Golden_Scenarios_Master'!$B$5:$B$60,A17)</x:f>
        <x:v>4</x:v>
      </x:c>
      <x:c r="C17" s="1327" t="n">
        <x:f>COUNTIFS('70_Golden_Scenarios_Master'!$B$5:$B$60,A17,'70_Golden_Scenarios_Master'!$M$5:$M$60,"PASS")</x:f>
        <x:v>4</x:v>
      </x:c>
      <x:c r="D17" s="1327" t="n">
        <x:f>COUNTIFS('70_Golden_Scenarios_Master'!$B$5:$B$60,A17,'70_Golden_Scenarios_Master'!$M$5:$M$60,"&lt;&gt;PASS")</x:f>
        <x:v>0</x:v>
      </x:c>
      <x:c r="E17" s="1327" t="str">
        <x:v>Sí</x:v>
      </x:c>
      <x:c r="F17" s="1327" t="str">
        <x:v>DecisionTrace, evidencia y precedencia</x:v>
      </x:c>
    </x:row>
    <x:row r="18" ht="42" customHeight="1">
      <x:c r="A18" s="1327" t="str">
        <x:v>CHANGE CONTROL</x:v>
      </x:c>
      <x:c r="B18" s="1327" t="n">
        <x:f>COUNTIF('70_Golden_Scenarios_Master'!$B$5:$B$60,A18)</x:f>
        <x:v>2</x:v>
      </x:c>
      <x:c r="C18" s="1327" t="n">
        <x:f>COUNTIFS('70_Golden_Scenarios_Master'!$B$5:$B$60,A18,'70_Golden_Scenarios_Master'!$M$5:$M$60,"PASS")</x:f>
        <x:v>2</x:v>
      </x:c>
      <x:c r="D18" s="1327" t="n">
        <x:f>COUNTIFS('70_Golden_Scenarios_Master'!$B$5:$B$60,A18,'70_Golden_Scenarios_Master'!$M$5:$M$60,"&lt;&gt;PASS")</x:f>
        <x:v>0</x:v>
      </x:c>
      <x:c r="E18" s="1327" t="str">
        <x:v>Sí</x:v>
      </x:c>
      <x:c r="F18" s="1327" t="str">
        <x:v>Contratos futuros y re-apertura estructural</x:v>
      </x:c>
    </x:row>
    <x:row r="19">
      <x:c r="A19" s="1277"/>
      <x:c r="B19" s="1277"/>
      <x:c r="C19" s="1277"/>
      <x:c r="D19" s="1277"/>
      <x:c r="E19" s="1277"/>
      <x:c r="F19" s="1277"/>
    </x:row>
    <x:row r="20">
      <x:c r="A20" s="1277"/>
      <x:c r="B20" s="1277"/>
      <x:c r="C20" s="1277"/>
      <x:c r="D20" s="1277"/>
      <x:c r="E20" s="1277"/>
      <x:c r="F20" s="1277"/>
    </x:row>
    <x:row r="21">
      <x:c r="A21" s="4674" t="str">
        <x:v>FREEZE KPIs</x:v>
      </x:c>
      <x:c r="B21" s="4674"/>
      <x:c r="C21" s="4674"/>
      <x:c r="D21" s="4674"/>
      <x:c r="E21" s="4674"/>
      <x:c r="F21" s="4674"/>
    </x:row>
    <x:row r="22">
      <x:c r="A22" s="4675" t="str">
        <x:v>KPI</x:v>
      </x:c>
      <x:c r="B22" s="4675" t="str">
        <x:v>Valor</x:v>
      </x:c>
      <x:c r="C22" s="4675" t="str">
        <x:v>Criterio</x:v>
      </x:c>
      <x:c r="D22" s="1277"/>
      <x:c r="E22" s="1277"/>
      <x:c r="F22" s="1277"/>
    </x:row>
    <x:row r="23" ht="36" customHeight="1">
      <x:c r="A23" s="1327" t="str">
        <x:v>Total scenarios</x:v>
      </x:c>
      <x:c r="B23" s="1327" t="n">
        <x:f>COUNTA('70_Golden_Scenarios_Master'!$A$5:$A$60)</x:f>
        <x:v>56</x:v>
      </x:c>
      <x:c r="C23" s="1327" t="str">
        <x:v>56</x:v>
      </x:c>
      <x:c r="D23" s="1277"/>
      <x:c r="E23" s="1277"/>
      <x:c r="F23" s="1277"/>
    </x:row>
    <x:row r="24" ht="36" customHeight="1">
      <x:c r="A24" s="1327" t="str">
        <x:v>PASS</x:v>
      </x:c>
      <x:c r="B24" s="1327" t="n">
        <x:f>COUNTIF('70_Golden_Scenarios_Master'!$M$5:$M$60,"PASS")</x:f>
        <x:v>56</x:v>
      </x:c>
      <x:c r="C24" s="1327" t="str">
        <x:v>Igual a Total</x:v>
      </x:c>
      <x:c r="D24" s="1277"/>
      <x:c r="E24" s="1277"/>
      <x:c r="F24" s="1277"/>
    </x:row>
    <x:row r="25" ht="36" customHeight="1">
      <x:c r="A25" s="1327" t="str">
        <x:v>FAIL/REVIEW</x:v>
      </x:c>
      <x:c r="B25" s="1327" t="n">
        <x:f>COUNTIF('70_Golden_Scenarios_Master'!$M$5:$M$60,"&lt;&gt;PASS")</x:f>
        <x:v>0</x:v>
      </x:c>
      <x:c r="C25" s="1327" t="str">
        <x:v>0</x:v>
      </x:c>
      <x:c r="D25" s="1277"/>
      <x:c r="E25" s="1277"/>
      <x:c r="F25" s="1277"/>
    </x:row>
    <x:row r="26" ht="36" customHeight="1">
      <x:c r="A26" s="1327" t="str">
        <x:v>Patches estructurales</x:v>
      </x:c>
      <x:c r="B26" s="1327" t="n">
        <x:f>COUNTIF('70_Golden_Scenarios_Master'!$O$5:$O$60,"SÍ*")</x:f>
        <x:v>0</x:v>
      </x:c>
      <x:c r="C26" s="1327" t="str">
        <x:v>0</x:v>
      </x:c>
      <x:c r="D26" s="1277"/>
      <x:c r="E26" s="1277"/>
      <x:c r="F26" s="1277"/>
    </x:row>
    <x:row r="27" ht="36" customHeight="1">
      <x:c r="A27" s="1327" t="str">
        <x:v>Interacciones UX &gt;120 s</x:v>
      </x:c>
      <x:c r="B27" s="1327" t="n">
        <x:f>'66_Presupuesto_UX_2min'!B25</x:f>
        <x:v>0</x:v>
      </x:c>
      <x:c r="C27" s="1327" t="str">
        <x:v>0</x:v>
      </x:c>
      <x:c r="D27" s="1277"/>
      <x:c r="E27" s="1277"/>
      <x:c r="F27" s="1277"/>
    </x:row>
    <x:row r="28" ht="36" customHeight="1">
      <x:c r="A28" s="1327" t="str">
        <x:v>Carga campo Cert/Fact</x:v>
      </x:c>
      <x:c r="B28" s="1327" t="n">
        <x:f>'66_Presupuesto_UX_2min'!B26</x:f>
        <x:v>0</x:v>
      </x:c>
      <x:c r="C28" s="1327" t="str">
        <x:v>0 s</x:v>
      </x:c>
      <x:c r="D28" s="1277"/>
      <x:c r="E28" s="1277"/>
      <x:c r="F28" s="1277"/>
    </x:row>
    <x:row r="29">
      <x:c r="A29" s="1277"/>
      <x:c r="B29" s="1277"/>
      <x:c r="C29" s="1277"/>
      <x:c r="D29" s="1277"/>
      <x:c r="E29" s="1277"/>
      <x:c r="F29" s="1277"/>
    </x:row>
    <x:row r="30">
      <x:c r="A30" s="1277"/>
      <x:c r="B30" s="1277"/>
      <x:c r="C30" s="1277"/>
      <x:c r="D30" s="1277"/>
      <x:c r="E30" s="1277"/>
      <x:c r="F30" s="1277"/>
    </x:row>
    <x:row r="31">
      <x:c r="A31" s="4674" t="str">
        <x:v>RESULTADO</x:v>
      </x:c>
      <x:c r="B31" s="4674"/>
      <x:c r="C31" s="4674"/>
      <x:c r="D31" s="4674"/>
      <x:c r="E31" s="4674"/>
      <x:c r="F31" s="4674"/>
    </x:row>
    <x:row r="32">
      <x:c r="A32" s="4676" t="str">
        <x:v>GOLDEN PACK RESULT: PASS.
No aparece una contradicción que obligue a cambiar dominios, cardinalidades principales, identidad Parte/UE, los tres TipoParte, Habilita, Interfaces A/B o el Rule Engine. Los escenarios dependientes de contratos/procedimientos quedan cubiertos por configuración versionada, tal como exige la baseline contract-agnostic.</x:v>
      </x:c>
      <x:c r="B32" s="4676"/>
      <x:c r="C32" s="4676"/>
      <x:c r="D32" s="4676"/>
      <x:c r="E32" s="4676"/>
      <x:c r="F32" s="4676"/>
    </x:row>
    <x:row r="33">
      <x:c r="A33" s="4676"/>
      <x:c r="B33" s="4676"/>
      <x:c r="C33" s="4676"/>
      <x:c r="D33" s="4676"/>
      <x:c r="E33" s="4676"/>
      <x:c r="F33" s="4676"/>
    </x:row>
    <x:row r="34">
      <x:c r="A34" s="4676"/>
      <x:c r="B34" s="4676"/>
      <x:c r="C34" s="4676"/>
      <x:c r="D34" s="4676"/>
      <x:c r="E34" s="4676"/>
      <x:c r="F34" s="4676"/>
    </x:row>
    <x:row r="35">
      <x:c r="A35" s="4676"/>
      <x:c r="B35" s="4676"/>
      <x:c r="C35" s="4676"/>
      <x:c r="D35" s="4676"/>
      <x:c r="E35" s="4676"/>
      <x:c r="F35" s="4676"/>
    </x:row>
    <x:row r="36">
      <x:c r="A36" s="4676"/>
      <x:c r="B36" s="4676"/>
      <x:c r="C36" s="4676"/>
      <x:c r="D36" s="4676"/>
      <x:c r="E36" s="4676"/>
      <x:c r="F36" s="4676"/>
    </x:row>
    <x:row r="37">
      <x:c r="A37" s="4676"/>
      <x:c r="B37" s="4676"/>
      <x:c r="C37" s="4676"/>
      <x:c r="D37" s="4676"/>
      <x:c r="E37" s="4676"/>
      <x:c r="F37" s="4676"/>
    </x:row>
  </x:sheetData>
  <x:mergeCells>
    <x:mergeCell ref="A1:F1"/>
    <x:mergeCell ref="A2:F2"/>
    <x:mergeCell ref="A21:F21"/>
    <x:mergeCell ref="A31:F31"/>
    <x:mergeCell ref="A32:F37"/>
  </x:mergeCells>
  <x:conditionalFormatting sqref="C5:C18">
    <x:cfRule type="dataBar" priority="1">
      <x:dataBar>
        <x:cfvo type="min"/>
        <x:cfvo type="max"/>
        <x:color rgb="FFA02B93"/>
      </x:dataBar>
      <x:extLst>
        <x:ext xmlns:x14="http://schemas.microsoft.com/office/spreadsheetml/2009/9/main" uri="{B025F937-C7B1-47D3-B67F-A62EFF666E3E}">
          <x14:id>{FE964944-68D5-94E3-D986-BB892AD2CB56}</x14:id>
        </x:ext>
      </x:extLst>
    </x:cfRule>
  </x:conditionalFormatting>
  <x:conditionalFormatting sqref="D5:D18">
    <x:cfRule type="expression" dxfId="8" priority="2">
      <x:formula>D5&gt;0</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FE964944-68D5-94E3-D986-BB892AD2CB56}">
            <x14:dataBar gradient="1">
              <x14:cfvo type="min"/>
              <x14:cfvo type="max"/>
              <x14:fillColor rgb="FFA02B93"/>
            </x14:dataBar>
          </x14:cfRule>
          <xm:sqref>C5:C18</xm:sqref>
        </x14:conditionalFormatting>
      </x14:conditionalFormattings>
    </x:ext>
  </x:extLst>
</x:worksheet>
</file>

<file path=xl/worksheets/sheet74.xml><?xml version="1.0" encoding="utf-8"?>
<x:worksheet xmlns:x="http://schemas.openxmlformats.org/spreadsheetml/2006/main">
  <x:sheetFormatPr defaultRowHeight="15"/>
  <x:cols>
    <x:col min="1" max="1" width="9" hidden="0" customWidth="1"/>
    <x:col min="2" max="2" width="31" hidden="0" customWidth="1"/>
    <x:col min="3" max="3" width="18" hidden="0" customWidth="1"/>
    <x:col min="4" max="4" width="46" hidden="0" customWidth="1"/>
    <x:col min="5" max="5" width="40" hidden="0" customWidth="1"/>
    <x:col min="6" max="6" width="20" hidden="0" customWidth="1"/>
    <x:col min="7" max="7" width="18" hidden="0" customWidth="1"/>
  </x:cols>
  <x:sheetData>
    <x:row r="1">
      <x:c r="A1" s="4671" t="str">
        <x:v>FREEZE GATE FINAL · BASELINE FUNCIONAL 1.0</x:v>
      </x:c>
      <x:c r="B1" s="4671"/>
      <x:c r="C1" s="4671"/>
      <x:c r="D1" s="4671"/>
      <x:c r="E1" s="4671"/>
      <x:c r="F1" s="4671"/>
      <x:c r="G1" s="4671"/>
    </x:row>
    <x:row r="2">
      <x:c r="A2" s="4672" t="str">
        <x:v>El freeze cubre comportamiento funcional, semántica, relaciones, estados, reglas, interfaces y guardrails. No congela UI, stack técnico, DB física, APIs ni ERP.</x:v>
      </x:c>
      <x:c r="B2" s="4672"/>
      <x:c r="C2" s="4672"/>
      <x:c r="D2" s="4672"/>
      <x:c r="E2" s="4672"/>
      <x:c r="F2" s="4672"/>
      <x:c r="G2" s="4672"/>
    </x:row>
    <x:row r="3">
      <x:c r="A3" s="1277"/>
      <x:c r="B3" s="1277"/>
      <x:c r="C3" s="1277"/>
      <x:c r="D3" s="1277"/>
      <x:c r="E3" s="1277"/>
      <x:c r="F3" s="1277"/>
      <x:c r="G3" s="1277"/>
    </x:row>
    <x:row r="4">
      <x:c r="A4" s="4673" t="str">
        <x:v>Gate</x:v>
      </x:c>
      <x:c r="B4" s="4673" t="str">
        <x:v>Criterio</x:v>
      </x:c>
      <x:c r="C4" s="4673" t="str">
        <x:v>Resultado</x:v>
      </x:c>
      <x:c r="D4" s="4673" t="str">
        <x:v>Evidencia</x:v>
      </x:c>
      <x:c r="E4" s="4673" t="str">
        <x:v>Qué queda configurable</x:v>
      </x:c>
      <x:c r="F4" s="4673" t="str">
        <x:v>Bloquea</x:v>
      </x:c>
      <x:c r="G4" s="4673" t="str">
        <x:v>Estado</x:v>
      </x:c>
    </x:row>
    <x:row r="5" ht="66" customHeight="1">
      <x:c r="A5" s="1327" t="str">
        <x:v>FZ-01</x:v>
      </x:c>
      <x:c r="B5" s="1327" t="str">
        <x:v>Arquitectura por dominios consistente</x:v>
      </x:c>
      <x:c r="C5" s="4683" t="str">
        <x:v>PASS</x:v>
      </x:c>
      <x:c r="D5" s="1327" t="str">
        <x:v>Configuration / Planificación / Ejecución / Habilita / Certificación-Facturación / Control / Trace permanecen separados.</x:v>
      </x:c>
      <x:c r="E5" s="1327" t="str">
        <x:v>Parámetros por cliente/servicio.</x:v>
      </x:c>
      <x:c r="F5" s="1327" t="str">
        <x:v>Sí</x:v>
      </x:c>
      <x:c r="G5" s="4683" t="str">
        <x:v>FROZEN</x:v>
      </x:c>
    </x:row>
    <x:row r="6" ht="66" customHeight="1">
      <x:c r="A6" s="1327" t="str">
        <x:v>FZ-02</x:v>
      </x:c>
      <x:c r="B6" s="1327" t="str">
        <x:v>Identidad Parte / UnidadEjecucion estable</x:v>
      </x:c>
      <x:c r="C6" s="4683" t="str">
        <x:v>PASS</x:v>
      </x:c>
      <x:c r="D6" s="1327" t="str">
        <x:v>56 scenarios no requieren cambiar la regla work package→Parte y subtrabajo→UE.</x:v>
      </x:c>
      <x:c r="E6" s="1327" t="str">
        <x:v>ReglaCorte específica.</x:v>
      </x:c>
      <x:c r="F6" s="1327" t="str">
        <x:v>Sí</x:v>
      </x:c>
      <x:c r="G6" s="4683" t="str">
        <x:v>FROZEN</x:v>
      </x:c>
    </x:row>
    <x:row r="7" ht="66" customHeight="1">
      <x:c r="A7" s="1327" t="str">
        <x:v>FZ-03</x:v>
      </x:c>
      <x:c r="B7" s="1327" t="str">
        <x:v>Catálogo TipoParte suficiente</x:v>
      </x:c>
      <x:c r="C7" s="4683" t="str">
        <x:v>PASS</x:v>
      </x:c>
      <x:c r="D7" s="1327" t="str">
        <x:v>TP-01/TP-02/TP-03 absorben scenarios actuales; no aparece cuarto patrón operativo.</x:v>
      </x:c>
      <x:c r="E7" s="1327" t="str">
        <x:v>Componentes y routing.</x:v>
      </x:c>
      <x:c r="F7" s="1327" t="str">
        <x:v>Sí</x:v>
      </x:c>
      <x:c r="G7" s="4683" t="str">
        <x:v>FROZEN</x:v>
      </x:c>
    </x:row>
    <x:row r="8" ht="66" customHeight="1">
      <x:c r="A8" s="1327" t="str">
        <x:v>FZ-04</x:v>
      </x:c>
      <x:c r="B8" s="1327" t="str">
        <x:v>Planificación ≠ Ejecución preservado</x:v>
      </x:c>
      <x:c r="C8" s="4683" t="str">
        <x:v>PASS</x:v>
      </x:c>
      <x:c r="D8" s="1327" t="str">
        <x:v>VinculoPlanEjecucion soporta split/merge/emergente/no realizado; Golden Pack pasa.</x:v>
      </x:c>
      <x:c r="E8" s="1327" t="str">
        <x:v>Readiness y matching.</x:v>
      </x:c>
      <x:c r="F8" s="1327" t="str">
        <x:v>Sí</x:v>
      </x:c>
      <x:c r="G8" s="4683" t="str">
        <x:v>FROZEN</x:v>
      </x:c>
    </x:row>
    <x:row r="9" ht="66" customHeight="1">
      <x:c r="A9" s="1327" t="str">
        <x:v>FZ-05</x:v>
      </x:c>
      <x:c r="B9" s="1327" t="str">
        <x:v>Habilita transversal consistente</x:v>
      </x:c>
      <x:c r="C9" s="4683" t="str">
        <x:v>PASS</x:v>
      </x:c>
      <x:c r="D9" s="1327" t="str">
        <x:v>PTW, documental, EventoHabilita, CasoHabilita y acciones conservan lifecycles propios.</x:v>
      </x:c>
      <x:c r="E9" s="1327" t="str">
        <x:v>Matrices, thresholds, roles.</x:v>
      </x:c>
      <x:c r="F9" s="1327" t="str">
        <x:v>Sí</x:v>
      </x:c>
      <x:c r="G9" s="4683" t="str">
        <x:v>FROZEN</x:v>
      </x:c>
    </x:row>
    <x:row r="10" ht="66" customHeight="1">
      <x:c r="A10" s="1327" t="str">
        <x:v>FZ-06</x:v>
      </x:c>
      <x:c r="B10" s="1327" t="str">
        <x:v>Offline / Control Plane consistente</x:v>
      </x:c>
      <x:c r="C10" s="4683" t="str">
        <x:v>PASS</x:v>
      </x:c>
      <x:c r="D10" s="1327" t="str">
        <x:v>Bundle es proyección; directivas distinguen emitida/recibida/aplicada; retry idempotente.</x:v>
      </x:c>
      <x:c r="E10" s="1327" t="str">
        <x:v>TTL, canales, sync técnico.</x:v>
      </x:c>
      <x:c r="F10" s="1327" t="str">
        <x:v>Sí</x:v>
      </x:c>
      <x:c r="G10" s="4683" t="str">
        <x:v>FROZEN</x:v>
      </x:c>
    </x:row>
    <x:row r="11" ht="66" customHeight="1">
      <x:c r="A11" s="1327" t="str">
        <x:v>FZ-07</x:v>
      </x:c>
      <x:c r="B11" s="1327" t="str">
        <x:v>Temporalidad / trazabilidad consistente</x:v>
      </x:c>
      <x:c r="C11" s="4683" t="str">
        <x:v>PASS</x:v>
      </x:c>
      <x:c r="D11" s="1327" t="str">
        <x:v>Intervalos persona/recurso, tiempos, transiciones, handover y conflictos se representan sin reescribir historia.</x:v>
      </x:c>
      <x:c r="E11" s="1327" t="str">
        <x:v>Catálogos de causas/tiempos.</x:v>
      </x:c>
      <x:c r="F11" s="1327" t="str">
        <x:v>Sí</x:v>
      </x:c>
      <x:c r="G11" s="4683" t="str">
        <x:v>FROZEN</x:v>
      </x:c>
    </x:row>
    <x:row r="12" ht="66" customHeight="1">
      <x:c r="A12" s="1327" t="str">
        <x:v>FZ-08</x:v>
      </x:c>
      <x:c r="B12" s="1327" t="str">
        <x:v>Contrato-agnostic soportado</x:v>
      </x:c>
      <x:c r="C12" s="4683" t="str">
        <x:v>PASS</x:v>
      </x:c>
      <x:c r="D12" s="1327" t="str">
        <x:v>Ejecución cierra aun con contexto contractual pendiente; commercial fail-closed hasta reconciliación.</x:v>
      </x:c>
      <x:c r="E12" s="1327" t="str">
        <x:v>Items, UM, reglas comerciales reales.</x:v>
      </x:c>
      <x:c r="F12" s="1327" t="str">
        <x:v>Sí</x:v>
      </x:c>
      <x:c r="G12" s="4683" t="str">
        <x:v>FROZEN</x:v>
      </x:c>
    </x:row>
    <x:row r="13" ht="66" customHeight="1">
      <x:c r="A13" s="1327" t="str">
        <x:v>FZ-09</x:v>
      </x:c>
      <x:c r="B13" s="1327" t="str">
        <x:v>Lineage certificación/facturación consistente</x:v>
      </x:c>
      <x:c r="C13" s="4683" t="str">
        <x:v>PASS</x:v>
      </x:c>
      <x:c r="D13" s="1327" t="str">
        <x:v>UC↔UE N:M, supersession, paquetes versionados y ERP boundary pasan scenarios.</x:v>
      </x:c>
      <x:c r="E13" s="1327" t="str">
        <x:v>Agrupación/parcialidad/facturación.</x:v>
      </x:c>
      <x:c r="F13" s="1327" t="str">
        <x:v>Sí</x:v>
      </x:c>
      <x:c r="G13" s="4683" t="str">
        <x:v>FROZEN</x:v>
      </x:c>
    </x:row>
    <x:row r="14" ht="66" customHeight="1">
      <x:c r="A14" s="1327" t="str">
        <x:v>FZ-10</x:v>
      </x:c>
      <x:c r="B14" s="1327" t="str">
        <x:v>State Machines completas</x:v>
      </x:c>
      <x:c r="C14" s="4683" t="str">
        <x:v>PASS</x:v>
      </x:c>
      <x:c r="D14" s="1327" t="str">
        <x:v>Transiciones y prohibiciones cubren objetos core; scenarios no exigen bypass.</x:v>
      </x:c>
      <x:c r="E14" s="1327" t="str">
        <x:v>Estados específicos futuros solo por Change Control.</x:v>
      </x:c>
      <x:c r="F14" s="1327" t="str">
        <x:v>Sí</x:v>
      </x:c>
      <x:c r="G14" s="4683" t="str">
        <x:v>FROZEN</x:v>
      </x:c>
    </x:row>
    <x:row r="15" ht="66" customHeight="1">
      <x:c r="A15" s="1327" t="str">
        <x:v>FZ-11</x:v>
      </x:c>
      <x:c r="B15" s="1327" t="str">
        <x:v>Rule Engine determinista</x:v>
      </x:c>
      <x:c r="C15" s="4683" t="str">
        <x:v>PASS</x:v>
      </x:c>
      <x:c r="D15" s="1327" t="str">
        <x:v>Precedencia P0-P8 + fail closed + DecisionTrace resuelven conflictos Golden.</x:v>
      </x:c>
      <x:c r="E15" s="1327" t="str">
        <x:v>Rulesets/versiones reales.</x:v>
      </x:c>
      <x:c r="F15" s="1327" t="str">
        <x:v>Sí</x:v>
      </x:c>
      <x:c r="G15" s="4683" t="str">
        <x:v>FROZEN</x:v>
      </x:c>
    </x:row>
    <x:row r="16" ht="66" customHeight="1">
      <x:c r="A16" s="1327" t="str">
        <x:v>FZ-12</x:v>
      </x:c>
      <x:c r="B16" s="1327" t="str">
        <x:v>Objetivo campo ≤2 min</x:v>
      </x:c>
      <x:c r="C16" s="4683" t="str">
        <x:v>PASS</x:v>
      </x:c>
      <x:c r="D16" s="1327" t="str">
        <x:v>15 interacciones presupuestadas; 0 &gt;120s; Cert/Fact=0s campo.</x:v>
      </x:c>
      <x:c r="E16" s="1327" t="str">
        <x:v>UI/UX exacta y dispositivos.</x:v>
      </x:c>
      <x:c r="F16" s="1327" t="str">
        <x:v>Sí</x:v>
      </x:c>
      <x:c r="G16" s="4683" t="str">
        <x:v>FROZEN</x:v>
      </x:c>
    </x:row>
    <x:row r="17" ht="66" customHeight="1">
      <x:c r="A17" s="1327" t="str">
        <x:v>FZ-13</x:v>
      </x:c>
      <x:c r="B17" s="1327" t="str">
        <x:v>Golden Scenarios</x:v>
      </x:c>
      <x:c r="C17" s="4683" t="str">
        <x:v>PASS</x:v>
      </x:c>
      <x:c r="D17" s="1327" t="str">
        <x:v>56/56 PASS; 0 patches estructurales.</x:v>
      </x:c>
      <x:c r="E17" s="1327" t="str">
        <x:v>Nuevos casos reales pueden ampliar suite.</x:v>
      </x:c>
      <x:c r="F17" s="1327" t="str">
        <x:v>Sí</x:v>
      </x:c>
      <x:c r="G17" s="4683" t="str">
        <x:v>FROZEN</x:v>
      </x:c>
    </x:row>
    <x:row r="18">
      <x:c r="A18" s="1277"/>
      <x:c r="B18" s="1277"/>
      <x:c r="C18" s="1277"/>
      <x:c r="D18" s="1277"/>
      <x:c r="E18" s="1277"/>
      <x:c r="F18" s="1277"/>
      <x:c r="G18" s="1277"/>
    </x:row>
    <x:row r="19">
      <x:c r="A19" s="1277"/>
      <x:c r="B19" s="1277"/>
      <x:c r="C19" s="1277"/>
      <x:c r="D19" s="1277"/>
      <x:c r="E19" s="1277"/>
      <x:c r="F19" s="1277"/>
      <x:c r="G19" s="1277"/>
    </x:row>
    <x:row r="20">
      <x:c r="A20" s="4674" t="str">
        <x:v>STATUS</x:v>
      </x:c>
      <x:c r="B20" s="4674"/>
      <x:c r="C20" s="4674"/>
      <x:c r="D20" s="4674"/>
      <x:c r="E20" s="4674"/>
      <x:c r="F20" s="4674"/>
      <x:c r="G20" s="4674"/>
    </x:row>
    <x:row r="21">
      <x:c r="A21" s="4676" t="str">
        <x:v>BASELINE FUNCIONAL 1.0 · FROZEN
Fecha lógica de freeze: versión v3.0 del paquete funcional.
A partir de este punto, contratos reales, clientes, roles, thresholds, catálogos, UX y tecnología se incorporan por configuración/diseño de implementación. La arquitectura solo se reabre mediante Change Control cuando una evidencia demuestre que el patrón congelado no puede representar correctamente la realidad.</x:v>
      </x:c>
      <x:c r="B21" s="4676"/>
      <x:c r="C21" s="4676"/>
      <x:c r="D21" s="4676"/>
      <x:c r="E21" s="4676"/>
      <x:c r="F21" s="4676"/>
      <x:c r="G21" s="4676"/>
    </x:row>
    <x:row r="22">
      <x:c r="A22" s="4676"/>
      <x:c r="B22" s="4676"/>
      <x:c r="C22" s="4676"/>
      <x:c r="D22" s="4676"/>
      <x:c r="E22" s="4676"/>
      <x:c r="F22" s="4676"/>
      <x:c r="G22" s="4676"/>
    </x:row>
    <x:row r="23">
      <x:c r="A23" s="4676"/>
      <x:c r="B23" s="4676"/>
      <x:c r="C23" s="4676"/>
      <x:c r="D23" s="4676"/>
      <x:c r="E23" s="4676"/>
      <x:c r="F23" s="4676"/>
      <x:c r="G23" s="4676"/>
    </x:row>
    <x:row r="24">
      <x:c r="A24" s="4676"/>
      <x:c r="B24" s="4676"/>
      <x:c r="C24" s="4676"/>
      <x:c r="D24" s="4676"/>
      <x:c r="E24" s="4676"/>
      <x:c r="F24" s="4676"/>
      <x:c r="G24" s="4676"/>
    </x:row>
    <x:row r="25">
      <x:c r="A25" s="4676"/>
      <x:c r="B25" s="4676"/>
      <x:c r="C25" s="4676"/>
      <x:c r="D25" s="4676"/>
      <x:c r="E25" s="4676"/>
      <x:c r="F25" s="4676"/>
      <x:c r="G25" s="4676"/>
    </x:row>
    <x:row r="26">
      <x:c r="A26" s="4676"/>
      <x:c r="B26" s="4676"/>
      <x:c r="C26" s="4676"/>
      <x:c r="D26" s="4676"/>
      <x:c r="E26" s="4676"/>
      <x:c r="F26" s="4676"/>
      <x:c r="G26" s="4676"/>
    </x:row>
    <x:row r="27">
      <x:c r="A27" s="4676"/>
      <x:c r="B27" s="4676"/>
      <x:c r="C27" s="4676"/>
      <x:c r="D27" s="4676"/>
      <x:c r="E27" s="4676"/>
      <x:c r="F27" s="4676"/>
      <x:c r="G27" s="4676"/>
    </x:row>
    <x:row r="28">
      <x:c r="A28" s="1277"/>
      <x:c r="B28" s="1277"/>
      <x:c r="C28" s="1277"/>
      <x:c r="D28" s="1277"/>
      <x:c r="E28" s="1277"/>
      <x:c r="F28" s="1277"/>
      <x:c r="G28" s="1277"/>
    </x:row>
    <x:row r="29">
      <x:c r="A29" s="1277"/>
      <x:c r="B29" s="1277"/>
      <x:c r="C29" s="1277"/>
      <x:c r="D29" s="1277"/>
      <x:c r="E29" s="1277"/>
      <x:c r="F29" s="1277"/>
      <x:c r="G29" s="1277"/>
    </x:row>
    <x:row r="30">
      <x:c r="A30" s="4674" t="str">
        <x:v>NO REABRE EL FREEZE</x:v>
      </x:c>
      <x:c r="B30" s="4674"/>
      <x:c r="C30" s="4674"/>
      <x:c r="D30" s="4674"/>
      <x:c r="E30" s="4674"/>
      <x:c r="F30" s="4674"/>
      <x:c r="G30" s="4674"/>
    </x:row>
    <x:row r="31">
      <x:c r="A31" s="4684" t="str">
        <x:v>NF-01</x:v>
      </x:c>
      <x:c r="B31" s="4684" t="str">
        <x:v>Nuevo ItemContrato/UM</x:v>
      </x:c>
      <x:c r="C31" s="1327" t="str"/>
      <x:c r="D31" s="1327" t="str">
        <x:v>Se agrega configuración contractual; no cambia ejecución.</x:v>
      </x:c>
      <x:c r="E31" s="1327" t="str"/>
      <x:c r="F31" s="1327" t="str"/>
      <x:c r="G31" s="1327" t="str"/>
    </x:row>
    <x:row r="32">
      <x:c r="A32" s="4684" t="str">
        <x:v>NF-02</x:v>
      </x:c>
      <x:c r="B32" s="4684" t="str">
        <x:v>Nuevo CentroCosto</x:v>
      </x:c>
      <x:c r="C32" s="1327" t="str"/>
      <x:c r="D32" s="1327" t="str">
        <x:v>Se agrega maestro/bridge vigente.</x:v>
      </x:c>
      <x:c r="E32" s="1327" t="str"/>
      <x:c r="F32" s="1327" t="str"/>
      <x:c r="G32" s="1327" t="str"/>
    </x:row>
    <x:row r="33">
      <x:c r="A33" s="4684" t="str">
        <x:v>NF-03</x:v>
      </x:c>
      <x:c r="B33" s="4684" t="str">
        <x:v>Cliente exige corte particular</x:v>
      </x:c>
      <x:c r="C33" s="1327" t="str"/>
      <x:c r="D33" s="1327" t="str">
        <x:v>Nueva ReglaCorte versionada dentro de TipoParte existente.</x:v>
      </x:c>
      <x:c r="E33" s="1327" t="str"/>
      <x:c r="F33" s="1327" t="str"/>
      <x:c r="G33" s="1327" t="str"/>
    </x:row>
    <x:row r="34">
      <x:c r="A34" s="4684" t="str">
        <x:v>NF-04</x:v>
      </x:c>
      <x:c r="B34" s="4684" t="str">
        <x:v>Nueva matriz/threshold Habilita</x:v>
      </x:c>
      <x:c r="C34" s="1327" t="str"/>
      <x:c r="D34" s="1327" t="str">
        <x:v>Configura ReglaEscalamientoHabilita.</x:v>
      </x:c>
      <x:c r="E34" s="1327" t="str"/>
      <x:c r="F34" s="1327" t="str"/>
      <x:c r="G34" s="1327" t="str"/>
    </x:row>
    <x:row r="35">
      <x:c r="A35" s="4684" t="str">
        <x:v>NF-05</x:v>
      </x:c>
      <x:c r="B35" s="4684" t="str">
        <x:v>Nueva UI/tablet/stack</x:v>
      </x:c>
      <x:c r="C35" s="1327" t="str"/>
      <x:c r="D35" s="1327" t="str">
        <x:v>Implementa contratos funcionales; no altera semántica.</x:v>
      </x:c>
      <x:c r="E35" s="1327" t="str"/>
      <x:c r="F35" s="1327" t="str"/>
      <x:c r="G35" s="1327" t="str"/>
    </x:row>
    <x:row r="36">
      <x:c r="A36" s="4684" t="str">
        <x:v>NF-06</x:v>
      </x:c>
      <x:c r="B36" s="4684" t="str">
        <x:v>Nuevo ERP/canal</x:v>
      </x:c>
      <x:c r="C36" s="1327" t="str"/>
      <x:c r="D36" s="1327" t="str">
        <x:v>Nuevo adapter/boundary.</x:v>
      </x:c>
      <x:c r="E36" s="1327" t="str"/>
      <x:c r="F36" s="1327" t="str"/>
      <x:c r="G36" s="1327" t="str"/>
    </x:row>
    <x:row r="37">
      <x:c r="A37" s="4684" t="str">
        <x:v>NF-07</x:v>
      </x:c>
      <x:c r="B37" s="4684" t="str">
        <x:v>Más automatización/IoT</x:v>
      </x:c>
      <x:c r="C37" s="1327" t="str"/>
      <x:c r="D37" s="1327" t="str">
        <x:v>Cambia ModoCaptura de humano→derivado; objeto canónico permanece.</x:v>
      </x:c>
      <x:c r="E37" s="1327" t="str"/>
      <x:c r="F37" s="1327" t="str"/>
      <x:c r="G37" s="1327" t="str"/>
    </x:row>
    <x:row r="38">
      <x:c r="A38" s="1277"/>
      <x:c r="B38" s="1277"/>
      <x:c r="C38" s="1277"/>
      <x:c r="D38" s="1277"/>
      <x:c r="E38" s="1277"/>
      <x:c r="F38" s="1277"/>
      <x:c r="G38" s="1277"/>
    </x:row>
    <x:row r="39">
      <x:c r="A39" s="1277"/>
      <x:c r="B39" s="1277"/>
      <x:c r="C39" s="1277"/>
      <x:c r="D39" s="1277"/>
      <x:c r="E39" s="1277"/>
      <x:c r="F39" s="1277"/>
      <x:c r="G39" s="1277"/>
    </x:row>
    <x:row r="40">
      <x:c r="A40" s="4674" t="str">
        <x:v>SÍ REABRE EL FREEZE</x:v>
      </x:c>
      <x:c r="B40" s="4674"/>
      <x:c r="C40" s="4674"/>
      <x:c r="D40" s="4674"/>
      <x:c r="E40" s="4674"/>
      <x:c r="F40" s="4674"/>
      <x:c r="G40" s="4674"/>
    </x:row>
    <x:row r="41">
      <x:c r="A41" s="4685" t="str">
        <x:v>RF-01</x:v>
      </x:c>
      <x:c r="B41" s="4685" t="str">
        <x:v>Nuevo patrón operativo imposible de expresar con TP-01/02/03</x:v>
      </x:c>
      <x:c r="C41" s="1327" t="str"/>
      <x:c r="D41" s="1327" t="str">
        <x:v>Debe demostrarse antes de crear TP-04.</x:v>
      </x:c>
      <x:c r="E41" s="1327" t="str"/>
      <x:c r="F41" s="1327" t="str"/>
      <x:c r="G41" s="1327" t="str"/>
    </x:row>
    <x:row r="42">
      <x:c r="A42" s="4685" t="str">
        <x:v>RF-02</x:v>
      </x:c>
      <x:c r="B42" s="4685" t="str">
        <x:v>Nueva realidad exige cardinalidad incompatible con ERD</x:v>
      </x:c>
      <x:c r="C42" s="1327" t="str"/>
      <x:c r="D42" s="1327" t="str">
        <x:v>Ej.: relación actualmente 1:1 que en realidad necesita N:M y no tiene bridge.</x:v>
      </x:c>
      <x:c r="E42" s="1327" t="str"/>
      <x:c r="F42" s="1327" t="str"/>
      <x:c r="G42" s="1327" t="str"/>
    </x:row>
    <x:row r="43">
      <x:c r="A43" s="4685" t="str">
        <x:v>RF-03</x:v>
      </x:c>
      <x:c r="B43" s="4685" t="str">
        <x:v>Regulación exige cambiar ownership/fuente de verdad</x:v>
      </x:c>
      <x:c r="C43" s="1327" t="str"/>
      <x:c r="D43" s="1327" t="str">
        <x:v>No confundir nuevo campo con cambio de arquitectura.</x:v>
      </x:c>
      <x:c r="E43" s="1327" t="str"/>
      <x:c r="F43" s="1327" t="str"/>
      <x:c r="G43" s="1327" t="str"/>
    </x:row>
    <x:row r="44">
      <x:c r="A44" s="4685" t="str">
        <x:v>RF-04</x:v>
      </x:c>
      <x:c r="B44" s="4685" t="str">
        <x:v>Golden Scenario real produce contradicción irresoluble</x:v>
      </x:c>
      <x:c r="C44" s="1327" t="str"/>
      <x:c r="D44" s="1327" t="str">
        <x:v>No parchear en UI; reabrir modelo.</x:v>
      </x:c>
      <x:c r="E44" s="1327" t="str"/>
      <x:c r="F44" s="1327" t="str"/>
      <x:c r="G44" s="1327" t="str"/>
    </x:row>
    <x:row r="45">
      <x:c r="A45" s="4685" t="str">
        <x:v>RF-05</x:v>
      </x:c>
      <x:c r="B45" s="4685" t="str">
        <x:v>Nuevo proceso rompe Interfaces A/B o separación de dominios</x:v>
      </x:c>
      <x:c r="C45" s="1327" t="str"/>
      <x:c r="D45" s="1327" t="str">
        <x:v>Requiere revisión arquitectónica explícita.</x:v>
      </x:c>
      <x:c r="E45" s="1327" t="str"/>
      <x:c r="F45" s="1327" t="str"/>
      <x:c r="G45" s="1327" t="str"/>
    </x:row>
    <x:row r="46">
      <x:c r="A46" s="4685" t="str">
        <x:v>RF-06</x:v>
      </x:c>
      <x:c r="B46" s="4685" t="str">
        <x:v>Cambio de definición de Parte/UE/UC/Habilita</x:v>
      </x:c>
      <x:c r="C46" s="1327" t="str"/>
      <x:c r="D46" s="1327" t="str">
        <x:v>Es cambio semántico mayor.</x:v>
      </x:c>
      <x:c r="E46" s="1327" t="str"/>
      <x:c r="F46" s="1327" t="str"/>
      <x:c r="G46" s="1327" t="str"/>
    </x:row>
  </x:sheetData>
  <x:mergeCells>
    <x:mergeCell ref="A1:G1"/>
    <x:mergeCell ref="A2:G2"/>
    <x:mergeCell ref="A20:G20"/>
    <x:mergeCell ref="A21:G27"/>
    <x:mergeCell ref="A30:G30"/>
    <x:mergeCell ref="A40:G40"/>
  </x:mergeCells>
  <x:pageMargins left="0.7" right="0.7" top="0.75" bottom="0.75" header="0.3" footer="0.3"/>
</x:worksheet>
</file>

<file path=xl/worksheets/sheet75.xml><?xml version="1.0" encoding="utf-8"?>
<x:worksheet xmlns:x="http://schemas.openxmlformats.org/spreadsheetml/2006/main">
  <x:sheetFormatPr defaultRowHeight="15"/>
  <x:cols>
    <x:col min="1" max="1" width="10" hidden="0" customWidth="1"/>
    <x:col min="2" max="2" width="24" hidden="0" customWidth="1"/>
    <x:col min="3" max="3" width="42" hidden="0" customWidth="1"/>
    <x:col min="4" max="4" width="28" hidden="0" customWidth="1"/>
    <x:col min="5" max="5" width="28" hidden="0" customWidth="1"/>
    <x:col min="6" max="6" width="30" hidden="0" customWidth="1"/>
    <x:col min="7" max="7" width="18" hidden="0" customWidth="1"/>
  </x:cols>
  <x:sheetData>
    <x:row r="1">
      <x:c r="A1" s="4671" t="str">
        <x:v>CHANGE CONTROL · BASELINE FUNCIONAL FROZEN</x:v>
      </x:c>
      <x:c r="B1" s="4671"/>
      <x:c r="C1" s="4671"/>
      <x:c r="D1" s="4671"/>
      <x:c r="E1" s="4671"/>
      <x:c r="F1" s="4671"/>
      <x:c r="G1" s="4671"/>
    </x:row>
    <x:row r="2">
      <x:c r="A2" s="4672" t="str">
        <x:v>Toda modificación posterior al freeze debe clasificarse antes de tocar el modelo.</x:v>
      </x:c>
      <x:c r="B2" s="4672"/>
      <x:c r="C2" s="4672"/>
      <x:c r="D2" s="4672"/>
      <x:c r="E2" s="4672"/>
      <x:c r="F2" s="4672"/>
      <x:c r="G2" s="4672"/>
    </x:row>
    <x:row r="3">
      <x:c r="A3" s="1277"/>
      <x:c r="B3" s="1277"/>
      <x:c r="C3" s="1277"/>
      <x:c r="D3" s="1277"/>
      <x:c r="E3" s="1277"/>
      <x:c r="F3" s="1277"/>
      <x:c r="G3" s="1277"/>
    </x:row>
    <x:row r="4">
      <x:c r="A4" s="4673" t="str">
        <x:v>Clase</x:v>
      </x:c>
      <x:c r="B4" s="4673" t="str">
        <x:v>Ejemplo</x:v>
      </x:c>
      <x:c r="C4" s="4673" t="str">
        <x:v>Tratamiento</x:v>
      </x:c>
      <x:c r="D4" s="4673" t="str">
        <x:v>Revisión requerida</x:v>
      </x:c>
      <x:c r="E4" s="4673" t="str">
        <x:v>Nueva versión reglas</x:v>
      </x:c>
      <x:c r="F4" s="4673" t="str">
        <x:v>Reabre arquitectura</x:v>
      </x:c>
      <x:c r="G4" s="4673" t="str">
        <x:v>Aprobación</x:v>
      </x:c>
    </x:row>
    <x:row r="5" ht="62" customHeight="1">
      <x:c r="A5" s="1327" t="str">
        <x:v>CONFIGURACIÓN</x:v>
      </x:c>
      <x:c r="B5" s="1327" t="str">
        <x:v>Nuevo contrato/item/CC/threshold/rol</x:v>
      </x:c>
      <x:c r="C5" s="1327" t="str">
        <x:v>Agregar/actualizar configuración versionada.</x:v>
      </x:c>
      <x:c r="D5" s="1327" t="str">
        <x:v>No</x:v>
      </x:c>
      <x:c r="E5" s="1327" t="str">
        <x:v>Sí</x:v>
      </x:c>
      <x:c r="F5" s="4683" t="str">
        <x:v>No</x:v>
      </x:c>
      <x:c r="G5" s="1327" t="str">
        <x:v>Owner dominio</x:v>
      </x:c>
    </x:row>
    <x:row r="6" ht="62" customHeight="1">
      <x:c r="A6" s="1327" t="str">
        <x:v>CATÁLOGO</x:v>
      </x:c>
      <x:c r="B6" s="1327" t="str">
        <x:v>Nueva causa/tipo de tiempo/extensión Habilita</x:v>
      </x:c>
      <x:c r="C6" s="1327" t="str">
        <x:v>Agregar catálogo sin cambiar identidad/relación.</x:v>
      </x:c>
      <x:c r="D6" s="1327" t="str">
        <x:v>No</x:v>
      </x:c>
      <x:c r="E6" s="1327" t="str">
        <x:v>Según impacto</x:v>
      </x:c>
      <x:c r="F6" s="4683" t="str">
        <x:v>No</x:v>
      </x:c>
      <x:c r="G6" s="1327" t="str">
        <x:v>Owner dominio</x:v>
      </x:c>
    </x:row>
    <x:row r="7" ht="62" customHeight="1">
      <x:c r="A7" s="1327" t="str">
        <x:v>IMPLEMENTACIÓN</x:v>
      </x:c>
      <x:c r="B7" s="1327" t="str">
        <x:v>DB/API/UI/sync/device/ERP</x:v>
      </x:c>
      <x:c r="C7" s="1327" t="str">
        <x:v>Diseñar solución técnica que cumpla contratos funcionales.</x:v>
      </x:c>
      <x:c r="D7" s="1327" t="str">
        <x:v>No</x:v>
      </x:c>
      <x:c r="E7" s="1327" t="str">
        <x:v>No necesariamente</x:v>
      </x:c>
      <x:c r="F7" s="4683" t="str">
        <x:v>No</x:v>
      </x:c>
      <x:c r="G7" s="1327" t="str">
        <x:v>Arquitectura técnica</x:v>
      </x:c>
    </x:row>
    <x:row r="8" ht="62" customHeight="1">
      <x:c r="A8" s="1327" t="str">
        <x:v>AUTOMATIZACIÓN</x:v>
      </x:c>
      <x:c r="B8" s="1327" t="str">
        <x:v>Nueva fuente IoT/GPS/API</x:v>
      </x:c>
      <x:c r="C8" s="1327" t="str">
        <x:v>Cambiar modo captura/derivación conservando objeto canónico.</x:v>
      </x:c>
      <x:c r="D8" s="1327" t="str">
        <x:v>No</x:v>
      </x:c>
      <x:c r="E8" s="1327" t="str">
        <x:v>Sí si cambia regla</x:v>
      </x:c>
      <x:c r="F8" s="4683" t="str">
        <x:v>No</x:v>
      </x:c>
      <x:c r="G8" s="1327" t="str">
        <x:v>Producto + dominio</x:v>
      </x:c>
    </x:row>
    <x:row r="9" ht="62" customHeight="1">
      <x:c r="A9" s="1327" t="str">
        <x:v>REGLA</x:v>
      </x:c>
      <x:c r="B9" s="1327" t="str">
        <x:v>Nueva excepción cliente/servicio</x:v>
      </x:c>
      <x:c r="C9" s="1327" t="str">
        <x:v>Nueva RuleVersion con scope/vigencia.</x:v>
      </x:c>
      <x:c r="D9" s="1327" t="str">
        <x:v>No si cabe en motor</x:v>
      </x:c>
      <x:c r="E9" s="1327" t="str">
        <x:v>Sí</x:v>
      </x:c>
      <x:c r="F9" s="4683" t="str">
        <x:v>No</x:v>
      </x:c>
      <x:c r="G9" s="1327" t="str">
        <x:v>Owner dominio</x:v>
      </x:c>
    </x:row>
    <x:row r="10" ht="62" customHeight="1">
      <x:c r="A10" s="1327" t="str">
        <x:v>ESTRUCTURAL</x:v>
      </x:c>
      <x:c r="B10" s="1327" t="str">
        <x:v>Nuevo TipoParte/cardinalidad/fuente de verdad/domain boundary</x:v>
      </x:c>
      <x:c r="C10" s="1327" t="str">
        <x:v>Abrir Change Request arquitectónico + nuevos Golden Scenarios.</x:v>
      </x:c>
      <x:c r="D10" s="1327" t="str">
        <x:v>Sí</x:v>
      </x:c>
      <x:c r="E10" s="1327" t="str">
        <x:v>Sí</x:v>
      </x:c>
      <x:c r="F10" s="4685" t="str">
        <x:v>Sí</x:v>
      </x:c>
      <x:c r="G10" s="1327" t="str">
        <x:v>Gobernanza arquitectura</x:v>
      </x:c>
    </x:row>
  </x:sheetData>
  <x:mergeCells>
    <x:mergeCell ref="A1:G1"/>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9.600000381469727" hidden="0" customWidth="1"/>
    <x:col min="2" max="2" width="9.600000381469727" hidden="0" customWidth="1"/>
    <x:col min="3" max="3" width="9.600000381469727" hidden="0" customWidth="1"/>
    <x:col min="4" max="4" width="9.600000381469727" hidden="0" customWidth="1"/>
    <x:col min="5" max="5" width="9.600000381469727" hidden="0" customWidth="1"/>
    <x:col min="6" max="6" width="9.600000381469727" hidden="0" customWidth="1"/>
    <x:col min="7" max="7" width="9.600000381469727" hidden="0" customWidth="1"/>
    <x:col min="8" max="8" width="9.600000381469727" hidden="0" customWidth="1"/>
    <x:col min="9" max="9" width="9.600000381469727" hidden="0" customWidth="1"/>
    <x:col min="10" max="10" width="9.600000381469727" hidden="0" customWidth="1"/>
    <x:col min="11" max="11" width="9.600000381469727" hidden="0" customWidth="1"/>
    <x:col min="12" max="12" width="9.600000381469727" hidden="0" customWidth="1"/>
    <x:col min="13" max="13" width="9.600000381469727" hidden="0" customWidth="1"/>
    <x:col min="14" max="14" width="9.600000381469727" hidden="0" customWidth="1"/>
    <x:col min="15" max="15" width="9.600000381469727" hidden="0" customWidth="1"/>
    <x:col min="16" max="16" width="9.600000381469727" hidden="0" customWidth="1"/>
    <x:col min="17" max="17" width="9.600000381469727" hidden="0" customWidth="1"/>
    <x:col min="18" max="18" width="9.600000381469727" hidden="0" customWidth="1"/>
    <x:col min="19" max="19" width="9.600000381469727" hidden="0" customWidth="1"/>
    <x:col min="20" max="20" width="9.600000381469727" hidden="0" customWidth="1"/>
    <x:col min="21" max="21" width="9.600000381469727" hidden="0" customWidth="1"/>
    <x:col min="22" max="22" width="9.600000381469727" hidden="0" customWidth="1"/>
    <x:col min="23" max="23" width="9.600000381469727" hidden="0" customWidth="1"/>
    <x:col min="24" max="24" width="9.600000381469727" hidden="0" customWidth="1"/>
    <x:col min="25" max="25" width="9.600000381469727" hidden="0" customWidth="1"/>
    <x:col min="26" max="26" width="9.600000381469727" hidden="0" customWidth="1"/>
    <x:col min="27" max="27" width="9.600000381469727" hidden="0" customWidth="1"/>
    <x:col min="28" max="28" width="9.600000381469727" hidden="0" customWidth="1"/>
    <x:col min="29" max="29" width="9.600000381469727" hidden="0" customWidth="1"/>
    <x:col min="30" max="30" width="9.600000381469727" hidden="0" customWidth="1"/>
    <x:col min="31" max="31" width="9.600000381469727" hidden="0" customWidth="1"/>
    <x:col min="32" max="32" width="9.600000381469727" hidden="0" customWidth="1"/>
    <x:col min="33" max="33" width="9.600000381469727" hidden="0" customWidth="1"/>
    <x:col min="34" max="34" width="9.600000381469727" hidden="0" customWidth="1"/>
  </x:cols>
  <x:sheetData>
    <x:row r="1">
      <x:c r="A1" s="4658" t="str">
        <x:v>VDS · SISTEMA DE PARTES · ARQUITECTURA FUNCIONAL 1.0 · FROZEN</x:v>
      </x:c>
      <x:c r="B1" s="4658"/>
      <x:c r="C1" s="4658"/>
      <x:c r="D1" s="4658"/>
      <x:c r="E1" s="4658"/>
      <x:c r="F1" s="4658"/>
      <x:c r="G1" s="4658"/>
      <x:c r="H1" s="4658"/>
      <x:c r="I1" s="4658"/>
      <x:c r="J1" s="4658"/>
      <x:c r="K1" s="4658"/>
      <x:c r="L1" s="4658"/>
      <x:c r="M1" s="4658"/>
      <x:c r="N1" s="4658"/>
      <x:c r="O1" s="4658"/>
      <x:c r="P1" s="4658"/>
      <x:c r="Q1" s="4658"/>
      <x:c r="R1" s="4658"/>
      <x:c r="S1" s="4658"/>
      <x:c r="T1" s="4658"/>
      <x:c r="U1" s="4658"/>
      <x:c r="V1" s="4658"/>
      <x:c r="W1" s="4658"/>
      <x:c r="X1" s="4658"/>
      <x:c r="Y1" s="4658"/>
      <x:c r="Z1" s="4658"/>
      <x:c r="AA1" s="4658"/>
      <x:c r="AB1" s="4658"/>
      <x:c r="AC1" s="4658"/>
      <x:c r="AD1" s="4658"/>
      <x:c r="AE1" s="4658"/>
      <x:c r="AF1" s="4658"/>
      <x:c r="AG1" s="4658"/>
      <x:c r="AH1" s="4658"/>
    </x:row>
    <x:row r="2">
      <x:c r="A2" s="4893" t="str">
        <x:v>PLANIFICACIÓN = intención · EJECUCIÓN = realidad · HABILITA = gates + respuesta · CERTIFICACIÓN = aceptación comercial · FACTURACIÓN = boundary administrativo</x:v>
      </x:c>
      <x:c r="B2" s="4893"/>
      <x:c r="C2" s="4893"/>
      <x:c r="D2" s="4893"/>
      <x:c r="E2" s="4893"/>
      <x:c r="F2" s="4893"/>
      <x:c r="G2" s="4893"/>
      <x:c r="H2" s="4893"/>
      <x:c r="I2" s="4893"/>
      <x:c r="J2" s="4893"/>
      <x:c r="K2" s="4893"/>
      <x:c r="L2" s="4893"/>
      <x:c r="M2" s="4893"/>
      <x:c r="N2" s="4893"/>
      <x:c r="O2" s="4893"/>
      <x:c r="P2" s="4893"/>
      <x:c r="Q2" s="4893"/>
      <x:c r="R2" s="4893"/>
      <x:c r="S2" s="4893"/>
      <x:c r="T2" s="4893"/>
      <x:c r="U2" s="4893"/>
      <x:c r="V2" s="4893"/>
      <x:c r="W2" s="4893"/>
      <x:c r="X2" s="4893"/>
      <x:c r="Y2" s="4893"/>
      <x:c r="Z2" s="4893"/>
      <x:c r="AA2" s="4893"/>
      <x:c r="AB2" s="4893"/>
      <x:c r="AC2" s="4893"/>
      <x:c r="AD2" s="4893"/>
      <x:c r="AE2" s="4893"/>
      <x:c r="AF2" s="4893"/>
      <x:c r="AG2" s="4893"/>
      <x:c r="AH2" s="4893"/>
    </x:row>
    <x:row r="3">
      <x:c r="A3" s="3945"/>
      <x:c r="B3" s="3945"/>
      <x:c r="C3" s="3945"/>
      <x:c r="D3" s="3945"/>
      <x:c r="E3" s="3945"/>
      <x:c r="F3" s="3945"/>
      <x:c r="G3" s="3945"/>
      <x:c r="H3" s="3945"/>
      <x:c r="I3" s="3945"/>
      <x:c r="J3" s="3945"/>
      <x:c r="K3" s="3945"/>
      <x:c r="L3" s="3945"/>
      <x:c r="M3" s="3945"/>
      <x:c r="N3" s="3945"/>
      <x:c r="O3" s="3945"/>
      <x:c r="P3" s="3945"/>
      <x:c r="Q3" s="3945"/>
      <x:c r="R3" s="3945"/>
      <x:c r="S3" s="3945"/>
      <x:c r="T3" s="3945"/>
      <x:c r="U3" s="3945"/>
      <x:c r="V3" s="3945"/>
      <x:c r="W3" s="3945"/>
      <x:c r="X3" s="3945"/>
      <x:c r="Y3" s="3945"/>
      <x:c r="Z3" s="3945"/>
      <x:c r="AA3" s="3945"/>
      <x:c r="AB3" s="3945"/>
      <x:c r="AC3" s="3945"/>
      <x:c r="AD3" s="3945"/>
      <x:c r="AE3" s="3945"/>
      <x:c r="AF3" s="3945"/>
      <x:c r="AG3" s="3945"/>
      <x:c r="AH3" s="3945"/>
    </x:row>
    <x:row r="4">
      <x:c r="A4" s="4945" t="str">
        <x:v>00 · CONFIGURATION PLANE · REGLAS Y MAESTROS VERSIONADOS</x:v>
      </x:c>
      <x:c r="B4" s="4945"/>
      <x:c r="C4" s="4945"/>
      <x:c r="D4" s="4945"/>
      <x:c r="E4" s="4945"/>
      <x:c r="F4" s="4945"/>
      <x:c r="G4" s="4945"/>
      <x:c r="H4" s="4945"/>
      <x:c r="I4" s="4945"/>
      <x:c r="J4" s="4945"/>
      <x:c r="K4" s="4945"/>
      <x:c r="L4" s="4945"/>
      <x:c r="M4" s="4945"/>
      <x:c r="N4" s="4945"/>
      <x:c r="O4" s="4945"/>
      <x:c r="P4" s="4945"/>
      <x:c r="Q4" s="4945"/>
      <x:c r="R4" s="4945"/>
      <x:c r="S4" s="4945"/>
      <x:c r="T4" s="4945"/>
      <x:c r="U4" s="4945"/>
      <x:c r="V4" s="4945"/>
      <x:c r="W4" s="4945"/>
      <x:c r="X4" s="4945"/>
      <x:c r="Y4" s="4945"/>
      <x:c r="Z4" s="4945"/>
      <x:c r="AA4" s="4945"/>
      <x:c r="AB4" s="4945"/>
      <x:c r="AC4" s="4945"/>
      <x:c r="AD4" s="4945"/>
      <x:c r="AE4" s="4945"/>
      <x:c r="AF4" s="4945"/>
      <x:c r="AG4" s="4945"/>
      <x:c r="AH4" s="4945"/>
    </x:row>
    <x:row r="5">
      <x:c r="A5" s="3945"/>
      <x:c r="B5" s="3945"/>
      <x:c r="C5" s="3945"/>
      <x:c r="D5" s="3945"/>
      <x:c r="E5" s="3945"/>
      <x:c r="F5" s="3945"/>
      <x:c r="G5" s="3945"/>
      <x:c r="H5" s="3945"/>
      <x:c r="I5" s="3945"/>
      <x:c r="J5" s="3945"/>
      <x:c r="K5" s="3945"/>
      <x:c r="L5" s="3945"/>
      <x:c r="M5" s="3945"/>
      <x:c r="N5" s="3945"/>
      <x:c r="O5" s="3945"/>
      <x:c r="P5" s="3945"/>
      <x:c r="Q5" s="3945"/>
      <x:c r="R5" s="3945"/>
      <x:c r="S5" s="3945"/>
      <x:c r="T5" s="3945"/>
      <x:c r="U5" s="3945"/>
      <x:c r="V5" s="3945"/>
      <x:c r="W5" s="3945"/>
      <x:c r="X5" s="3945"/>
      <x:c r="Y5" s="3945"/>
      <x:c r="Z5" s="3945"/>
      <x:c r="AA5" s="3945"/>
      <x:c r="AB5" s="3945"/>
      <x:c r="AC5" s="3945"/>
      <x:c r="AD5" s="3945"/>
      <x:c r="AE5" s="3945"/>
      <x:c r="AF5" s="3945"/>
      <x:c r="AG5" s="3945"/>
      <x:c r="AH5" s="3945"/>
    </x:row>
    <x:row r="6">
      <x:c r="A6" s="4895" t="str">
        <x:v>CLIENTE</x:v>
      </x:c>
      <x:c r="B6" s="4896"/>
      <x:c r="C6" s="4896"/>
      <x:c r="D6" s="4897"/>
      <x:c r="E6" s="3945"/>
      <x:c r="F6" s="4895" t="str">
        <x:v>CONTRATO</x:v>
      </x:c>
      <x:c r="G6" s="4896"/>
      <x:c r="H6" s="4896"/>
      <x:c r="I6" s="4897"/>
      <x:c r="J6" s="3945"/>
      <x:c r="K6" s="4895" t="str">
        <x:v>CONTRATO
VERSION</x:v>
      </x:c>
      <x:c r="L6" s="4896"/>
      <x:c r="M6" s="4896"/>
      <x:c r="N6" s="4897"/>
      <x:c r="O6" s="3945"/>
      <x:c r="P6" s="4895" t="str">
        <x:v>CONTRATO
SERVICIO</x:v>
      </x:c>
      <x:c r="Q6" s="4896"/>
      <x:c r="R6" s="4896"/>
      <x:c r="S6" s="4896"/>
      <x:c r="T6" s="4897"/>
      <x:c r="U6" s="3945"/>
      <x:c r="V6" s="4895" t="str">
        <x:v>ITEM + UM
+ CC</x:v>
      </x:c>
      <x:c r="W6" s="4896"/>
      <x:c r="X6" s="4896"/>
      <x:c r="Y6" s="4897"/>
      <x:c r="Z6" s="3945"/>
      <x:c r="AA6" s="4898" t="str">
        <x:v>TIPOPARTE
TP-01/02/03</x:v>
      </x:c>
      <x:c r="AB6" s="4899"/>
      <x:c r="AC6" s="4899"/>
      <x:c r="AD6" s="4900"/>
      <x:c r="AE6" s="3945"/>
      <x:c r="AF6" s="4898" t="str">
        <x:v>RULESETS
routing · corte
Habilita · commercial</x:v>
      </x:c>
      <x:c r="AG6" s="4899"/>
      <x:c r="AH6" s="4900"/>
    </x:row>
    <x:row r="7">
      <x:c r="A7" s="4901"/>
      <x:c r="B7" s="4902"/>
      <x:c r="C7" s="4902"/>
      <x:c r="D7" s="4903"/>
      <x:c r="E7" s="3945"/>
      <x:c r="F7" s="4901"/>
      <x:c r="G7" s="4902"/>
      <x:c r="H7" s="4902"/>
      <x:c r="I7" s="4903"/>
      <x:c r="J7" s="3945"/>
      <x:c r="K7" s="4901"/>
      <x:c r="L7" s="4902"/>
      <x:c r="M7" s="4902"/>
      <x:c r="N7" s="4903"/>
      <x:c r="O7" s="3945"/>
      <x:c r="P7" s="4901"/>
      <x:c r="Q7" s="4902"/>
      <x:c r="R7" s="4902"/>
      <x:c r="S7" s="4902"/>
      <x:c r="T7" s="4903"/>
      <x:c r="U7" s="3945"/>
      <x:c r="V7" s="4901"/>
      <x:c r="W7" s="4902"/>
      <x:c r="X7" s="4902"/>
      <x:c r="Y7" s="4903"/>
      <x:c r="Z7" s="3945"/>
      <x:c r="AA7" s="4904"/>
      <x:c r="AB7" s="4905"/>
      <x:c r="AC7" s="4905"/>
      <x:c r="AD7" s="4906"/>
      <x:c r="AE7" s="3945"/>
      <x:c r="AF7" s="4904"/>
      <x:c r="AG7" s="4905"/>
      <x:c r="AH7" s="4906"/>
    </x:row>
    <x:row r="8">
      <x:c r="A8" s="4901"/>
      <x:c r="B8" s="4902"/>
      <x:c r="C8" s="4902"/>
      <x:c r="D8" s="4903"/>
      <x:c r="E8" s="4122" t="str">
        <x:v>→</x:v>
      </x:c>
      <x:c r="F8" s="4901"/>
      <x:c r="G8" s="4902"/>
      <x:c r="H8" s="4902"/>
      <x:c r="I8" s="4903"/>
      <x:c r="J8" s="4122" t="str">
        <x:v>→</x:v>
      </x:c>
      <x:c r="K8" s="4901"/>
      <x:c r="L8" s="4902"/>
      <x:c r="M8" s="4902"/>
      <x:c r="N8" s="4903"/>
      <x:c r="O8" s="4122" t="str">
        <x:v>→</x:v>
      </x:c>
      <x:c r="P8" s="4901"/>
      <x:c r="Q8" s="4902"/>
      <x:c r="R8" s="4902"/>
      <x:c r="S8" s="4902"/>
      <x:c r="T8" s="4903"/>
      <x:c r="U8" s="4122" t="str">
        <x:v>→</x:v>
      </x:c>
      <x:c r="V8" s="4901"/>
      <x:c r="W8" s="4902"/>
      <x:c r="X8" s="4902"/>
      <x:c r="Y8" s="4903"/>
      <x:c r="Z8" s="4122" t="str">
        <x:v>→</x:v>
      </x:c>
      <x:c r="AA8" s="4904"/>
      <x:c r="AB8" s="4905"/>
      <x:c r="AC8" s="4905"/>
      <x:c r="AD8" s="4906"/>
      <x:c r="AE8" s="4122" t="str">
        <x:v>→</x:v>
      </x:c>
      <x:c r="AF8" s="4904"/>
      <x:c r="AG8" s="4905"/>
      <x:c r="AH8" s="4906"/>
    </x:row>
    <x:row r="9">
      <x:c r="A9" s="4901"/>
      <x:c r="B9" s="4902"/>
      <x:c r="C9" s="4902"/>
      <x:c r="D9" s="4903"/>
      <x:c r="E9" s="3945"/>
      <x:c r="F9" s="4901"/>
      <x:c r="G9" s="4902"/>
      <x:c r="H9" s="4902"/>
      <x:c r="I9" s="4903"/>
      <x:c r="J9" s="3945"/>
      <x:c r="K9" s="4901"/>
      <x:c r="L9" s="4902"/>
      <x:c r="M9" s="4902"/>
      <x:c r="N9" s="4903"/>
      <x:c r="O9" s="3945"/>
      <x:c r="P9" s="4901"/>
      <x:c r="Q9" s="4902"/>
      <x:c r="R9" s="4902"/>
      <x:c r="S9" s="4902"/>
      <x:c r="T9" s="4903"/>
      <x:c r="U9" s="3945"/>
      <x:c r="V9" s="4901"/>
      <x:c r="W9" s="4902"/>
      <x:c r="X9" s="4902"/>
      <x:c r="Y9" s="4903"/>
      <x:c r="Z9" s="3945"/>
      <x:c r="AA9" s="4904"/>
      <x:c r="AB9" s="4905"/>
      <x:c r="AC9" s="4905"/>
      <x:c r="AD9" s="4906"/>
      <x:c r="AE9" s="3945"/>
      <x:c r="AF9" s="4904"/>
      <x:c r="AG9" s="4905"/>
      <x:c r="AH9" s="4906"/>
    </x:row>
    <x:row r="10">
      <x:c r="A10" s="4907"/>
      <x:c r="B10" s="4908"/>
      <x:c r="C10" s="4908"/>
      <x:c r="D10" s="4909"/>
      <x:c r="E10" s="3945"/>
      <x:c r="F10" s="4907"/>
      <x:c r="G10" s="4908"/>
      <x:c r="H10" s="4908"/>
      <x:c r="I10" s="4909"/>
      <x:c r="J10" s="3945"/>
      <x:c r="K10" s="4907"/>
      <x:c r="L10" s="4908"/>
      <x:c r="M10" s="4908"/>
      <x:c r="N10" s="4909"/>
      <x:c r="O10" s="3945"/>
      <x:c r="P10" s="4907"/>
      <x:c r="Q10" s="4908"/>
      <x:c r="R10" s="4908"/>
      <x:c r="S10" s="4908"/>
      <x:c r="T10" s="4909"/>
      <x:c r="U10" s="3945"/>
      <x:c r="V10" s="4907"/>
      <x:c r="W10" s="4908"/>
      <x:c r="X10" s="4908"/>
      <x:c r="Y10" s="4909"/>
      <x:c r="Z10" s="3945"/>
      <x:c r="AA10" s="4910"/>
      <x:c r="AB10" s="4911"/>
      <x:c r="AC10" s="4911"/>
      <x:c r="AD10" s="4912"/>
      <x:c r="AE10" s="3945"/>
      <x:c r="AF10" s="4910"/>
      <x:c r="AG10" s="4911"/>
      <x:c r="AH10" s="4912"/>
    </x:row>
    <x:row r="11">
      <x:c r="A11" s="3945"/>
      <x:c r="B11" s="3945"/>
      <x:c r="C11" s="3945"/>
      <x:c r="D11" s="3945"/>
      <x:c r="E11" s="3945"/>
      <x:c r="F11" s="3945"/>
      <x:c r="G11" s="3945"/>
      <x:c r="H11" s="3945"/>
      <x:c r="I11" s="3945"/>
      <x:c r="J11" s="3945"/>
      <x:c r="K11" s="3945"/>
      <x:c r="L11" s="3945"/>
      <x:c r="M11" s="3945"/>
      <x:c r="N11" s="3945"/>
      <x:c r="O11" s="3945"/>
      <x:c r="P11" s="3945"/>
      <x:c r="Q11" s="3945"/>
      <x:c r="R11" s="3945"/>
      <x:c r="S11" s="3945"/>
      <x:c r="T11" s="3945"/>
      <x:c r="U11" s="3945"/>
      <x:c r="V11" s="3945"/>
      <x:c r="W11" s="3945"/>
      <x:c r="X11" s="3945"/>
      <x:c r="Y11" s="3945"/>
      <x:c r="Z11" s="3945"/>
      <x:c r="AA11" s="3945"/>
      <x:c r="AB11" s="3945"/>
      <x:c r="AC11" s="3945"/>
      <x:c r="AD11" s="3945"/>
      <x:c r="AE11" s="3945"/>
      <x:c r="AF11" s="3945"/>
      <x:c r="AG11" s="3945"/>
      <x:c r="AH11" s="3945"/>
    </x:row>
    <x:row r="12">
      <x:c r="A12" s="3945"/>
      <x:c r="B12" s="3945"/>
      <x:c r="C12" s="3945"/>
      <x:c r="D12" s="3945"/>
      <x:c r="E12" s="3945"/>
      <x:c r="F12" s="3945"/>
      <x:c r="G12" s="3945"/>
      <x:c r="H12" s="3945"/>
      <x:c r="I12" s="3945"/>
      <x:c r="J12" s="3945"/>
      <x:c r="K12" s="3945"/>
      <x:c r="L12" s="3945"/>
      <x:c r="M12" s="3945"/>
      <x:c r="N12" s="3945"/>
      <x:c r="O12" s="3945"/>
      <x:c r="P12" s="3945"/>
      <x:c r="Q12" s="3945"/>
      <x:c r="R12" s="3945"/>
      <x:c r="S12" s="3945"/>
      <x:c r="T12" s="3945"/>
      <x:c r="U12" s="3945"/>
      <x:c r="V12" s="3945"/>
      <x:c r="W12" s="3945"/>
      <x:c r="X12" s="3945"/>
      <x:c r="Y12" s="3945"/>
      <x:c r="Z12" s="3945"/>
      <x:c r="AA12" s="3945"/>
      <x:c r="AB12" s="3945"/>
      <x:c r="AC12" s="3945"/>
      <x:c r="AD12" s="3945"/>
      <x:c r="AE12" s="3945"/>
      <x:c r="AF12" s="3945"/>
      <x:c r="AG12" s="3945"/>
      <x:c r="AH12" s="3945"/>
    </x:row>
    <x:row r="13">
      <x:c r="A13" s="4945" t="str">
        <x:v>01 · MASTER RULE ENGINE · DECISIÓN DETERMINISTA</x:v>
      </x:c>
      <x:c r="B13" s="4945"/>
      <x:c r="C13" s="4945"/>
      <x:c r="D13" s="4945"/>
      <x:c r="E13" s="4945"/>
      <x:c r="F13" s="4945"/>
      <x:c r="G13" s="4945"/>
      <x:c r="H13" s="4945"/>
      <x:c r="I13" s="4945"/>
      <x:c r="J13" s="4945"/>
      <x:c r="K13" s="4945"/>
      <x:c r="L13" s="4945"/>
      <x:c r="M13" s="4945"/>
      <x:c r="N13" s="4945"/>
      <x:c r="O13" s="4945"/>
      <x:c r="P13" s="4945"/>
      <x:c r="Q13" s="4945"/>
      <x:c r="R13" s="4945"/>
      <x:c r="S13" s="4945"/>
      <x:c r="T13" s="4945"/>
      <x:c r="U13" s="4945"/>
      <x:c r="V13" s="4945"/>
      <x:c r="W13" s="4945"/>
      <x:c r="X13" s="4945"/>
      <x:c r="Y13" s="4945"/>
      <x:c r="Z13" s="4945"/>
      <x:c r="AA13" s="4945"/>
      <x:c r="AB13" s="4945"/>
      <x:c r="AC13" s="4945"/>
      <x:c r="AD13" s="4945"/>
      <x:c r="AE13" s="4945"/>
      <x:c r="AF13" s="4945"/>
      <x:c r="AG13" s="4945"/>
      <x:c r="AH13" s="4945"/>
    </x:row>
    <x:row r="14">
      <x:c r="A14" s="3945"/>
      <x:c r="B14" s="3945"/>
      <x:c r="C14" s="3945"/>
      <x:c r="D14" s="3945"/>
      <x:c r="E14" s="3945"/>
      <x:c r="F14" s="3945"/>
      <x:c r="G14" s="3945"/>
      <x:c r="H14" s="3945"/>
      <x:c r="I14" s="3945"/>
      <x:c r="J14" s="3945"/>
      <x:c r="K14" s="3945"/>
      <x:c r="L14" s="3945"/>
      <x:c r="M14" s="3945"/>
      <x:c r="N14" s="3945"/>
      <x:c r="O14" s="3945"/>
      <x:c r="P14" s="3945"/>
      <x:c r="Q14" s="3945"/>
      <x:c r="R14" s="3945"/>
      <x:c r="S14" s="3945"/>
      <x:c r="T14" s="3945"/>
      <x:c r="U14" s="3945"/>
      <x:c r="V14" s="3945"/>
      <x:c r="W14" s="3945"/>
      <x:c r="X14" s="3945"/>
      <x:c r="Y14" s="3945"/>
      <x:c r="Z14" s="3945"/>
      <x:c r="AA14" s="3945"/>
      <x:c r="AB14" s="3945"/>
      <x:c r="AC14" s="3945"/>
      <x:c r="AD14" s="3945"/>
      <x:c r="AE14" s="3945"/>
      <x:c r="AF14" s="3945"/>
      <x:c r="AG14" s="3945"/>
      <x:c r="AH14" s="3945"/>
    </x:row>
    <x:row r="15">
      <x:c r="A15" s="4913" t="str">
        <x:v>P0
INVARIANTES
historia · lineage</x:v>
      </x:c>
      <x:c r="B15" s="4914"/>
      <x:c r="C15" s="4914"/>
      <x:c r="D15" s="4915"/>
      <x:c r="E15" s="3945"/>
      <x:c r="F15" s="4898" t="str">
        <x:v>P1
HABILITA
hard gates · PTW</x:v>
      </x:c>
      <x:c r="G15" s="4899"/>
      <x:c r="H15" s="4899"/>
      <x:c r="I15" s="4900"/>
      <x:c r="J15" s="3945"/>
      <x:c r="K15" s="4916" t="str">
        <x:v>P2
STATE
MACHINES</x:v>
      </x:c>
      <x:c r="L15" s="4917"/>
      <x:c r="M15" s="4917"/>
      <x:c r="N15" s="4918"/>
      <x:c r="O15" s="3945"/>
      <x:c r="P15" s="4916" t="str">
        <x:v>P3
CONTROL
PLANE</x:v>
      </x:c>
      <x:c r="Q15" s="4917"/>
      <x:c r="R15" s="4917"/>
      <x:c r="S15" s="4918"/>
      <x:c r="T15" s="3945"/>
      <x:c r="U15" s="4916" t="str">
        <x:v>P4
IDENTIDAD
ROUTING</x:v>
      </x:c>
      <x:c r="V15" s="4917"/>
      <x:c r="W15" s="4917"/>
      <x:c r="X15" s="4918"/>
      <x:c r="Y15" s="3945"/>
      <x:c r="Z15" s="4895" t="str">
        <x:v>P5
OPERACIÓN
TEMPORAL</x:v>
      </x:c>
      <x:c r="AA15" s="4896"/>
      <x:c r="AB15" s="4896"/>
      <x:c r="AC15" s="4897"/>
      <x:c r="AD15" s="3945"/>
      <x:c r="AE15" s="4895" t="str">
        <x:v>P6/P7
CONTRATO + UX
AUTOMATION</x:v>
      </x:c>
      <x:c r="AF15" s="4896"/>
      <x:c r="AG15" s="4896"/>
      <x:c r="AH15" s="4897"/>
    </x:row>
    <x:row r="16">
      <x:c r="A16" s="4919"/>
      <x:c r="B16" s="4920"/>
      <x:c r="C16" s="4920"/>
      <x:c r="D16" s="4921"/>
      <x:c r="E16" s="3945"/>
      <x:c r="F16" s="4904"/>
      <x:c r="G16" s="4905"/>
      <x:c r="H16" s="4905"/>
      <x:c r="I16" s="4906"/>
      <x:c r="J16" s="3945"/>
      <x:c r="K16" s="4922"/>
      <x:c r="L16" s="4923"/>
      <x:c r="M16" s="4923"/>
      <x:c r="N16" s="4924"/>
      <x:c r="O16" s="3945"/>
      <x:c r="P16" s="4922"/>
      <x:c r="Q16" s="4923"/>
      <x:c r="R16" s="4923"/>
      <x:c r="S16" s="4924"/>
      <x:c r="T16" s="3945"/>
      <x:c r="U16" s="4922"/>
      <x:c r="V16" s="4923"/>
      <x:c r="W16" s="4923"/>
      <x:c r="X16" s="4924"/>
      <x:c r="Y16" s="3945"/>
      <x:c r="Z16" s="4901"/>
      <x:c r="AA16" s="4902"/>
      <x:c r="AB16" s="4902"/>
      <x:c r="AC16" s="4903"/>
      <x:c r="AD16" s="3945"/>
      <x:c r="AE16" s="4901"/>
      <x:c r="AF16" s="4902"/>
      <x:c r="AG16" s="4902"/>
      <x:c r="AH16" s="4903"/>
    </x:row>
    <x:row r="17">
      <x:c r="A17" s="4919"/>
      <x:c r="B17" s="4920"/>
      <x:c r="C17" s="4920"/>
      <x:c r="D17" s="4921"/>
      <x:c r="E17" s="4122" t="str">
        <x:v>→</x:v>
      </x:c>
      <x:c r="F17" s="4904"/>
      <x:c r="G17" s="4905"/>
      <x:c r="H17" s="4905"/>
      <x:c r="I17" s="4906"/>
      <x:c r="J17" s="4122" t="str">
        <x:v>→</x:v>
      </x:c>
      <x:c r="K17" s="4922"/>
      <x:c r="L17" s="4923"/>
      <x:c r="M17" s="4923"/>
      <x:c r="N17" s="4924"/>
      <x:c r="O17" s="4122" t="str">
        <x:v>→</x:v>
      </x:c>
      <x:c r="P17" s="4922"/>
      <x:c r="Q17" s="4923"/>
      <x:c r="R17" s="4923"/>
      <x:c r="S17" s="4924"/>
      <x:c r="T17" s="4122" t="str">
        <x:v>→</x:v>
      </x:c>
      <x:c r="U17" s="4922"/>
      <x:c r="V17" s="4923"/>
      <x:c r="W17" s="4923"/>
      <x:c r="X17" s="4924"/>
      <x:c r="Y17" s="4122" t="str">
        <x:v>→</x:v>
      </x:c>
      <x:c r="Z17" s="4901"/>
      <x:c r="AA17" s="4902"/>
      <x:c r="AB17" s="4902"/>
      <x:c r="AC17" s="4903"/>
      <x:c r="AD17" s="4122" t="str">
        <x:v>→</x:v>
      </x:c>
      <x:c r="AE17" s="4901"/>
      <x:c r="AF17" s="4902"/>
      <x:c r="AG17" s="4902"/>
      <x:c r="AH17" s="4903"/>
    </x:row>
    <x:row r="18">
      <x:c r="A18" s="4919"/>
      <x:c r="B18" s="4920"/>
      <x:c r="C18" s="4920"/>
      <x:c r="D18" s="4921"/>
      <x:c r="E18" s="3945"/>
      <x:c r="F18" s="4904"/>
      <x:c r="G18" s="4905"/>
      <x:c r="H18" s="4905"/>
      <x:c r="I18" s="4906"/>
      <x:c r="J18" s="3945"/>
      <x:c r="K18" s="4922"/>
      <x:c r="L18" s="4923"/>
      <x:c r="M18" s="4923"/>
      <x:c r="N18" s="4924"/>
      <x:c r="O18" s="3945"/>
      <x:c r="P18" s="4922"/>
      <x:c r="Q18" s="4923"/>
      <x:c r="R18" s="4923"/>
      <x:c r="S18" s="4924"/>
      <x:c r="T18" s="3945"/>
      <x:c r="U18" s="4922"/>
      <x:c r="V18" s="4923"/>
      <x:c r="W18" s="4923"/>
      <x:c r="X18" s="4924"/>
      <x:c r="Y18" s="3945"/>
      <x:c r="Z18" s="4901"/>
      <x:c r="AA18" s="4902"/>
      <x:c r="AB18" s="4902"/>
      <x:c r="AC18" s="4903"/>
      <x:c r="AD18" s="3945"/>
      <x:c r="AE18" s="4901"/>
      <x:c r="AF18" s="4902"/>
      <x:c r="AG18" s="4902"/>
      <x:c r="AH18" s="4903"/>
    </x:row>
    <x:row r="19">
      <x:c r="A19" s="4919"/>
      <x:c r="B19" s="4920"/>
      <x:c r="C19" s="4920"/>
      <x:c r="D19" s="4921"/>
      <x:c r="E19" s="3945"/>
      <x:c r="F19" s="4904"/>
      <x:c r="G19" s="4905"/>
      <x:c r="H19" s="4905"/>
      <x:c r="I19" s="4906"/>
      <x:c r="J19" s="3945"/>
      <x:c r="K19" s="4922"/>
      <x:c r="L19" s="4923"/>
      <x:c r="M19" s="4923"/>
      <x:c r="N19" s="4924"/>
      <x:c r="O19" s="3945"/>
      <x:c r="P19" s="4922"/>
      <x:c r="Q19" s="4923"/>
      <x:c r="R19" s="4923"/>
      <x:c r="S19" s="4924"/>
      <x:c r="T19" s="3945"/>
      <x:c r="U19" s="4922"/>
      <x:c r="V19" s="4923"/>
      <x:c r="W19" s="4923"/>
      <x:c r="X19" s="4924"/>
      <x:c r="Y19" s="3945"/>
      <x:c r="Z19" s="4901"/>
      <x:c r="AA19" s="4902"/>
      <x:c r="AB19" s="4902"/>
      <x:c r="AC19" s="4903"/>
      <x:c r="AD19" s="3945"/>
      <x:c r="AE19" s="4901"/>
      <x:c r="AF19" s="4902"/>
      <x:c r="AG19" s="4902"/>
      <x:c r="AH19" s="4903"/>
    </x:row>
    <x:row r="20">
      <x:c r="A20" s="4925"/>
      <x:c r="B20" s="4926"/>
      <x:c r="C20" s="4926"/>
      <x:c r="D20" s="4927"/>
      <x:c r="E20" s="3945"/>
      <x:c r="F20" s="4910"/>
      <x:c r="G20" s="4911"/>
      <x:c r="H20" s="4911"/>
      <x:c r="I20" s="4912"/>
      <x:c r="J20" s="3945"/>
      <x:c r="K20" s="4928"/>
      <x:c r="L20" s="4929"/>
      <x:c r="M20" s="4929"/>
      <x:c r="N20" s="4930"/>
      <x:c r="O20" s="3945"/>
      <x:c r="P20" s="4928"/>
      <x:c r="Q20" s="4929"/>
      <x:c r="R20" s="4929"/>
      <x:c r="S20" s="4930"/>
      <x:c r="T20" s="3945"/>
      <x:c r="U20" s="4928"/>
      <x:c r="V20" s="4929"/>
      <x:c r="W20" s="4929"/>
      <x:c r="X20" s="4930"/>
      <x:c r="Y20" s="3945"/>
      <x:c r="Z20" s="4907"/>
      <x:c r="AA20" s="4908"/>
      <x:c r="AB20" s="4908"/>
      <x:c r="AC20" s="4909"/>
      <x:c r="AD20" s="3945"/>
      <x:c r="AE20" s="4907"/>
      <x:c r="AF20" s="4908"/>
      <x:c r="AG20" s="4908"/>
      <x:c r="AH20" s="4909"/>
    </x:row>
    <x:row r="21">
      <x:c r="A21" s="3945"/>
      <x:c r="B21" s="3945"/>
      <x:c r="C21" s="3945"/>
      <x:c r="D21" s="3945"/>
      <x:c r="E21" s="3945"/>
      <x:c r="F21" s="3945"/>
      <x:c r="G21" s="3945"/>
      <x:c r="H21" s="3945"/>
      <x:c r="I21" s="3945"/>
      <x:c r="J21" s="3945"/>
      <x:c r="K21" s="3945"/>
      <x:c r="L21" s="3945"/>
      <x:c r="M21" s="3945"/>
      <x:c r="N21" s="3945"/>
      <x:c r="O21" s="3945"/>
      <x:c r="P21" s="3945"/>
      <x:c r="Q21" s="3945"/>
      <x:c r="R21" s="3945"/>
      <x:c r="S21" s="3945"/>
      <x:c r="T21" s="3945"/>
      <x:c r="U21" s="3945"/>
      <x:c r="V21" s="3945"/>
      <x:c r="W21" s="3945"/>
      <x:c r="X21" s="3945"/>
      <x:c r="Y21" s="3945"/>
      <x:c r="Z21" s="3945"/>
      <x:c r="AA21" s="3945"/>
      <x:c r="AB21" s="3945"/>
      <x:c r="AC21" s="3945"/>
      <x:c r="AD21" s="3945"/>
      <x:c r="AE21" s="3945"/>
      <x:c r="AF21" s="3945"/>
      <x:c r="AG21" s="3945"/>
      <x:c r="AH21" s="3945"/>
    </x:row>
    <x:row r="22">
      <x:c r="A22" s="4931" t="str">
        <x:v>EVENTO + ESTADO + CONTEXTO + RULESET VIGENTE → CONFLICT RESOLVER → DECISION ENVELOPE → DecisionTrace + side effects idempotentes</x:v>
      </x:c>
      <x:c r="B22" s="4931"/>
      <x:c r="C22" s="4931"/>
      <x:c r="D22" s="4931"/>
      <x:c r="E22" s="4931"/>
      <x:c r="F22" s="4931"/>
      <x:c r="G22" s="4931"/>
      <x:c r="H22" s="4931"/>
      <x:c r="I22" s="4931"/>
      <x:c r="J22" s="4931"/>
      <x:c r="K22" s="4931"/>
      <x:c r="L22" s="4931"/>
      <x:c r="M22" s="4931"/>
      <x:c r="N22" s="4931"/>
      <x:c r="O22" s="4931"/>
      <x:c r="P22" s="4931"/>
      <x:c r="Q22" s="4931"/>
      <x:c r="R22" s="4931"/>
      <x:c r="S22" s="4931"/>
      <x:c r="T22" s="4931"/>
      <x:c r="U22" s="4931"/>
      <x:c r="V22" s="4931"/>
      <x:c r="W22" s="4931"/>
      <x:c r="X22" s="4931"/>
      <x:c r="Y22" s="4931"/>
      <x:c r="Z22" s="4931"/>
      <x:c r="AA22" s="4931"/>
      <x:c r="AB22" s="4931"/>
      <x:c r="AC22" s="4931"/>
      <x:c r="AD22" s="4931"/>
      <x:c r="AE22" s="4931"/>
      <x:c r="AF22" s="4931"/>
      <x:c r="AG22" s="4931"/>
      <x:c r="AH22" s="4931"/>
    </x:row>
    <x:row r="23">
      <x:c r="A23" s="4931"/>
      <x:c r="B23" s="4931"/>
      <x:c r="C23" s="4931"/>
      <x:c r="D23" s="4931"/>
      <x:c r="E23" s="4931"/>
      <x:c r="F23" s="4931"/>
      <x:c r="G23" s="4931"/>
      <x:c r="H23" s="4931"/>
      <x:c r="I23" s="4931"/>
      <x:c r="J23" s="4931"/>
      <x:c r="K23" s="4931"/>
      <x:c r="L23" s="4931"/>
      <x:c r="M23" s="4931"/>
      <x:c r="N23" s="4931"/>
      <x:c r="O23" s="4931"/>
      <x:c r="P23" s="4931"/>
      <x:c r="Q23" s="4931"/>
      <x:c r="R23" s="4931"/>
      <x:c r="S23" s="4931"/>
      <x:c r="T23" s="4931"/>
      <x:c r="U23" s="4931"/>
      <x:c r="V23" s="4931"/>
      <x:c r="W23" s="4931"/>
      <x:c r="X23" s="4931"/>
      <x:c r="Y23" s="4931"/>
      <x:c r="Z23" s="4931"/>
      <x:c r="AA23" s="4931"/>
      <x:c r="AB23" s="4931"/>
      <x:c r="AC23" s="4931"/>
      <x:c r="AD23" s="4931"/>
      <x:c r="AE23" s="4931"/>
      <x:c r="AF23" s="4931"/>
      <x:c r="AG23" s="4931"/>
      <x:c r="AH23" s="4931"/>
    </x:row>
    <x:row r="24">
      <x:c r="A24" s="4931"/>
      <x:c r="B24" s="4931"/>
      <x:c r="C24" s="4931"/>
      <x:c r="D24" s="4931"/>
      <x:c r="E24" s="4931"/>
      <x:c r="F24" s="4931"/>
      <x:c r="G24" s="4931"/>
      <x:c r="H24" s="4931"/>
      <x:c r="I24" s="4931"/>
      <x:c r="J24" s="4931"/>
      <x:c r="K24" s="4931"/>
      <x:c r="L24" s="4931"/>
      <x:c r="M24" s="4931"/>
      <x:c r="N24" s="4931"/>
      <x:c r="O24" s="4931"/>
      <x:c r="P24" s="4931"/>
      <x:c r="Q24" s="4931"/>
      <x:c r="R24" s="4931"/>
      <x:c r="S24" s="4931"/>
      <x:c r="T24" s="4931"/>
      <x:c r="U24" s="4931"/>
      <x:c r="V24" s="4931"/>
      <x:c r="W24" s="4931"/>
      <x:c r="X24" s="4931"/>
      <x:c r="Y24" s="4931"/>
      <x:c r="Z24" s="4931"/>
      <x:c r="AA24" s="4931"/>
      <x:c r="AB24" s="4931"/>
      <x:c r="AC24" s="4931"/>
      <x:c r="AD24" s="4931"/>
      <x:c r="AE24" s="4931"/>
      <x:c r="AF24" s="4931"/>
      <x:c r="AG24" s="4931"/>
      <x:c r="AH24" s="4931"/>
    </x:row>
    <x:row r="25">
      <x:c r="A25" s="4931"/>
      <x:c r="B25" s="4931"/>
      <x:c r="C25" s="4931"/>
      <x:c r="D25" s="4931"/>
      <x:c r="E25" s="4931"/>
      <x:c r="F25" s="4931"/>
      <x:c r="G25" s="4931"/>
      <x:c r="H25" s="4931"/>
      <x:c r="I25" s="4931"/>
      <x:c r="J25" s="4931"/>
      <x:c r="K25" s="4931"/>
      <x:c r="L25" s="4931"/>
      <x:c r="M25" s="4931"/>
      <x:c r="N25" s="4931"/>
      <x:c r="O25" s="4931"/>
      <x:c r="P25" s="4931"/>
      <x:c r="Q25" s="4931"/>
      <x:c r="R25" s="4931"/>
      <x:c r="S25" s="4931"/>
      <x:c r="T25" s="4931"/>
      <x:c r="U25" s="4931"/>
      <x:c r="V25" s="4931"/>
      <x:c r="W25" s="4931"/>
      <x:c r="X25" s="4931"/>
      <x:c r="Y25" s="4931"/>
      <x:c r="Z25" s="4931"/>
      <x:c r="AA25" s="4931"/>
      <x:c r="AB25" s="4931"/>
      <x:c r="AC25" s="4931"/>
      <x:c r="AD25" s="4931"/>
      <x:c r="AE25" s="4931"/>
      <x:c r="AF25" s="4931"/>
      <x:c r="AG25" s="4931"/>
      <x:c r="AH25" s="4931"/>
    </x:row>
    <x:row r="26">
      <x:c r="A26" s="3945"/>
      <x:c r="B26" s="3945"/>
      <x:c r="C26" s="3945"/>
      <x:c r="D26" s="3945"/>
      <x:c r="E26" s="3945"/>
      <x:c r="F26" s="3945"/>
      <x:c r="G26" s="3945"/>
      <x:c r="H26" s="3945"/>
      <x:c r="I26" s="3945"/>
      <x:c r="J26" s="3945"/>
      <x:c r="K26" s="3945"/>
      <x:c r="L26" s="3945"/>
      <x:c r="M26" s="3945"/>
      <x:c r="N26" s="3945"/>
      <x:c r="O26" s="3945"/>
      <x:c r="P26" s="3945"/>
      <x:c r="Q26" s="3945"/>
      <x:c r="R26" s="3945"/>
      <x:c r="S26" s="3945"/>
      <x:c r="T26" s="3945"/>
      <x:c r="U26" s="3945"/>
      <x:c r="V26" s="3945"/>
      <x:c r="W26" s="3945"/>
      <x:c r="X26" s="3945"/>
      <x:c r="Y26" s="3945"/>
      <x:c r="Z26" s="3945"/>
      <x:c r="AA26" s="3945"/>
      <x:c r="AB26" s="3945"/>
      <x:c r="AC26" s="3945"/>
      <x:c r="AD26" s="3945"/>
      <x:c r="AE26" s="3945"/>
      <x:c r="AF26" s="3945"/>
      <x:c r="AG26" s="3945"/>
      <x:c r="AH26" s="3945"/>
    </x:row>
    <x:row r="27">
      <x:c r="A27" s="3945"/>
      <x:c r="B27" s="3945"/>
      <x:c r="C27" s="3945"/>
      <x:c r="D27" s="3945"/>
      <x:c r="E27" s="3945"/>
      <x:c r="F27" s="3945"/>
      <x:c r="G27" s="3945"/>
      <x:c r="H27" s="3945"/>
      <x:c r="I27" s="3945"/>
      <x:c r="J27" s="3945"/>
      <x:c r="K27" s="3945"/>
      <x:c r="L27" s="3945"/>
      <x:c r="M27" s="3945"/>
      <x:c r="N27" s="3945"/>
      <x:c r="O27" s="3945"/>
      <x:c r="P27" s="3945"/>
      <x:c r="Q27" s="3945"/>
      <x:c r="R27" s="3945"/>
      <x:c r="S27" s="3945"/>
      <x:c r="T27" s="3945"/>
      <x:c r="U27" s="3945"/>
      <x:c r="V27" s="3945"/>
      <x:c r="W27" s="3945"/>
      <x:c r="X27" s="3945"/>
      <x:c r="Y27" s="3945"/>
      <x:c r="Z27" s="3945"/>
      <x:c r="AA27" s="3945"/>
      <x:c r="AB27" s="3945"/>
      <x:c r="AC27" s="3945"/>
      <x:c r="AD27" s="3945"/>
      <x:c r="AE27" s="3945"/>
      <x:c r="AF27" s="3945"/>
      <x:c r="AG27" s="3945"/>
      <x:c r="AH27" s="3945"/>
    </x:row>
    <x:row r="28">
      <x:c r="A28" s="4945" t="str">
        <x:v>02 · DATA PLANE · INTENCIÓN → REALIDAD → ACEPTACIÓN</x:v>
      </x:c>
      <x:c r="B28" s="4945"/>
      <x:c r="C28" s="4945"/>
      <x:c r="D28" s="4945"/>
      <x:c r="E28" s="4945"/>
      <x:c r="F28" s="4945"/>
      <x:c r="G28" s="4945"/>
      <x:c r="H28" s="4945"/>
      <x:c r="I28" s="4945"/>
      <x:c r="J28" s="4945"/>
      <x:c r="K28" s="4945"/>
      <x:c r="L28" s="4945"/>
      <x:c r="M28" s="4945"/>
      <x:c r="N28" s="4945"/>
      <x:c r="O28" s="4945"/>
      <x:c r="P28" s="4945"/>
      <x:c r="Q28" s="4945"/>
      <x:c r="R28" s="4945"/>
      <x:c r="S28" s="4945"/>
      <x:c r="T28" s="4945"/>
      <x:c r="U28" s="4945"/>
      <x:c r="V28" s="4945"/>
      <x:c r="W28" s="4945"/>
      <x:c r="X28" s="4945"/>
      <x:c r="Y28" s="4945"/>
      <x:c r="Z28" s="4945"/>
      <x:c r="AA28" s="4945"/>
      <x:c r="AB28" s="4945"/>
      <x:c r="AC28" s="4945"/>
      <x:c r="AD28" s="4945"/>
      <x:c r="AE28" s="4945"/>
      <x:c r="AF28" s="4945"/>
      <x:c r="AG28" s="4945"/>
      <x:c r="AH28" s="4945"/>
    </x:row>
    <x:row r="29">
      <x:c r="A29" s="3945"/>
      <x:c r="B29" s="3945"/>
      <x:c r="C29" s="3945"/>
      <x:c r="D29" s="3945"/>
      <x:c r="E29" s="3945"/>
      <x:c r="F29" s="3945"/>
      <x:c r="G29" s="3945"/>
      <x:c r="H29" s="3945"/>
      <x:c r="I29" s="3945"/>
      <x:c r="J29" s="3945"/>
      <x:c r="K29" s="3945"/>
      <x:c r="L29" s="3945"/>
      <x:c r="M29" s="3945"/>
      <x:c r="N29" s="3945"/>
      <x:c r="O29" s="3945"/>
      <x:c r="P29" s="3945"/>
      <x:c r="Q29" s="3945"/>
      <x:c r="R29" s="3945"/>
      <x:c r="S29" s="3945"/>
      <x:c r="T29" s="3945"/>
      <x:c r="U29" s="3945"/>
      <x:c r="V29" s="3945"/>
      <x:c r="W29" s="3945"/>
      <x:c r="X29" s="3945"/>
      <x:c r="Y29" s="3945"/>
      <x:c r="Z29" s="3945"/>
      <x:c r="AA29" s="3945"/>
      <x:c r="AB29" s="3945"/>
      <x:c r="AC29" s="3945"/>
      <x:c r="AD29" s="3945"/>
      <x:c r="AE29" s="3945"/>
      <x:c r="AF29" s="3945"/>
      <x:c r="AG29" s="3945"/>
      <x:c r="AH29" s="3945"/>
    </x:row>
    <x:row r="30">
      <x:c r="A30" s="4932" t="str">
        <x:v>PLANIFICACIÓN</x:v>
      </x:c>
      <x:c r="B30" s="4932"/>
      <x:c r="C30" s="4932"/>
      <x:c r="D30" s="4932"/>
      <x:c r="E30" s="4932"/>
      <x:c r="F30" s="4932"/>
      <x:c r="G30" s="4932"/>
      <x:c r="H30" s="4932"/>
      <x:c r="I30" s="4932"/>
      <x:c r="J30" s="4932"/>
      <x:c r="K30" s="3945"/>
      <x:c r="L30" s="4932" t="str">
        <x:v>EJECUCIÓN / PARTES</x:v>
      </x:c>
      <x:c r="M30" s="4932"/>
      <x:c r="N30" s="4932"/>
      <x:c r="O30" s="4932"/>
      <x:c r="P30" s="4932"/>
      <x:c r="Q30" s="4932"/>
      <x:c r="R30" s="4932"/>
      <x:c r="S30" s="4932"/>
      <x:c r="T30" s="4932"/>
      <x:c r="U30" s="4932"/>
      <x:c r="V30" s="4932"/>
      <x:c r="W30" s="4932"/>
      <x:c r="X30" s="4932"/>
      <x:c r="Y30" s="3945"/>
      <x:c r="Z30" s="4932" t="str">
        <x:v>CERTIFICACIÓN / FACTURACIÓN</x:v>
      </x:c>
      <x:c r="AA30" s="4932"/>
      <x:c r="AB30" s="4932"/>
      <x:c r="AC30" s="4932"/>
      <x:c r="AD30" s="4932"/>
      <x:c r="AE30" s="4932"/>
      <x:c r="AF30" s="4932"/>
      <x:c r="AG30" s="4932"/>
      <x:c r="AH30" s="4932"/>
    </x:row>
    <x:row r="31">
      <x:c r="A31" s="3945"/>
      <x:c r="B31" s="3945"/>
      <x:c r="C31" s="3945"/>
      <x:c r="D31" s="3945"/>
      <x:c r="E31" s="3945"/>
      <x:c r="F31" s="3945"/>
      <x:c r="G31" s="3945"/>
      <x:c r="H31" s="3945"/>
      <x:c r="I31" s="3945"/>
      <x:c r="J31" s="3945"/>
      <x:c r="K31" s="3945"/>
      <x:c r="L31" s="3945"/>
      <x:c r="M31" s="3945"/>
      <x:c r="N31" s="3945"/>
      <x:c r="O31" s="3945"/>
      <x:c r="P31" s="3945"/>
      <x:c r="Q31" s="3945"/>
      <x:c r="R31" s="3945"/>
      <x:c r="S31" s="3945"/>
      <x:c r="T31" s="3945"/>
      <x:c r="U31" s="3945"/>
      <x:c r="V31" s="3945"/>
      <x:c r="W31" s="3945"/>
      <x:c r="X31" s="3945"/>
      <x:c r="Y31" s="3945"/>
      <x:c r="Z31" s="3945"/>
      <x:c r="AA31" s="3945"/>
      <x:c r="AB31" s="3945"/>
      <x:c r="AC31" s="3945"/>
      <x:c r="AD31" s="3945"/>
      <x:c r="AE31" s="3945"/>
      <x:c r="AF31" s="3945"/>
      <x:c r="AG31" s="3945"/>
      <x:c r="AH31" s="3945"/>
    </x:row>
    <x:row r="32">
      <x:c r="A32" s="4895" t="str">
        <x:v>DEMANDA
OPERATIVA</x:v>
      </x:c>
      <x:c r="B32" s="4896"/>
      <x:c r="C32" s="4896"/>
      <x:c r="D32" s="4897"/>
      <x:c r="E32" s="3945"/>
      <x:c r="F32" s="3945"/>
      <x:c r="G32" s="3945"/>
      <x:c r="H32" s="3945"/>
      <x:c r="I32" s="3945"/>
      <x:c r="J32" s="3945"/>
      <x:c r="K32" s="4933" t="str">
        <x:v>I
N
T
E
R
F
A
C
E
A</x:v>
      </x:c>
      <x:c r="L32" s="4916" t="str">
        <x:v>ƒ MOTOR
DE RUTEO
NO selector libre</x:v>
      </x:c>
      <x:c r="M32" s="4917"/>
      <x:c r="N32" s="4917"/>
      <x:c r="O32" s="4917"/>
      <x:c r="P32" s="4918"/>
      <x:c r="Q32" s="3945"/>
      <x:c r="R32" s="4895" t="str">
        <x:v>PARTE
PK parte_id
TipoParte resuelto</x:v>
      </x:c>
      <x:c r="S32" s="4896"/>
      <x:c r="T32" s="4896"/>
      <x:c r="U32" s="4896"/>
      <x:c r="V32" s="4896"/>
      <x:c r="W32" s="4896"/>
      <x:c r="X32" s="4897"/>
      <x:c r="Y32" s="4933" t="str">
        <x:v>I
N
T
E
R
F
A
C
E
B</x:v>
      </x:c>
      <x:c r="Z32" s="4895" t="str">
        <x:v>NORMALIZAR
verdad operacional
+ LINEAGE</x:v>
      </x:c>
      <x:c r="AA32" s="4896"/>
      <x:c r="AB32" s="4896"/>
      <x:c r="AC32" s="4897"/>
      <x:c r="AD32" s="3945"/>
      <x:c r="AE32" s="4898" t="str">
        <x:v>ƒ GRANO UC
regla contractual</x:v>
      </x:c>
      <x:c r="AF32" s="4899"/>
      <x:c r="AG32" s="4899"/>
      <x:c r="AH32" s="4900"/>
    </x:row>
    <x:row r="33">
      <x:c r="A33" s="4901"/>
      <x:c r="B33" s="4902"/>
      <x:c r="C33" s="4902"/>
      <x:c r="D33" s="4903"/>
      <x:c r="E33" s="3945"/>
      <x:c r="F33" s="3945"/>
      <x:c r="G33" s="3945"/>
      <x:c r="H33" s="3945"/>
      <x:c r="I33" s="3945"/>
      <x:c r="J33" s="3945"/>
      <x:c r="K33" s="4933"/>
      <x:c r="L33" s="4922"/>
      <x:c r="M33" s="4923"/>
      <x:c r="N33" s="4923"/>
      <x:c r="O33" s="4923"/>
      <x:c r="P33" s="4924"/>
      <x:c r="Q33" s="3945"/>
      <x:c r="R33" s="4901"/>
      <x:c r="S33" s="4902"/>
      <x:c r="T33" s="4902"/>
      <x:c r="U33" s="4902"/>
      <x:c r="V33" s="4902"/>
      <x:c r="W33" s="4902"/>
      <x:c r="X33" s="4903"/>
      <x:c r="Y33" s="4933"/>
      <x:c r="Z33" s="4901"/>
      <x:c r="AA33" s="4902"/>
      <x:c r="AB33" s="4902"/>
      <x:c r="AC33" s="4903"/>
      <x:c r="AD33" s="3945"/>
      <x:c r="AE33" s="4904"/>
      <x:c r="AF33" s="4905"/>
      <x:c r="AG33" s="4905"/>
      <x:c r="AH33" s="4906"/>
    </x:row>
    <x:row r="34">
      <x:c r="A34" s="4901"/>
      <x:c r="B34" s="4902"/>
      <x:c r="C34" s="4902"/>
      <x:c r="D34" s="4903"/>
      <x:c r="E34" s="3945"/>
      <x:c r="F34" s="3945"/>
      <x:c r="G34" s="3945"/>
      <x:c r="H34" s="3945"/>
      <x:c r="I34" s="3945"/>
      <x:c r="J34" s="3945"/>
      <x:c r="K34" s="4933"/>
      <x:c r="L34" s="4922"/>
      <x:c r="M34" s="4923"/>
      <x:c r="N34" s="4923"/>
      <x:c r="O34" s="4923"/>
      <x:c r="P34" s="4924"/>
      <x:c r="Q34" s="4122" t="str">
        <x:v>→</x:v>
      </x:c>
      <x:c r="R34" s="4901"/>
      <x:c r="S34" s="4902"/>
      <x:c r="T34" s="4902"/>
      <x:c r="U34" s="4902"/>
      <x:c r="V34" s="4902"/>
      <x:c r="W34" s="4902"/>
      <x:c r="X34" s="4903"/>
      <x:c r="Y34" s="4933"/>
      <x:c r="Z34" s="4901"/>
      <x:c r="AA34" s="4902"/>
      <x:c r="AB34" s="4902"/>
      <x:c r="AC34" s="4903"/>
      <x:c r="AD34" s="4122" t="str">
        <x:v>→</x:v>
      </x:c>
      <x:c r="AE34" s="4904"/>
      <x:c r="AF34" s="4905"/>
      <x:c r="AG34" s="4905"/>
      <x:c r="AH34" s="4906"/>
    </x:row>
    <x:row r="35">
      <x:c r="A35" s="4901"/>
      <x:c r="B35" s="4902"/>
      <x:c r="C35" s="4902"/>
      <x:c r="D35" s="4903"/>
      <x:c r="E35" s="3945"/>
      <x:c r="F35" s="3945"/>
      <x:c r="G35" s="3945"/>
      <x:c r="H35" s="3945"/>
      <x:c r="I35" s="3945"/>
      <x:c r="J35" s="3945"/>
      <x:c r="K35" s="4933"/>
      <x:c r="L35" s="4922"/>
      <x:c r="M35" s="4923"/>
      <x:c r="N35" s="4923"/>
      <x:c r="O35" s="4923"/>
      <x:c r="P35" s="4924"/>
      <x:c r="Q35" s="3945"/>
      <x:c r="R35" s="4901"/>
      <x:c r="S35" s="4902"/>
      <x:c r="T35" s="4902"/>
      <x:c r="U35" s="4902"/>
      <x:c r="V35" s="4902"/>
      <x:c r="W35" s="4902"/>
      <x:c r="X35" s="4903"/>
      <x:c r="Y35" s="4933"/>
      <x:c r="Z35" s="4901"/>
      <x:c r="AA35" s="4902"/>
      <x:c r="AB35" s="4902"/>
      <x:c r="AC35" s="4903"/>
      <x:c r="AD35" s="3945"/>
      <x:c r="AE35" s="4904"/>
      <x:c r="AF35" s="4905"/>
      <x:c r="AG35" s="4905"/>
      <x:c r="AH35" s="4906"/>
    </x:row>
    <x:row r="36">
      <x:c r="A36" s="4907"/>
      <x:c r="B36" s="4908"/>
      <x:c r="C36" s="4908"/>
      <x:c r="D36" s="4909"/>
      <x:c r="E36" s="3945"/>
      <x:c r="F36" s="3945"/>
      <x:c r="G36" s="3945"/>
      <x:c r="H36" s="3945"/>
      <x:c r="I36" s="3945"/>
      <x:c r="J36" s="3945"/>
      <x:c r="K36" s="4933"/>
      <x:c r="L36" s="4928"/>
      <x:c r="M36" s="4929"/>
      <x:c r="N36" s="4929"/>
      <x:c r="O36" s="4929"/>
      <x:c r="P36" s="4930"/>
      <x:c r="Q36" s="3945"/>
      <x:c r="R36" s="4907"/>
      <x:c r="S36" s="4908"/>
      <x:c r="T36" s="4908"/>
      <x:c r="U36" s="4908"/>
      <x:c r="V36" s="4908"/>
      <x:c r="W36" s="4908"/>
      <x:c r="X36" s="4909"/>
      <x:c r="Y36" s="4933"/>
      <x:c r="Z36" s="4907"/>
      <x:c r="AA36" s="4908"/>
      <x:c r="AB36" s="4908"/>
      <x:c r="AC36" s="4909"/>
      <x:c r="AD36" s="3945"/>
      <x:c r="AE36" s="4910"/>
      <x:c r="AF36" s="4911"/>
      <x:c r="AG36" s="4911"/>
      <x:c r="AH36" s="4912"/>
    </x:row>
    <x:row r="37">
      <x:c r="A37" s="3945"/>
      <x:c r="B37" s="4138" t="str">
        <x:v>↓</x:v>
      </x:c>
      <x:c r="C37" s="3945"/>
      <x:c r="D37" s="3945"/>
      <x:c r="E37" s="3945"/>
      <x:c r="F37" s="3945"/>
      <x:c r="G37" s="3945"/>
      <x:c r="H37" s="3945"/>
      <x:c r="I37" s="3945"/>
      <x:c r="J37" s="3945"/>
      <x:c r="K37" s="4933"/>
      <x:c r="L37" s="3945"/>
      <x:c r="M37" s="3945"/>
      <x:c r="N37" s="3945"/>
      <x:c r="O37" s="3945"/>
      <x:c r="P37" s="3945"/>
      <x:c r="Q37" s="3945"/>
      <x:c r="R37" s="3945"/>
      <x:c r="S37" s="3945"/>
      <x:c r="T37" s="3945"/>
      <x:c r="U37" s="3945"/>
      <x:c r="V37" s="3945"/>
      <x:c r="W37" s="3945"/>
      <x:c r="X37" s="3945"/>
      <x:c r="Y37" s="4933"/>
      <x:c r="Z37" s="3945"/>
      <x:c r="AA37" s="3945"/>
      <x:c r="AB37" s="3945"/>
      <x:c r="AC37" s="3945"/>
      <x:c r="AD37" s="3945"/>
      <x:c r="AE37" s="3945"/>
      <x:c r="AF37" s="4138" t="str">
        <x:v>↓</x:v>
      </x:c>
      <x:c r="AG37" s="3945"/>
      <x:c r="AH37" s="3945"/>
    </x:row>
    <x:row r="38">
      <x:c r="A38" s="4895" t="str">
        <x:v>PLANIFICACIÓN
+ VERSIONES</x:v>
      </x:c>
      <x:c r="B38" s="4896"/>
      <x:c r="C38" s="4896"/>
      <x:c r="D38" s="4897"/>
      <x:c r="E38" s="3945"/>
      <x:c r="F38" s="4895" t="str">
        <x:v>ASIGNACIÓN
PLANIFICADA</x:v>
      </x:c>
      <x:c r="G38" s="4896"/>
      <x:c r="H38" s="4896"/>
      <x:c r="I38" s="4896"/>
      <x:c r="J38" s="4897"/>
      <x:c r="K38" s="4933"/>
      <x:c r="L38" s="4895" t="str">
        <x:v>TP-01
INTERVENCIÓN
WORK PACKAGE
1..N UE</x:v>
      </x:c>
      <x:c r="M38" s="4896"/>
      <x:c r="N38" s="4896"/>
      <x:c r="O38" s="4896"/>
      <x:c r="P38" s="4897"/>
      <x:c r="Q38" s="4895" t="str">
        <x:v>TP-02
TRANSPORTE
N movimientos/UE</x:v>
      </x:c>
      <x:c r="R38" s="4896"/>
      <x:c r="S38" s="4896"/>
      <x:c r="T38" s="4897"/>
      <x:c r="U38" s="4895" t="str">
        <x:v>TP-03
CUADRILLA
N UE / turno</x:v>
      </x:c>
      <x:c r="V38" s="4896"/>
      <x:c r="W38" s="4896"/>
      <x:c r="X38" s="4897"/>
      <x:c r="Y38" s="4933"/>
      <x:c r="Z38" s="4895" t="str">
        <x:v>UNIDAD COMERCIAL
N:M con UE
source versionado</x:v>
      </x:c>
      <x:c r="AA38" s="4896"/>
      <x:c r="AB38" s="4896"/>
      <x:c r="AC38" s="4896"/>
      <x:c r="AD38" s="4897"/>
      <x:c r="AE38" s="4916" t="str">
        <x:v>SUPERSESSION
UC v2 → UC v1</x:v>
      </x:c>
      <x:c r="AF38" s="4917"/>
      <x:c r="AG38" s="4917"/>
      <x:c r="AH38" s="4918"/>
    </x:row>
    <x:row r="39">
      <x:c r="A39" s="4901"/>
      <x:c r="B39" s="4902"/>
      <x:c r="C39" s="4902"/>
      <x:c r="D39" s="4903"/>
      <x:c r="E39" s="3945"/>
      <x:c r="F39" s="4901"/>
      <x:c r="G39" s="4902"/>
      <x:c r="H39" s="4902"/>
      <x:c r="I39" s="4902"/>
      <x:c r="J39" s="4903"/>
      <x:c r="K39" s="4933"/>
      <x:c r="L39" s="4901"/>
      <x:c r="M39" s="4902"/>
      <x:c r="N39" s="4902"/>
      <x:c r="O39" s="4902"/>
      <x:c r="P39" s="4903"/>
      <x:c r="Q39" s="4901"/>
      <x:c r="R39" s="4902"/>
      <x:c r="S39" s="4902"/>
      <x:c r="T39" s="4903"/>
      <x:c r="U39" s="4901"/>
      <x:c r="V39" s="4902"/>
      <x:c r="W39" s="4902"/>
      <x:c r="X39" s="4903"/>
      <x:c r="Y39" s="4933"/>
      <x:c r="Z39" s="4901"/>
      <x:c r="AA39" s="4902"/>
      <x:c r="AB39" s="4902"/>
      <x:c r="AC39" s="4902"/>
      <x:c r="AD39" s="4903"/>
      <x:c r="AE39" s="4922"/>
      <x:c r="AF39" s="4923"/>
      <x:c r="AG39" s="4923"/>
      <x:c r="AH39" s="4924"/>
    </x:row>
    <x:row r="40">
      <x:c r="A40" s="4901"/>
      <x:c r="B40" s="4902"/>
      <x:c r="C40" s="4902"/>
      <x:c r="D40" s="4903"/>
      <x:c r="E40" s="4122" t="str">
        <x:v>→</x:v>
      </x:c>
      <x:c r="F40" s="4901"/>
      <x:c r="G40" s="4902"/>
      <x:c r="H40" s="4902"/>
      <x:c r="I40" s="4902"/>
      <x:c r="J40" s="4903"/>
      <x:c r="K40" s="4933"/>
      <x:c r="L40" s="4901"/>
      <x:c r="M40" s="4902"/>
      <x:c r="N40" s="4902"/>
      <x:c r="O40" s="4902"/>
      <x:c r="P40" s="4903"/>
      <x:c r="Q40" s="4901"/>
      <x:c r="R40" s="4902"/>
      <x:c r="S40" s="4902"/>
      <x:c r="T40" s="4903"/>
      <x:c r="U40" s="4901"/>
      <x:c r="V40" s="4902"/>
      <x:c r="W40" s="4902"/>
      <x:c r="X40" s="4903"/>
      <x:c r="Y40" s="4933"/>
      <x:c r="Z40" s="4901"/>
      <x:c r="AA40" s="4902"/>
      <x:c r="AB40" s="4902"/>
      <x:c r="AC40" s="4902"/>
      <x:c r="AD40" s="4903"/>
      <x:c r="AE40" s="4922"/>
      <x:c r="AF40" s="4923"/>
      <x:c r="AG40" s="4923"/>
      <x:c r="AH40" s="4924"/>
    </x:row>
    <x:row r="41">
      <x:c r="A41" s="4901"/>
      <x:c r="B41" s="4902"/>
      <x:c r="C41" s="4902"/>
      <x:c r="D41" s="4903"/>
      <x:c r="E41" s="3945"/>
      <x:c r="F41" s="4901"/>
      <x:c r="G41" s="4902"/>
      <x:c r="H41" s="4902"/>
      <x:c r="I41" s="4902"/>
      <x:c r="J41" s="4903"/>
      <x:c r="K41" s="4933"/>
      <x:c r="L41" s="4901"/>
      <x:c r="M41" s="4902"/>
      <x:c r="N41" s="4902"/>
      <x:c r="O41" s="4902"/>
      <x:c r="P41" s="4903"/>
      <x:c r="Q41" s="4901"/>
      <x:c r="R41" s="4902"/>
      <x:c r="S41" s="4902"/>
      <x:c r="T41" s="4903"/>
      <x:c r="U41" s="4901"/>
      <x:c r="V41" s="4902"/>
      <x:c r="W41" s="4902"/>
      <x:c r="X41" s="4903"/>
      <x:c r="Y41" s="4933"/>
      <x:c r="Z41" s="4901"/>
      <x:c r="AA41" s="4902"/>
      <x:c r="AB41" s="4902"/>
      <x:c r="AC41" s="4902"/>
      <x:c r="AD41" s="4903"/>
      <x:c r="AE41" s="4922"/>
      <x:c r="AF41" s="4923"/>
      <x:c r="AG41" s="4923"/>
      <x:c r="AH41" s="4924"/>
    </x:row>
    <x:row r="42">
      <x:c r="A42" s="4907"/>
      <x:c r="B42" s="4908"/>
      <x:c r="C42" s="4908"/>
      <x:c r="D42" s="4909"/>
      <x:c r="E42" s="3945"/>
      <x:c r="F42" s="4907"/>
      <x:c r="G42" s="4908"/>
      <x:c r="H42" s="4908"/>
      <x:c r="I42" s="4908"/>
      <x:c r="J42" s="4909"/>
      <x:c r="K42" s="4933"/>
      <x:c r="L42" s="4901"/>
      <x:c r="M42" s="4902"/>
      <x:c r="N42" s="4902"/>
      <x:c r="O42" s="4902"/>
      <x:c r="P42" s="4903"/>
      <x:c r="Q42" s="4901"/>
      <x:c r="R42" s="4902"/>
      <x:c r="S42" s="4902"/>
      <x:c r="T42" s="4903"/>
      <x:c r="U42" s="4901"/>
      <x:c r="V42" s="4902"/>
      <x:c r="W42" s="4902"/>
      <x:c r="X42" s="4903"/>
      <x:c r="Y42" s="4933"/>
      <x:c r="Z42" s="4901"/>
      <x:c r="AA42" s="4902"/>
      <x:c r="AB42" s="4902"/>
      <x:c r="AC42" s="4902"/>
      <x:c r="AD42" s="4903"/>
      <x:c r="AE42" s="4922"/>
      <x:c r="AF42" s="4923"/>
      <x:c r="AG42" s="4923"/>
      <x:c r="AH42" s="4924"/>
    </x:row>
    <x:row r="43">
      <x:c r="A43" s="3945"/>
      <x:c r="B43" s="3945"/>
      <x:c r="C43" s="3945"/>
      <x:c r="D43" s="3945"/>
      <x:c r="E43" s="3945"/>
      <x:c r="F43" s="3945"/>
      <x:c r="G43" s="3945"/>
      <x:c r="H43" s="4138" t="str">
        <x:v>↓</x:v>
      </x:c>
      <x:c r="I43" s="3945"/>
      <x:c r="J43" s="3945"/>
      <x:c r="K43" s="4933"/>
      <x:c r="L43" s="4901"/>
      <x:c r="M43" s="4902"/>
      <x:c r="N43" s="4902"/>
      <x:c r="O43" s="4902"/>
      <x:c r="P43" s="4903"/>
      <x:c r="Q43" s="4901"/>
      <x:c r="R43" s="4902"/>
      <x:c r="S43" s="4902"/>
      <x:c r="T43" s="4903"/>
      <x:c r="U43" s="4901"/>
      <x:c r="V43" s="4902"/>
      <x:c r="W43" s="4902"/>
      <x:c r="X43" s="4903"/>
      <x:c r="Y43" s="4933"/>
      <x:c r="Z43" s="4907"/>
      <x:c r="AA43" s="4908"/>
      <x:c r="AB43" s="4908"/>
      <x:c r="AC43" s="4908"/>
      <x:c r="AD43" s="4909"/>
      <x:c r="AE43" s="4928"/>
      <x:c r="AF43" s="4929"/>
      <x:c r="AG43" s="4929"/>
      <x:c r="AH43" s="4930"/>
    </x:row>
    <x:row r="44">
      <x:c r="A44" s="4898" t="str">
        <x:v>REQUERIMIENTOS
recurso · competencia</x:v>
      </x:c>
      <x:c r="B44" s="4899"/>
      <x:c r="C44" s="4899"/>
      <x:c r="D44" s="4900"/>
      <x:c r="E44" s="3945"/>
      <x:c r="F44" s="4895" t="str">
        <x:v>UNIDAD
PLANIFICADA</x:v>
      </x:c>
      <x:c r="G44" s="4896"/>
      <x:c r="H44" s="4896"/>
      <x:c r="I44" s="4896"/>
      <x:c r="J44" s="4897"/>
      <x:c r="K44" s="4933"/>
      <x:c r="L44" s="4907"/>
      <x:c r="M44" s="4908"/>
      <x:c r="N44" s="4908"/>
      <x:c r="O44" s="4908"/>
      <x:c r="P44" s="4909"/>
      <x:c r="Q44" s="4907"/>
      <x:c r="R44" s="4908"/>
      <x:c r="S44" s="4908"/>
      <x:c r="T44" s="4909"/>
      <x:c r="U44" s="4907"/>
      <x:c r="V44" s="4908"/>
      <x:c r="W44" s="4908"/>
      <x:c r="X44" s="4909"/>
      <x:c r="Y44" s="4933"/>
      <x:c r="Z44" s="3945"/>
      <x:c r="AA44" s="3945"/>
      <x:c r="AB44" s="4138" t="str">
        <x:v>↓</x:v>
      </x:c>
      <x:c r="AC44" s="3945"/>
      <x:c r="AD44" s="3945"/>
      <x:c r="AE44" s="3945"/>
      <x:c r="AF44" s="3945"/>
      <x:c r="AG44" s="3945"/>
      <x:c r="AH44" s="3945"/>
    </x:row>
    <x:row r="45">
      <x:c r="A45" s="4904"/>
      <x:c r="B45" s="4905"/>
      <x:c r="C45" s="4905"/>
      <x:c r="D45" s="4906"/>
      <x:c r="E45" s="3945"/>
      <x:c r="F45" s="4901"/>
      <x:c r="G45" s="4902"/>
      <x:c r="H45" s="4902"/>
      <x:c r="I45" s="4902"/>
      <x:c r="J45" s="4903"/>
      <x:c r="K45" s="4933"/>
      <x:c r="L45" s="3945"/>
      <x:c r="M45" s="3945"/>
      <x:c r="N45" s="3945"/>
      <x:c r="O45" s="3945"/>
      <x:c r="P45" s="3945"/>
      <x:c r="Q45" s="3945"/>
      <x:c r="R45" s="4138" t="str">
        <x:v>↓</x:v>
      </x:c>
      <x:c r="S45" s="3945"/>
      <x:c r="T45" s="3945"/>
      <x:c r="U45" s="3945"/>
      <x:c r="V45" s="3945"/>
      <x:c r="W45" s="3945"/>
      <x:c r="X45" s="3945"/>
      <x:c r="Y45" s="4933"/>
      <x:c r="Z45" s="4895" t="str">
        <x:v>PAQUETE
CERTIFICACIÓN
bridge versionado</x:v>
      </x:c>
      <x:c r="AA45" s="4896"/>
      <x:c r="AB45" s="4896"/>
      <x:c r="AC45" s="4896"/>
      <x:c r="AD45" s="4897"/>
      <x:c r="AE45" s="4895" t="str">
        <x:v>CONFORMIDAD
OBSERVACIÓN
AJUSTE</x:v>
      </x:c>
      <x:c r="AF45" s="4896"/>
      <x:c r="AG45" s="4896"/>
      <x:c r="AH45" s="4897"/>
    </x:row>
    <x:row r="46">
      <x:c r="A46" s="4904"/>
      <x:c r="B46" s="4905"/>
      <x:c r="C46" s="4905"/>
      <x:c r="D46" s="4906"/>
      <x:c r="E46" s="3945"/>
      <x:c r="F46" s="4901"/>
      <x:c r="G46" s="4902"/>
      <x:c r="H46" s="4902"/>
      <x:c r="I46" s="4902"/>
      <x:c r="J46" s="4903"/>
      <x:c r="K46" s="4933"/>
      <x:c r="L46" s="3945"/>
      <x:c r="M46" s="3945"/>
      <x:c r="N46" s="3945"/>
      <x:c r="O46" s="3945"/>
      <x:c r="P46" s="4895" t="str">
        <x:v>UNIDAD EJECUCIÓN
GRANO OPERACIONAL
PENDIENTE→EJECUCIÓN→CERRADA</x:v>
      </x:c>
      <x:c r="Q46" s="4896"/>
      <x:c r="R46" s="4896"/>
      <x:c r="S46" s="4896"/>
      <x:c r="T46" s="4897"/>
      <x:c r="U46" s="3945"/>
      <x:c r="V46" s="3945"/>
      <x:c r="W46" s="3945"/>
      <x:c r="X46" s="3945"/>
      <x:c r="Y46" s="4933"/>
      <x:c r="Z46" s="4901"/>
      <x:c r="AA46" s="4902"/>
      <x:c r="AB46" s="4902"/>
      <x:c r="AC46" s="4902"/>
      <x:c r="AD46" s="4903"/>
      <x:c r="AE46" s="4901"/>
      <x:c r="AF46" s="4902"/>
      <x:c r="AG46" s="4902"/>
      <x:c r="AH46" s="4903"/>
    </x:row>
    <x:row r="47">
      <x:c r="A47" s="4904"/>
      <x:c r="B47" s="4905"/>
      <x:c r="C47" s="4905"/>
      <x:c r="D47" s="4906"/>
      <x:c r="E47" s="3945"/>
      <x:c r="F47" s="4901"/>
      <x:c r="G47" s="4902"/>
      <x:c r="H47" s="4902"/>
      <x:c r="I47" s="4902"/>
      <x:c r="J47" s="4903"/>
      <x:c r="K47" s="4933"/>
      <x:c r="L47" s="3945"/>
      <x:c r="M47" s="3945"/>
      <x:c r="N47" s="3945"/>
      <x:c r="O47" s="3945"/>
      <x:c r="P47" s="4901"/>
      <x:c r="Q47" s="4902"/>
      <x:c r="R47" s="4902"/>
      <x:c r="S47" s="4902"/>
      <x:c r="T47" s="4903"/>
      <x:c r="U47" s="3945"/>
      <x:c r="V47" s="3945"/>
      <x:c r="W47" s="3945"/>
      <x:c r="X47" s="3945"/>
      <x:c r="Y47" s="4933"/>
      <x:c r="Z47" s="4901"/>
      <x:c r="AA47" s="4902"/>
      <x:c r="AB47" s="4902"/>
      <x:c r="AC47" s="4902"/>
      <x:c r="AD47" s="4903"/>
      <x:c r="AE47" s="4901"/>
      <x:c r="AF47" s="4902"/>
      <x:c r="AG47" s="4902"/>
      <x:c r="AH47" s="4903"/>
    </x:row>
    <x:row r="48">
      <x:c r="A48" s="4910"/>
      <x:c r="B48" s="4911"/>
      <x:c r="C48" s="4911"/>
      <x:c r="D48" s="4912"/>
      <x:c r="E48" s="3945"/>
      <x:c r="F48" s="4907"/>
      <x:c r="G48" s="4908"/>
      <x:c r="H48" s="4908"/>
      <x:c r="I48" s="4908"/>
      <x:c r="J48" s="4909"/>
      <x:c r="K48" s="4933"/>
      <x:c r="L48" s="3945"/>
      <x:c r="M48" s="3945"/>
      <x:c r="N48" s="3945"/>
      <x:c r="O48" s="3945"/>
      <x:c r="P48" s="4901"/>
      <x:c r="Q48" s="4902"/>
      <x:c r="R48" s="4902"/>
      <x:c r="S48" s="4902"/>
      <x:c r="T48" s="4903"/>
      <x:c r="U48" s="3945"/>
      <x:c r="V48" s="3945"/>
      <x:c r="W48" s="3945"/>
      <x:c r="X48" s="3945"/>
      <x:c r="Y48" s="4933"/>
      <x:c r="Z48" s="4901"/>
      <x:c r="AA48" s="4902"/>
      <x:c r="AB48" s="4902"/>
      <x:c r="AC48" s="4902"/>
      <x:c r="AD48" s="4903"/>
      <x:c r="AE48" s="4901"/>
      <x:c r="AF48" s="4902"/>
      <x:c r="AG48" s="4902"/>
      <x:c r="AH48" s="4903"/>
    </x:row>
    <x:row r="49">
      <x:c r="A49" s="3945"/>
      <x:c r="B49" s="3945"/>
      <x:c r="C49" s="3945"/>
      <x:c r="D49" s="3945"/>
      <x:c r="E49" s="3945"/>
      <x:c r="F49" s="3945"/>
      <x:c r="G49" s="3945"/>
      <x:c r="H49" s="3945"/>
      <x:c r="I49" s="3945"/>
      <x:c r="J49" s="3945"/>
      <x:c r="K49" s="4933"/>
      <x:c r="L49" s="3945"/>
      <x:c r="M49" s="3945"/>
      <x:c r="N49" s="3945"/>
      <x:c r="O49" s="3945"/>
      <x:c r="P49" s="4901"/>
      <x:c r="Q49" s="4902"/>
      <x:c r="R49" s="4902"/>
      <x:c r="S49" s="4902"/>
      <x:c r="T49" s="4903"/>
      <x:c r="U49" s="3945"/>
      <x:c r="V49" s="3945"/>
      <x:c r="W49" s="3945"/>
      <x:c r="X49" s="3945"/>
      <x:c r="Y49" s="4933"/>
      <x:c r="Z49" s="4901"/>
      <x:c r="AA49" s="4902"/>
      <x:c r="AB49" s="4902"/>
      <x:c r="AC49" s="4902"/>
      <x:c r="AD49" s="4903"/>
      <x:c r="AE49" s="4901"/>
      <x:c r="AF49" s="4902"/>
      <x:c r="AG49" s="4902"/>
      <x:c r="AH49" s="4903"/>
    </x:row>
    <x:row r="50">
      <x:c r="A50" s="4916" t="str">
        <x:v>NOMINACIÓN
persona · recurso</x:v>
      </x:c>
      <x:c r="B50" s="4917"/>
      <x:c r="C50" s="4917"/>
      <x:c r="D50" s="4918"/>
      <x:c r="E50" s="3945"/>
      <x:c r="F50" s="4895" t="str">
        <x:v>READINESS
snapshot temporal</x:v>
      </x:c>
      <x:c r="G50" s="4896"/>
      <x:c r="H50" s="4896"/>
      <x:c r="I50" s="4896"/>
      <x:c r="J50" s="4897"/>
      <x:c r="K50" s="4933"/>
      <x:c r="L50" s="3945"/>
      <x:c r="M50" s="3945"/>
      <x:c r="N50" s="3945"/>
      <x:c r="O50" s="3945"/>
      <x:c r="P50" s="4901"/>
      <x:c r="Q50" s="4902"/>
      <x:c r="R50" s="4902"/>
      <x:c r="S50" s="4902"/>
      <x:c r="T50" s="4903"/>
      <x:c r="U50" s="3945"/>
      <x:c r="V50" s="3945"/>
      <x:c r="W50" s="3945"/>
      <x:c r="X50" s="3945"/>
      <x:c r="Y50" s="4933"/>
      <x:c r="Z50" s="4907"/>
      <x:c r="AA50" s="4908"/>
      <x:c r="AB50" s="4908"/>
      <x:c r="AC50" s="4908"/>
      <x:c r="AD50" s="4909"/>
      <x:c r="AE50" s="4907"/>
      <x:c r="AF50" s="4908"/>
      <x:c r="AG50" s="4908"/>
      <x:c r="AH50" s="4909"/>
    </x:row>
    <x:row r="51">
      <x:c r="A51" s="4922"/>
      <x:c r="B51" s="4923"/>
      <x:c r="C51" s="4923"/>
      <x:c r="D51" s="4924"/>
      <x:c r="E51" s="3945"/>
      <x:c r="F51" s="4901"/>
      <x:c r="G51" s="4902"/>
      <x:c r="H51" s="4902"/>
      <x:c r="I51" s="4902"/>
      <x:c r="J51" s="4903"/>
      <x:c r="K51" s="4933"/>
      <x:c r="L51" s="3945"/>
      <x:c r="M51" s="3945"/>
      <x:c r="N51" s="3945"/>
      <x:c r="O51" s="3945"/>
      <x:c r="P51" s="4907"/>
      <x:c r="Q51" s="4908"/>
      <x:c r="R51" s="4908"/>
      <x:c r="S51" s="4908"/>
      <x:c r="T51" s="4909"/>
      <x:c r="U51" s="3945"/>
      <x:c r="V51" s="3945"/>
      <x:c r="W51" s="3945"/>
      <x:c r="X51" s="3945"/>
      <x:c r="Y51" s="4933"/>
      <x:c r="Z51" s="3945"/>
      <x:c r="AA51" s="3945"/>
      <x:c r="AB51" s="4138" t="str">
        <x:v>↓</x:v>
      </x:c>
      <x:c r="AC51" s="3945"/>
      <x:c r="AD51" s="3945"/>
      <x:c r="AE51" s="3945"/>
      <x:c r="AF51" s="3945"/>
      <x:c r="AG51" s="3945"/>
      <x:c r="AH51" s="3945"/>
    </x:row>
    <x:row r="52">
      <x:c r="A52" s="4922"/>
      <x:c r="B52" s="4923"/>
      <x:c r="C52" s="4923"/>
      <x:c r="D52" s="4924"/>
      <x:c r="E52" s="4122" t="str">
        <x:v>→</x:v>
      </x:c>
      <x:c r="F52" s="4901"/>
      <x:c r="G52" s="4902"/>
      <x:c r="H52" s="4902"/>
      <x:c r="I52" s="4902"/>
      <x:c r="J52" s="4903"/>
      <x:c r="K52" s="4933"/>
      <x:c r="L52" s="3945"/>
      <x:c r="M52" s="3945"/>
      <x:c r="N52" s="3945"/>
      <x:c r="O52" s="3945"/>
      <x:c r="P52" s="3945"/>
      <x:c r="Q52" s="3945"/>
      <x:c r="R52" s="3945"/>
      <x:c r="S52" s="3945"/>
      <x:c r="T52" s="3945"/>
      <x:c r="U52" s="3945"/>
      <x:c r="V52" s="3945"/>
      <x:c r="W52" s="3945"/>
      <x:c r="X52" s="3945"/>
      <x:c r="Y52" s="4933"/>
      <x:c r="Z52" s="4895" t="str">
        <x:v>LÍNEA
FACTURABLE</x:v>
      </x:c>
      <x:c r="AA52" s="4896"/>
      <x:c r="AB52" s="4896"/>
      <x:c r="AC52" s="4896"/>
      <x:c r="AD52" s="4897"/>
      <x:c r="AE52" s="3945"/>
      <x:c r="AF52" s="4895" t="str">
        <x:v>LOTE
FACTURACIÓN</x:v>
      </x:c>
      <x:c r="AG52" s="4896"/>
      <x:c r="AH52" s="4897"/>
    </x:row>
    <x:row r="53">
      <x:c r="A53" s="4922"/>
      <x:c r="B53" s="4923"/>
      <x:c r="C53" s="4923"/>
      <x:c r="D53" s="4924"/>
      <x:c r="E53" s="3945"/>
      <x:c r="F53" s="4901"/>
      <x:c r="G53" s="4902"/>
      <x:c r="H53" s="4902"/>
      <x:c r="I53" s="4902"/>
      <x:c r="J53" s="4903"/>
      <x:c r="K53" s="4933"/>
      <x:c r="L53" s="4916" t="str">
        <x:v>PERSONAS
intervalos · handover
reemplazos</x:v>
      </x:c>
      <x:c r="M53" s="4917"/>
      <x:c r="N53" s="4917"/>
      <x:c r="O53" s="4918"/>
      <x:c r="P53" s="4916" t="str">
        <x:v>RECURSOS
intervalos · apoyo
reemplazos</x:v>
      </x:c>
      <x:c r="Q53" s="4917"/>
      <x:c r="R53" s="4917"/>
      <x:c r="S53" s="4918"/>
      <x:c r="T53" s="4916" t="str">
        <x:v>UBICACIÓN
+ TIEMPOS
+ TRANSICIONES</x:v>
      </x:c>
      <x:c r="U53" s="4917"/>
      <x:c r="V53" s="4917"/>
      <x:c r="W53" s="4917"/>
      <x:c r="X53" s="4918"/>
      <x:c r="Y53" s="4933"/>
      <x:c r="Z53" s="4901"/>
      <x:c r="AA53" s="4902"/>
      <x:c r="AB53" s="4902"/>
      <x:c r="AC53" s="4902"/>
      <x:c r="AD53" s="4903"/>
      <x:c r="AE53" s="3945"/>
      <x:c r="AF53" s="4901"/>
      <x:c r="AG53" s="4902"/>
      <x:c r="AH53" s="4903"/>
    </x:row>
    <x:row r="54">
      <x:c r="A54" s="4928"/>
      <x:c r="B54" s="4929"/>
      <x:c r="C54" s="4929"/>
      <x:c r="D54" s="4930"/>
      <x:c r="E54" s="3945"/>
      <x:c r="F54" s="4907"/>
      <x:c r="G54" s="4908"/>
      <x:c r="H54" s="4908"/>
      <x:c r="I54" s="4908"/>
      <x:c r="J54" s="4909"/>
      <x:c r="K54" s="4933"/>
      <x:c r="L54" s="4922"/>
      <x:c r="M54" s="4923"/>
      <x:c r="N54" s="4923"/>
      <x:c r="O54" s="4924"/>
      <x:c r="P54" s="4922"/>
      <x:c r="Q54" s="4923"/>
      <x:c r="R54" s="4923"/>
      <x:c r="S54" s="4924"/>
      <x:c r="T54" s="4922"/>
      <x:c r="U54" s="4923"/>
      <x:c r="V54" s="4923"/>
      <x:c r="W54" s="4923"/>
      <x:c r="X54" s="4924"/>
      <x:c r="Y54" s="4933"/>
      <x:c r="Z54" s="4901"/>
      <x:c r="AA54" s="4902"/>
      <x:c r="AB54" s="4902"/>
      <x:c r="AC54" s="4902"/>
      <x:c r="AD54" s="4903"/>
      <x:c r="AE54" s="4122" t="str">
        <x:v>→</x:v>
      </x:c>
      <x:c r="AF54" s="4901"/>
      <x:c r="AG54" s="4902"/>
      <x:c r="AH54" s="4903"/>
    </x:row>
    <x:row r="55">
      <x:c r="A55" s="3945"/>
      <x:c r="B55" s="3945"/>
      <x:c r="C55" s="3945"/>
      <x:c r="D55" s="3945"/>
      <x:c r="E55" s="3945"/>
      <x:c r="F55" s="3945"/>
      <x:c r="G55" s="3945"/>
      <x:c r="H55" s="3945"/>
      <x:c r="I55" s="3945"/>
      <x:c r="J55" s="3945"/>
      <x:c r="K55" s="4933"/>
      <x:c r="L55" s="4922"/>
      <x:c r="M55" s="4923"/>
      <x:c r="N55" s="4923"/>
      <x:c r="O55" s="4924"/>
      <x:c r="P55" s="4922"/>
      <x:c r="Q55" s="4923"/>
      <x:c r="R55" s="4923"/>
      <x:c r="S55" s="4924"/>
      <x:c r="T55" s="4922"/>
      <x:c r="U55" s="4923"/>
      <x:c r="V55" s="4923"/>
      <x:c r="W55" s="4923"/>
      <x:c r="X55" s="4924"/>
      <x:c r="Y55" s="4933"/>
      <x:c r="Z55" s="4901"/>
      <x:c r="AA55" s="4902"/>
      <x:c r="AB55" s="4902"/>
      <x:c r="AC55" s="4902"/>
      <x:c r="AD55" s="4903"/>
      <x:c r="AE55" s="3945"/>
      <x:c r="AF55" s="4901"/>
      <x:c r="AG55" s="4902"/>
      <x:c r="AH55" s="4903"/>
    </x:row>
    <x:row r="56">
      <x:c r="A56" s="4934" t="str">
        <x:v>EXECUTION CONTEXT BUNDLE
proyección offline · versionada · NO fuente de verdad</x:v>
      </x:c>
      <x:c r="B56" s="4935"/>
      <x:c r="C56" s="4935"/>
      <x:c r="D56" s="4935"/>
      <x:c r="E56" s="4935"/>
      <x:c r="F56" s="4935"/>
      <x:c r="G56" s="4935"/>
      <x:c r="H56" s="4935"/>
      <x:c r="I56" s="4935"/>
      <x:c r="J56" s="4936"/>
      <x:c r="K56" s="4933"/>
      <x:c r="L56" s="4922"/>
      <x:c r="M56" s="4923"/>
      <x:c r="N56" s="4923"/>
      <x:c r="O56" s="4924"/>
      <x:c r="P56" s="4922"/>
      <x:c r="Q56" s="4923"/>
      <x:c r="R56" s="4923"/>
      <x:c r="S56" s="4924"/>
      <x:c r="T56" s="4922"/>
      <x:c r="U56" s="4923"/>
      <x:c r="V56" s="4923"/>
      <x:c r="W56" s="4923"/>
      <x:c r="X56" s="4924"/>
      <x:c r="Y56" s="4933"/>
      <x:c r="Z56" s="4907"/>
      <x:c r="AA56" s="4908"/>
      <x:c r="AB56" s="4908"/>
      <x:c r="AC56" s="4908"/>
      <x:c r="AD56" s="4909"/>
      <x:c r="AE56" s="3945"/>
      <x:c r="AF56" s="4907"/>
      <x:c r="AG56" s="4908"/>
      <x:c r="AH56" s="4909"/>
    </x:row>
    <x:row r="57">
      <x:c r="A57" s="4937"/>
      <x:c r="B57" s="4938"/>
      <x:c r="C57" s="4938"/>
      <x:c r="D57" s="4938"/>
      <x:c r="E57" s="4938"/>
      <x:c r="F57" s="4938"/>
      <x:c r="G57" s="4938"/>
      <x:c r="H57" s="4938"/>
      <x:c r="I57" s="4938"/>
      <x:c r="J57" s="4939"/>
      <x:c r="K57" s="4933"/>
      <x:c r="L57" s="4922"/>
      <x:c r="M57" s="4923"/>
      <x:c r="N57" s="4923"/>
      <x:c r="O57" s="4924"/>
      <x:c r="P57" s="4922"/>
      <x:c r="Q57" s="4923"/>
      <x:c r="R57" s="4923"/>
      <x:c r="S57" s="4924"/>
      <x:c r="T57" s="4922"/>
      <x:c r="U57" s="4923"/>
      <x:c r="V57" s="4923"/>
      <x:c r="W57" s="4923"/>
      <x:c r="X57" s="4924"/>
      <x:c r="Y57" s="4933"/>
      <x:c r="Z57" s="3945"/>
      <x:c r="AA57" s="3945"/>
      <x:c r="AB57" s="3945"/>
      <x:c r="AC57" s="3945"/>
      <x:c r="AD57" s="3945"/>
      <x:c r="AE57" s="3945"/>
      <x:c r="AF57" s="3945"/>
      <x:c r="AG57" s="3945"/>
      <x:c r="AH57" s="3945"/>
    </x:row>
    <x:row r="58">
      <x:c r="A58" s="4937"/>
      <x:c r="B58" s="4938"/>
      <x:c r="C58" s="4938"/>
      <x:c r="D58" s="4938"/>
      <x:c r="E58" s="4938"/>
      <x:c r="F58" s="4938"/>
      <x:c r="G58" s="4938"/>
      <x:c r="H58" s="4938"/>
      <x:c r="I58" s="4938"/>
      <x:c r="J58" s="4939"/>
      <x:c r="K58" s="4933"/>
      <x:c r="L58" s="4928"/>
      <x:c r="M58" s="4929"/>
      <x:c r="N58" s="4929"/>
      <x:c r="O58" s="4930"/>
      <x:c r="P58" s="4928"/>
      <x:c r="Q58" s="4929"/>
      <x:c r="R58" s="4929"/>
      <x:c r="S58" s="4930"/>
      <x:c r="T58" s="4928"/>
      <x:c r="U58" s="4929"/>
      <x:c r="V58" s="4929"/>
      <x:c r="W58" s="4929"/>
      <x:c r="X58" s="4930"/>
      <x:c r="Y58" s="4933"/>
      <x:c r="Z58" s="4934" t="str">
        <x:v>ERP / DOCUMENTO EXTERNO
BOUNDARY ADAPTABLE
el sistema funcional no inventa fiscalidad</x:v>
      </x:c>
      <x:c r="AA58" s="4935"/>
      <x:c r="AB58" s="4935"/>
      <x:c r="AC58" s="4935"/>
      <x:c r="AD58" s="4935"/>
      <x:c r="AE58" s="4935"/>
      <x:c r="AF58" s="4935"/>
      <x:c r="AG58" s="4935"/>
      <x:c r="AH58" s="4936"/>
    </x:row>
    <x:row r="59">
      <x:c r="A59" s="4937"/>
      <x:c r="B59" s="4938"/>
      <x:c r="C59" s="4938"/>
      <x:c r="D59" s="4938"/>
      <x:c r="E59" s="4938"/>
      <x:c r="F59" s="4938"/>
      <x:c r="G59" s="4938"/>
      <x:c r="H59" s="4938"/>
      <x:c r="I59" s="4938"/>
      <x:c r="J59" s="4939"/>
      <x:c r="K59" s="4933"/>
      <x:c r="L59" s="3945"/>
      <x:c r="M59" s="3945"/>
      <x:c r="N59" s="3945"/>
      <x:c r="O59" s="3945"/>
      <x:c r="P59" s="3945"/>
      <x:c r="Q59" s="3945"/>
      <x:c r="R59" s="3945"/>
      <x:c r="S59" s="3945"/>
      <x:c r="T59" s="3945"/>
      <x:c r="U59" s="3945"/>
      <x:c r="V59" s="3945"/>
      <x:c r="W59" s="3945"/>
      <x:c r="X59" s="3945"/>
      <x:c r="Y59" s="4933"/>
      <x:c r="Z59" s="4937"/>
      <x:c r="AA59" s="4938"/>
      <x:c r="AB59" s="4938"/>
      <x:c r="AC59" s="4938"/>
      <x:c r="AD59" s="4938"/>
      <x:c r="AE59" s="4938"/>
      <x:c r="AF59" s="4938"/>
      <x:c r="AG59" s="4938"/>
      <x:c r="AH59" s="4939"/>
    </x:row>
    <x:row r="60">
      <x:c r="A60" s="4940"/>
      <x:c r="B60" s="4941"/>
      <x:c r="C60" s="4941"/>
      <x:c r="D60" s="4941"/>
      <x:c r="E60" s="4941"/>
      <x:c r="F60" s="4941"/>
      <x:c r="G60" s="4941"/>
      <x:c r="H60" s="4941"/>
      <x:c r="I60" s="4941"/>
      <x:c r="J60" s="4942"/>
      <x:c r="K60" s="4933"/>
      <x:c r="L60" s="4895" t="str">
        <x:v>MEDICIONES
+ EVIDENCIAS</x:v>
      </x:c>
      <x:c r="M60" s="4896"/>
      <x:c r="N60" s="4896"/>
      <x:c r="O60" s="4896"/>
      <x:c r="P60" s="4897"/>
      <x:c r="Q60" s="4895" t="str">
        <x:v>IMPUTACIÓN
CS · CC · ITEM
RESUELTO/PENDIENTE</x:v>
      </x:c>
      <x:c r="R60" s="4896"/>
      <x:c r="S60" s="4896"/>
      <x:c r="T60" s="4897"/>
      <x:c r="U60" s="4895" t="str">
        <x:v>ENMIENDA
OPERATIVA
append-only</x:v>
      </x:c>
      <x:c r="V60" s="4896"/>
      <x:c r="W60" s="4896"/>
      <x:c r="X60" s="4897"/>
      <x:c r="Y60" s="4933"/>
      <x:c r="Z60" s="4937"/>
      <x:c r="AA60" s="4938"/>
      <x:c r="AB60" s="4938"/>
      <x:c r="AC60" s="4938"/>
      <x:c r="AD60" s="4938"/>
      <x:c r="AE60" s="4938"/>
      <x:c r="AF60" s="4938"/>
      <x:c r="AG60" s="4938"/>
      <x:c r="AH60" s="4939"/>
    </x:row>
    <x:row r="61">
      <x:c r="A61" s="3945"/>
      <x:c r="B61" s="3945"/>
      <x:c r="C61" s="3945"/>
      <x:c r="D61" s="3945"/>
      <x:c r="E61" s="3945"/>
      <x:c r="F61" s="3945"/>
      <x:c r="G61" s="3945"/>
      <x:c r="H61" s="3945"/>
      <x:c r="I61" s="3945"/>
      <x:c r="J61" s="3945"/>
      <x:c r="K61" s="3945"/>
      <x:c r="L61" s="4901"/>
      <x:c r="M61" s="4902"/>
      <x:c r="N61" s="4902"/>
      <x:c r="O61" s="4902"/>
      <x:c r="P61" s="4903"/>
      <x:c r="Q61" s="4901"/>
      <x:c r="R61" s="4902"/>
      <x:c r="S61" s="4902"/>
      <x:c r="T61" s="4903"/>
      <x:c r="U61" s="4901"/>
      <x:c r="V61" s="4902"/>
      <x:c r="W61" s="4902"/>
      <x:c r="X61" s="4903"/>
      <x:c r="Y61" s="4933"/>
      <x:c r="Z61" s="4937"/>
      <x:c r="AA61" s="4938"/>
      <x:c r="AB61" s="4938"/>
      <x:c r="AC61" s="4938"/>
      <x:c r="AD61" s="4938"/>
      <x:c r="AE61" s="4938"/>
      <x:c r="AF61" s="4938"/>
      <x:c r="AG61" s="4938"/>
      <x:c r="AH61" s="4939"/>
    </x:row>
    <x:row r="62">
      <x:c r="A62" s="3945"/>
      <x:c r="B62" s="3945"/>
      <x:c r="C62" s="3945"/>
      <x:c r="D62" s="3945"/>
      <x:c r="E62" s="3945"/>
      <x:c r="F62" s="3945"/>
      <x:c r="G62" s="3945"/>
      <x:c r="H62" s="3945"/>
      <x:c r="I62" s="3945"/>
      <x:c r="J62" s="3945"/>
      <x:c r="K62" s="3945"/>
      <x:c r="L62" s="4901"/>
      <x:c r="M62" s="4902"/>
      <x:c r="N62" s="4902"/>
      <x:c r="O62" s="4902"/>
      <x:c r="P62" s="4903"/>
      <x:c r="Q62" s="4901"/>
      <x:c r="R62" s="4902"/>
      <x:c r="S62" s="4902"/>
      <x:c r="T62" s="4903"/>
      <x:c r="U62" s="4901"/>
      <x:c r="V62" s="4902"/>
      <x:c r="W62" s="4902"/>
      <x:c r="X62" s="4903"/>
      <x:c r="Y62" s="4933"/>
      <x:c r="Z62" s="4937"/>
      <x:c r="AA62" s="4938"/>
      <x:c r="AB62" s="4938"/>
      <x:c r="AC62" s="4938"/>
      <x:c r="AD62" s="4938"/>
      <x:c r="AE62" s="4938"/>
      <x:c r="AF62" s="4938"/>
      <x:c r="AG62" s="4938"/>
      <x:c r="AH62" s="4939"/>
    </x:row>
    <x:row r="63">
      <x:c r="A63" s="3945"/>
      <x:c r="B63" s="3945"/>
      <x:c r="C63" s="3945"/>
      <x:c r="D63" s="3945"/>
      <x:c r="E63" s="3945"/>
      <x:c r="F63" s="3945"/>
      <x:c r="G63" s="3945"/>
      <x:c r="H63" s="3945"/>
      <x:c r="I63" s="3945"/>
      <x:c r="J63" s="3945"/>
      <x:c r="K63" s="3945"/>
      <x:c r="L63" s="4901"/>
      <x:c r="M63" s="4902"/>
      <x:c r="N63" s="4902"/>
      <x:c r="O63" s="4902"/>
      <x:c r="P63" s="4903"/>
      <x:c r="Q63" s="4901"/>
      <x:c r="R63" s="4902"/>
      <x:c r="S63" s="4902"/>
      <x:c r="T63" s="4903"/>
      <x:c r="U63" s="4901"/>
      <x:c r="V63" s="4902"/>
      <x:c r="W63" s="4902"/>
      <x:c r="X63" s="4903"/>
      <x:c r="Y63" s="4933"/>
      <x:c r="Z63" s="4937"/>
      <x:c r="AA63" s="4938"/>
      <x:c r="AB63" s="4938"/>
      <x:c r="AC63" s="4938"/>
      <x:c r="AD63" s="4938"/>
      <x:c r="AE63" s="4938"/>
      <x:c r="AF63" s="4938"/>
      <x:c r="AG63" s="4938"/>
      <x:c r="AH63" s="4939"/>
    </x:row>
    <x:row r="64">
      <x:c r="A64" s="3945"/>
      <x:c r="B64" s="3945"/>
      <x:c r="C64" s="3945"/>
      <x:c r="D64" s="3945"/>
      <x:c r="E64" s="3945"/>
      <x:c r="F64" s="3945"/>
      <x:c r="G64" s="3945"/>
      <x:c r="H64" s="3945"/>
      <x:c r="I64" s="3945"/>
      <x:c r="J64" s="3945"/>
      <x:c r="K64" s="3945"/>
      <x:c r="L64" s="4901"/>
      <x:c r="M64" s="4902"/>
      <x:c r="N64" s="4902"/>
      <x:c r="O64" s="4902"/>
      <x:c r="P64" s="4903"/>
      <x:c r="Q64" s="4901"/>
      <x:c r="R64" s="4902"/>
      <x:c r="S64" s="4902"/>
      <x:c r="T64" s="4903"/>
      <x:c r="U64" s="4901"/>
      <x:c r="V64" s="4902"/>
      <x:c r="W64" s="4902"/>
      <x:c r="X64" s="4903"/>
      <x:c r="Y64" s="4933"/>
      <x:c r="Z64" s="4937"/>
      <x:c r="AA64" s="4938"/>
      <x:c r="AB64" s="4938"/>
      <x:c r="AC64" s="4938"/>
      <x:c r="AD64" s="4938"/>
      <x:c r="AE64" s="4938"/>
      <x:c r="AF64" s="4938"/>
      <x:c r="AG64" s="4938"/>
      <x:c r="AH64" s="4939"/>
    </x:row>
    <x:row r="65">
      <x:c r="A65" s="3945"/>
      <x:c r="B65" s="3945"/>
      <x:c r="C65" s="3945"/>
      <x:c r="D65" s="3945"/>
      <x:c r="E65" s="3945"/>
      <x:c r="F65" s="3945"/>
      <x:c r="G65" s="3945"/>
      <x:c r="H65" s="3945"/>
      <x:c r="I65" s="3945"/>
      <x:c r="J65" s="3945"/>
      <x:c r="K65" s="3945"/>
      <x:c r="L65" s="4907"/>
      <x:c r="M65" s="4908"/>
      <x:c r="N65" s="4908"/>
      <x:c r="O65" s="4908"/>
      <x:c r="P65" s="4909"/>
      <x:c r="Q65" s="4907"/>
      <x:c r="R65" s="4908"/>
      <x:c r="S65" s="4908"/>
      <x:c r="T65" s="4909"/>
      <x:c r="U65" s="4907"/>
      <x:c r="V65" s="4908"/>
      <x:c r="W65" s="4908"/>
      <x:c r="X65" s="4909"/>
      <x:c r="Y65" s="4933"/>
      <x:c r="Z65" s="4940"/>
      <x:c r="AA65" s="4941"/>
      <x:c r="AB65" s="4941"/>
      <x:c r="AC65" s="4941"/>
      <x:c r="AD65" s="4941"/>
      <x:c r="AE65" s="4941"/>
      <x:c r="AF65" s="4941"/>
      <x:c r="AG65" s="4941"/>
      <x:c r="AH65" s="4942"/>
    </x:row>
    <x:row r="66">
      <x:c r="A66" s="3945"/>
      <x:c r="B66" s="3945"/>
      <x:c r="C66" s="3945"/>
      <x:c r="D66" s="3945"/>
      <x:c r="E66" s="3945"/>
      <x:c r="F66" s="3945"/>
      <x:c r="G66" s="3945"/>
      <x:c r="H66" s="3945"/>
      <x:c r="I66" s="3945"/>
      <x:c r="J66" s="3945"/>
      <x:c r="K66" s="3945"/>
      <x:c r="L66" s="3945"/>
      <x:c r="M66" s="3945"/>
      <x:c r="N66" s="3945"/>
      <x:c r="O66" s="3945"/>
      <x:c r="P66" s="3945"/>
      <x:c r="Q66" s="3945"/>
      <x:c r="R66" s="3945"/>
      <x:c r="S66" s="3945"/>
      <x:c r="T66" s="3945"/>
      <x:c r="U66" s="3945"/>
      <x:c r="V66" s="3945"/>
      <x:c r="W66" s="3945"/>
      <x:c r="X66" s="3945"/>
      <x:c r="Y66" s="3945"/>
      <x:c r="Z66" s="3945"/>
      <x:c r="AA66" s="3945"/>
      <x:c r="AB66" s="3945"/>
      <x:c r="AC66" s="3945"/>
      <x:c r="AD66" s="3945"/>
      <x:c r="AE66" s="3945"/>
      <x:c r="AF66" s="3945"/>
      <x:c r="AG66" s="3945"/>
      <x:c r="AH66" s="3945"/>
    </x:row>
    <x:row r="67">
      <x:c r="A67" s="3945"/>
      <x:c r="B67" s="3945"/>
      <x:c r="C67" s="3945"/>
      <x:c r="D67" s="3945"/>
      <x:c r="E67" s="3945"/>
      <x:c r="F67" s="3945"/>
      <x:c r="G67" s="3945"/>
      <x:c r="H67" s="3945"/>
      <x:c r="I67" s="3945"/>
      <x:c r="J67" s="3945"/>
      <x:c r="K67" s="3945"/>
      <x:c r="L67" s="3945"/>
      <x:c r="M67" s="3945"/>
      <x:c r="N67" s="3945"/>
      <x:c r="O67" s="3945"/>
      <x:c r="P67" s="3945"/>
      <x:c r="Q67" s="3945"/>
      <x:c r="R67" s="3945"/>
      <x:c r="S67" s="3945"/>
      <x:c r="T67" s="3945"/>
      <x:c r="U67" s="3945"/>
      <x:c r="V67" s="3945"/>
      <x:c r="W67" s="3945"/>
      <x:c r="X67" s="3945"/>
      <x:c r="Y67" s="3945"/>
      <x:c r="Z67" s="3945"/>
      <x:c r="AA67" s="3945"/>
      <x:c r="AB67" s="3945"/>
      <x:c r="AC67" s="3945"/>
      <x:c r="AD67" s="3945"/>
      <x:c r="AE67" s="3945"/>
      <x:c r="AF67" s="3945"/>
      <x:c r="AG67" s="3945"/>
      <x:c r="AH67" s="3945"/>
    </x:row>
    <x:row r="68">
      <x:c r="A68" s="4945" t="str">
        <x:v>03 · HABILITA PLANE · PREVENT + RESPOND &amp; LEARN</x:v>
      </x:c>
      <x:c r="B68" s="4945"/>
      <x:c r="C68" s="4945"/>
      <x:c r="D68" s="4945"/>
      <x:c r="E68" s="4945"/>
      <x:c r="F68" s="4945"/>
      <x:c r="G68" s="4945"/>
      <x:c r="H68" s="4945"/>
      <x:c r="I68" s="4945"/>
      <x:c r="J68" s="4945"/>
      <x:c r="K68" s="4945"/>
      <x:c r="L68" s="4945"/>
      <x:c r="M68" s="4945"/>
      <x:c r="N68" s="4945"/>
      <x:c r="O68" s="4945"/>
      <x:c r="P68" s="4945"/>
      <x:c r="Q68" s="4945"/>
      <x:c r="R68" s="4945"/>
      <x:c r="S68" s="4945"/>
      <x:c r="T68" s="4945"/>
      <x:c r="U68" s="4945"/>
      <x:c r="V68" s="4945"/>
      <x:c r="W68" s="4945"/>
      <x:c r="X68" s="4945"/>
      <x:c r="Y68" s="4945"/>
      <x:c r="Z68" s="4945"/>
      <x:c r="AA68" s="4945"/>
      <x:c r="AB68" s="4945"/>
      <x:c r="AC68" s="4945"/>
      <x:c r="AD68" s="4945"/>
      <x:c r="AE68" s="4945"/>
      <x:c r="AF68" s="4945"/>
      <x:c r="AG68" s="4945"/>
      <x:c r="AH68" s="4945"/>
    </x:row>
    <x:row r="69">
      <x:c r="A69" s="3945"/>
      <x:c r="B69" s="3945"/>
      <x:c r="C69" s="3945"/>
      <x:c r="D69" s="3945"/>
      <x:c r="E69" s="3945"/>
      <x:c r="F69" s="3945"/>
      <x:c r="G69" s="3945"/>
      <x:c r="H69" s="3945"/>
      <x:c r="I69" s="3945"/>
      <x:c r="J69" s="3945"/>
      <x:c r="K69" s="3945"/>
      <x:c r="L69" s="3945"/>
      <x:c r="M69" s="3945"/>
      <x:c r="N69" s="3945"/>
      <x:c r="O69" s="3945"/>
      <x:c r="P69" s="3945"/>
      <x:c r="Q69" s="3945"/>
      <x:c r="R69" s="3945"/>
      <x:c r="S69" s="3945"/>
      <x:c r="T69" s="3945"/>
      <x:c r="U69" s="3945"/>
      <x:c r="V69" s="3945"/>
      <x:c r="W69" s="3945"/>
      <x:c r="X69" s="3945"/>
      <x:c r="Y69" s="3945"/>
      <x:c r="Z69" s="3945"/>
      <x:c r="AA69" s="3945"/>
      <x:c r="AB69" s="3945"/>
      <x:c r="AC69" s="3945"/>
      <x:c r="AD69" s="3945"/>
      <x:c r="AE69" s="3945"/>
      <x:c r="AF69" s="3945"/>
      <x:c r="AG69" s="3945"/>
      <x:c r="AH69" s="3945"/>
    </x:row>
    <x:row r="70">
      <x:c r="A70" s="4932" t="str">
        <x:v>PREVENT</x:v>
      </x:c>
      <x:c r="B70" s="4932"/>
      <x:c r="C70" s="4932"/>
      <x:c r="D70" s="4932"/>
      <x:c r="E70" s="4932"/>
      <x:c r="F70" s="4932"/>
      <x:c r="G70" s="4932"/>
      <x:c r="H70" s="4932"/>
      <x:c r="I70" s="4932"/>
      <x:c r="J70" s="4932"/>
      <x:c r="K70" s="4932"/>
      <x:c r="L70" s="4932"/>
      <x:c r="M70" s="4932"/>
      <x:c r="N70" s="4932"/>
      <x:c r="O70" s="4932"/>
      <x:c r="P70" s="4932"/>
      <x:c r="Q70" s="3945"/>
      <x:c r="R70" s="4932" t="str">
        <x:v>RESPOND &amp; LEARN</x:v>
      </x:c>
      <x:c r="S70" s="4932"/>
      <x:c r="T70" s="4932"/>
      <x:c r="U70" s="4932"/>
      <x:c r="V70" s="4932"/>
      <x:c r="W70" s="4932"/>
      <x:c r="X70" s="4932"/>
      <x:c r="Y70" s="4932"/>
      <x:c r="Z70" s="4932"/>
      <x:c r="AA70" s="4932"/>
      <x:c r="AB70" s="4932"/>
      <x:c r="AC70" s="4932"/>
      <x:c r="AD70" s="4932"/>
      <x:c r="AE70" s="4932"/>
      <x:c r="AF70" s="4932"/>
      <x:c r="AG70" s="4932"/>
      <x:c r="AH70" s="4932"/>
    </x:row>
    <x:row r="71">
      <x:c r="A71" s="3945"/>
      <x:c r="B71" s="3945"/>
      <x:c r="C71" s="3945"/>
      <x:c r="D71" s="3945"/>
      <x:c r="E71" s="3945"/>
      <x:c r="F71" s="3945"/>
      <x:c r="G71" s="3945"/>
      <x:c r="H71" s="3945"/>
      <x:c r="I71" s="3945"/>
      <x:c r="J71" s="3945"/>
      <x:c r="K71" s="3945"/>
      <x:c r="L71" s="3945"/>
      <x:c r="M71" s="3945"/>
      <x:c r="N71" s="3945"/>
      <x:c r="O71" s="3945"/>
      <x:c r="P71" s="3945"/>
      <x:c r="Q71" s="3945"/>
      <x:c r="R71" s="3945"/>
      <x:c r="S71" s="3945"/>
      <x:c r="T71" s="3945"/>
      <x:c r="U71" s="3945"/>
      <x:c r="V71" s="3945"/>
      <x:c r="W71" s="3945"/>
      <x:c r="X71" s="3945"/>
      <x:c r="Y71" s="3945"/>
      <x:c r="Z71" s="3945"/>
      <x:c r="AA71" s="3945"/>
      <x:c r="AB71" s="3945"/>
      <x:c r="AC71" s="3945"/>
      <x:c r="AD71" s="3945"/>
      <x:c r="AE71" s="3945"/>
      <x:c r="AF71" s="3945"/>
      <x:c r="AG71" s="3945"/>
      <x:c r="AH71" s="3945"/>
    </x:row>
    <x:row r="72">
      <x:c r="A72" s="4895" t="str">
        <x:v>REQUISITOS
HABILITACIÓN
+ DOCUMENTOS</x:v>
      </x:c>
      <x:c r="B72" s="4896"/>
      <x:c r="C72" s="4896"/>
      <x:c r="D72" s="4896"/>
      <x:c r="E72" s="4897"/>
      <x:c r="F72" s="3945"/>
      <x:c r="G72" s="4895" t="str">
        <x:v>EVALUACIÓN
HABILITACIÓN
BLOCK/WARN</x:v>
      </x:c>
      <x:c r="H72" s="4896"/>
      <x:c r="I72" s="4896"/>
      <x:c r="J72" s="4896"/>
      <x:c r="K72" s="4897"/>
      <x:c r="L72" s="3945"/>
      <x:c r="M72" s="4895" t="str">
        <x:v>PTW
APROBAR · VIGENTE
SUSPENDER · CERRAR</x:v>
      </x:c>
      <x:c r="N72" s="4896"/>
      <x:c r="O72" s="4896"/>
      <x:c r="P72" s="4897"/>
      <x:c r="Q72" s="3945"/>
      <x:c r="R72" s="4895" t="str">
        <x:v>EVENTO
HABILITA
Flash Report ≤2 min</x:v>
      </x:c>
      <x:c r="S72" s="4896"/>
      <x:c r="T72" s="4896"/>
      <x:c r="U72" s="4896"/>
      <x:c r="V72" s="4897"/>
      <x:c r="W72" s="3945"/>
      <x:c r="X72" s="4895" t="str">
        <x:v>EVALUACIÓN
ESCALAMIENTO
rule snapshot</x:v>
      </x:c>
      <x:c r="Y72" s="4896"/>
      <x:c r="Z72" s="4896"/>
      <x:c r="AA72" s="4896"/>
      <x:c r="AB72" s="4897"/>
      <x:c r="AC72" s="3945"/>
      <x:c r="AD72" s="4895" t="str">
        <x:v>CASO HABILITA
investigación
acciones · cierre</x:v>
      </x:c>
      <x:c r="AE72" s="4896"/>
      <x:c r="AF72" s="4896"/>
      <x:c r="AG72" s="4896"/>
      <x:c r="AH72" s="4897"/>
    </x:row>
    <x:row r="73">
      <x:c r="A73" s="4901"/>
      <x:c r="B73" s="4902"/>
      <x:c r="C73" s="4902"/>
      <x:c r="D73" s="4902"/>
      <x:c r="E73" s="4903"/>
      <x:c r="F73" s="3945"/>
      <x:c r="G73" s="4901"/>
      <x:c r="H73" s="4902"/>
      <x:c r="I73" s="4902"/>
      <x:c r="J73" s="4902"/>
      <x:c r="K73" s="4903"/>
      <x:c r="L73" s="3945"/>
      <x:c r="M73" s="4901"/>
      <x:c r="N73" s="4902"/>
      <x:c r="O73" s="4902"/>
      <x:c r="P73" s="4903"/>
      <x:c r="Q73" s="3945"/>
      <x:c r="R73" s="4901"/>
      <x:c r="S73" s="4902"/>
      <x:c r="T73" s="4902"/>
      <x:c r="U73" s="4902"/>
      <x:c r="V73" s="4903"/>
      <x:c r="W73" s="3945"/>
      <x:c r="X73" s="4901"/>
      <x:c r="Y73" s="4902"/>
      <x:c r="Z73" s="4902"/>
      <x:c r="AA73" s="4902"/>
      <x:c r="AB73" s="4903"/>
      <x:c r="AC73" s="3945"/>
      <x:c r="AD73" s="4901"/>
      <x:c r="AE73" s="4902"/>
      <x:c r="AF73" s="4902"/>
      <x:c r="AG73" s="4902"/>
      <x:c r="AH73" s="4903"/>
    </x:row>
    <x:row r="74">
      <x:c r="A74" s="4901"/>
      <x:c r="B74" s="4902"/>
      <x:c r="C74" s="4902"/>
      <x:c r="D74" s="4902"/>
      <x:c r="E74" s="4903"/>
      <x:c r="F74" s="4122" t="str">
        <x:v>→</x:v>
      </x:c>
      <x:c r="G74" s="4901"/>
      <x:c r="H74" s="4902"/>
      <x:c r="I74" s="4902"/>
      <x:c r="J74" s="4902"/>
      <x:c r="K74" s="4903"/>
      <x:c r="L74" s="4122" t="str">
        <x:v>→</x:v>
      </x:c>
      <x:c r="M74" s="4901"/>
      <x:c r="N74" s="4902"/>
      <x:c r="O74" s="4902"/>
      <x:c r="P74" s="4903"/>
      <x:c r="Q74" s="3945"/>
      <x:c r="R74" s="4901"/>
      <x:c r="S74" s="4902"/>
      <x:c r="T74" s="4902"/>
      <x:c r="U74" s="4902"/>
      <x:c r="V74" s="4903"/>
      <x:c r="W74" s="4122" t="str">
        <x:v>→</x:v>
      </x:c>
      <x:c r="X74" s="4901"/>
      <x:c r="Y74" s="4902"/>
      <x:c r="Z74" s="4902"/>
      <x:c r="AA74" s="4902"/>
      <x:c r="AB74" s="4903"/>
      <x:c r="AC74" s="4122" t="str">
        <x:v>→</x:v>
      </x:c>
      <x:c r="AD74" s="4901"/>
      <x:c r="AE74" s="4902"/>
      <x:c r="AF74" s="4902"/>
      <x:c r="AG74" s="4902"/>
      <x:c r="AH74" s="4903"/>
    </x:row>
    <x:row r="75">
      <x:c r="A75" s="4901"/>
      <x:c r="B75" s="4902"/>
      <x:c r="C75" s="4902"/>
      <x:c r="D75" s="4902"/>
      <x:c r="E75" s="4903"/>
      <x:c r="F75" s="3945"/>
      <x:c r="G75" s="4901"/>
      <x:c r="H75" s="4902"/>
      <x:c r="I75" s="4902"/>
      <x:c r="J75" s="4902"/>
      <x:c r="K75" s="4903"/>
      <x:c r="L75" s="3945"/>
      <x:c r="M75" s="4901"/>
      <x:c r="N75" s="4902"/>
      <x:c r="O75" s="4902"/>
      <x:c r="P75" s="4903"/>
      <x:c r="Q75" s="3945"/>
      <x:c r="R75" s="4901"/>
      <x:c r="S75" s="4902"/>
      <x:c r="T75" s="4902"/>
      <x:c r="U75" s="4902"/>
      <x:c r="V75" s="4903"/>
      <x:c r="W75" s="3945"/>
      <x:c r="X75" s="4901"/>
      <x:c r="Y75" s="4902"/>
      <x:c r="Z75" s="4902"/>
      <x:c r="AA75" s="4902"/>
      <x:c r="AB75" s="4903"/>
      <x:c r="AC75" s="3945"/>
      <x:c r="AD75" s="4901"/>
      <x:c r="AE75" s="4902"/>
      <x:c r="AF75" s="4902"/>
      <x:c r="AG75" s="4902"/>
      <x:c r="AH75" s="4903"/>
    </x:row>
    <x:row r="76">
      <x:c r="A76" s="4901"/>
      <x:c r="B76" s="4902"/>
      <x:c r="C76" s="4902"/>
      <x:c r="D76" s="4902"/>
      <x:c r="E76" s="4903"/>
      <x:c r="F76" s="3945"/>
      <x:c r="G76" s="4901"/>
      <x:c r="H76" s="4902"/>
      <x:c r="I76" s="4902"/>
      <x:c r="J76" s="4902"/>
      <x:c r="K76" s="4903"/>
      <x:c r="L76" s="3945"/>
      <x:c r="M76" s="4901"/>
      <x:c r="N76" s="4902"/>
      <x:c r="O76" s="4902"/>
      <x:c r="P76" s="4903"/>
      <x:c r="Q76" s="3945"/>
      <x:c r="R76" s="4901"/>
      <x:c r="S76" s="4902"/>
      <x:c r="T76" s="4902"/>
      <x:c r="U76" s="4902"/>
      <x:c r="V76" s="4903"/>
      <x:c r="W76" s="3945"/>
      <x:c r="X76" s="4901"/>
      <x:c r="Y76" s="4902"/>
      <x:c r="Z76" s="4902"/>
      <x:c r="AA76" s="4902"/>
      <x:c r="AB76" s="4903"/>
      <x:c r="AC76" s="3945"/>
      <x:c r="AD76" s="4901"/>
      <x:c r="AE76" s="4902"/>
      <x:c r="AF76" s="4902"/>
      <x:c r="AG76" s="4902"/>
      <x:c r="AH76" s="4903"/>
    </x:row>
    <x:row r="77">
      <x:c r="A77" s="4907"/>
      <x:c r="B77" s="4908"/>
      <x:c r="C77" s="4908"/>
      <x:c r="D77" s="4908"/>
      <x:c r="E77" s="4909"/>
      <x:c r="F77" s="3945"/>
      <x:c r="G77" s="4907"/>
      <x:c r="H77" s="4908"/>
      <x:c r="I77" s="4908"/>
      <x:c r="J77" s="4908"/>
      <x:c r="K77" s="4909"/>
      <x:c r="L77" s="3945"/>
      <x:c r="M77" s="4907"/>
      <x:c r="N77" s="4908"/>
      <x:c r="O77" s="4908"/>
      <x:c r="P77" s="4909"/>
      <x:c r="Q77" s="3945"/>
      <x:c r="R77" s="4907"/>
      <x:c r="S77" s="4908"/>
      <x:c r="T77" s="4908"/>
      <x:c r="U77" s="4908"/>
      <x:c r="V77" s="4909"/>
      <x:c r="W77" s="3945"/>
      <x:c r="X77" s="4907"/>
      <x:c r="Y77" s="4908"/>
      <x:c r="Z77" s="4908"/>
      <x:c r="AA77" s="4908"/>
      <x:c r="AB77" s="4909"/>
      <x:c r="AC77" s="3945"/>
      <x:c r="AD77" s="4907"/>
      <x:c r="AE77" s="4908"/>
      <x:c r="AF77" s="4908"/>
      <x:c r="AG77" s="4908"/>
      <x:c r="AH77" s="4909"/>
    </x:row>
    <x:row r="78">
      <x:c r="A78" s="3945"/>
      <x:c r="B78" s="3945"/>
      <x:c r="C78" s="3945"/>
      <x:c r="D78" s="3945"/>
      <x:c r="E78" s="3945"/>
      <x:c r="F78" s="3945"/>
      <x:c r="G78" s="3945"/>
      <x:c r="H78" s="3945"/>
      <x:c r="I78" s="3945"/>
      <x:c r="J78" s="3945"/>
      <x:c r="K78" s="3945"/>
      <x:c r="L78" s="3945"/>
      <x:c r="M78" s="3945"/>
      <x:c r="N78" s="3945"/>
      <x:c r="O78" s="3945"/>
      <x:c r="P78" s="3945"/>
      <x:c r="Q78" s="3945"/>
      <x:c r="R78" s="3945"/>
      <x:c r="S78" s="3945"/>
      <x:c r="T78" s="3945"/>
      <x:c r="U78" s="3945"/>
      <x:c r="V78" s="3945"/>
      <x:c r="W78" s="3945"/>
      <x:c r="X78" s="3945"/>
      <x:c r="Y78" s="3945"/>
      <x:c r="Z78" s="3945"/>
      <x:c r="AA78" s="3945"/>
      <x:c r="AB78" s="3945"/>
      <x:c r="AC78" s="3945"/>
      <x:c r="AD78" s="3945"/>
      <x:c r="AE78" s="3945"/>
      <x:c r="AF78" s="3945"/>
      <x:c r="AG78" s="3945"/>
      <x:c r="AH78" s="3945"/>
    </x:row>
    <x:row r="79">
      <x:c r="A79" s="3945"/>
      <x:c r="B79" s="3945"/>
      <x:c r="C79" s="3945"/>
      <x:c r="D79" s="3945"/>
      <x:c r="E79" s="3945"/>
      <x:c r="F79" s="3945"/>
      <x:c r="G79" s="3945"/>
      <x:c r="H79" s="3945"/>
      <x:c r="I79" s="3945"/>
      <x:c r="J79" s="3945"/>
      <x:c r="K79" s="3945"/>
      <x:c r="L79" s="3945"/>
      <x:c r="M79" s="3945"/>
      <x:c r="N79" s="3945"/>
      <x:c r="O79" s="3945"/>
      <x:c r="P79" s="3945"/>
      <x:c r="Q79" s="3945"/>
      <x:c r="R79" s="4916" t="str">
        <x:v>NOTIFICACIÓN
HABILITA</x:v>
      </x:c>
      <x:c r="S79" s="4917"/>
      <x:c r="T79" s="4917"/>
      <x:c r="U79" s="4917"/>
      <x:c r="V79" s="4918"/>
      <x:c r="W79" s="3945"/>
      <x:c r="X79" s="4916" t="str">
        <x:v>ACCIONES
CORRECTIVAS
lifecycle propio</x:v>
      </x:c>
      <x:c r="Y79" s="4917"/>
      <x:c r="Z79" s="4917"/>
      <x:c r="AA79" s="4917"/>
      <x:c r="AB79" s="4918"/>
      <x:c r="AC79" s="3945"/>
      <x:c r="AD79" s="4916" t="str">
        <x:v>EVIDENCIA
MEDICIONES
TRIAGE</x:v>
      </x:c>
      <x:c r="AE79" s="4917"/>
      <x:c r="AF79" s="4917"/>
      <x:c r="AG79" s="4917"/>
      <x:c r="AH79" s="4918"/>
    </x:row>
    <x:row r="80">
      <x:c r="A80" s="3945"/>
      <x:c r="B80" s="3945"/>
      <x:c r="C80" s="3945"/>
      <x:c r="D80" s="3945"/>
      <x:c r="E80" s="3945"/>
      <x:c r="F80" s="3945"/>
      <x:c r="G80" s="3945"/>
      <x:c r="H80" s="3945"/>
      <x:c r="I80" s="3945"/>
      <x:c r="J80" s="3945"/>
      <x:c r="K80" s="3945"/>
      <x:c r="L80" s="3945"/>
      <x:c r="M80" s="3945"/>
      <x:c r="N80" s="3945"/>
      <x:c r="O80" s="3945"/>
      <x:c r="P80" s="3945"/>
      <x:c r="Q80" s="3945"/>
      <x:c r="R80" s="4922"/>
      <x:c r="S80" s="4923"/>
      <x:c r="T80" s="4923"/>
      <x:c r="U80" s="4923"/>
      <x:c r="V80" s="4924"/>
      <x:c r="W80" s="3945"/>
      <x:c r="X80" s="4922"/>
      <x:c r="Y80" s="4923"/>
      <x:c r="Z80" s="4923"/>
      <x:c r="AA80" s="4923"/>
      <x:c r="AB80" s="4924"/>
      <x:c r="AC80" s="3945"/>
      <x:c r="AD80" s="4922"/>
      <x:c r="AE80" s="4923"/>
      <x:c r="AF80" s="4923"/>
      <x:c r="AG80" s="4923"/>
      <x:c r="AH80" s="4924"/>
    </x:row>
    <x:row r="81">
      <x:c r="A81" s="3945"/>
      <x:c r="B81" s="3945"/>
      <x:c r="C81" s="3945"/>
      <x:c r="D81" s="3945"/>
      <x:c r="E81" s="3945"/>
      <x:c r="F81" s="3945"/>
      <x:c r="G81" s="3945"/>
      <x:c r="H81" s="3945"/>
      <x:c r="I81" s="3945"/>
      <x:c r="J81" s="3945"/>
      <x:c r="K81" s="3945"/>
      <x:c r="L81" s="3945"/>
      <x:c r="M81" s="3945"/>
      <x:c r="N81" s="3945"/>
      <x:c r="O81" s="3945"/>
      <x:c r="P81" s="3945"/>
      <x:c r="Q81" s="3945"/>
      <x:c r="R81" s="4922"/>
      <x:c r="S81" s="4923"/>
      <x:c r="T81" s="4923"/>
      <x:c r="U81" s="4923"/>
      <x:c r="V81" s="4924"/>
      <x:c r="W81" s="3945"/>
      <x:c r="X81" s="4922"/>
      <x:c r="Y81" s="4923"/>
      <x:c r="Z81" s="4923"/>
      <x:c r="AA81" s="4923"/>
      <x:c r="AB81" s="4924"/>
      <x:c r="AC81" s="3945"/>
      <x:c r="AD81" s="4922"/>
      <x:c r="AE81" s="4923"/>
      <x:c r="AF81" s="4923"/>
      <x:c r="AG81" s="4923"/>
      <x:c r="AH81" s="4924"/>
    </x:row>
    <x:row r="82">
      <x:c r="A82" s="3945"/>
      <x:c r="B82" s="3945"/>
      <x:c r="C82" s="3945"/>
      <x:c r="D82" s="3945"/>
      <x:c r="E82" s="3945"/>
      <x:c r="F82" s="3945"/>
      <x:c r="G82" s="3945"/>
      <x:c r="H82" s="3945"/>
      <x:c r="I82" s="3945"/>
      <x:c r="J82" s="3945"/>
      <x:c r="K82" s="3945"/>
      <x:c r="L82" s="3945"/>
      <x:c r="M82" s="3945"/>
      <x:c r="N82" s="3945"/>
      <x:c r="O82" s="3945"/>
      <x:c r="P82" s="3945"/>
      <x:c r="Q82" s="3945"/>
      <x:c r="R82" s="4922"/>
      <x:c r="S82" s="4923"/>
      <x:c r="T82" s="4923"/>
      <x:c r="U82" s="4923"/>
      <x:c r="V82" s="4924"/>
      <x:c r="W82" s="3945"/>
      <x:c r="X82" s="4922"/>
      <x:c r="Y82" s="4923"/>
      <x:c r="Z82" s="4923"/>
      <x:c r="AA82" s="4923"/>
      <x:c r="AB82" s="4924"/>
      <x:c r="AC82" s="3945"/>
      <x:c r="AD82" s="4922"/>
      <x:c r="AE82" s="4923"/>
      <x:c r="AF82" s="4923"/>
      <x:c r="AG82" s="4923"/>
      <x:c r="AH82" s="4924"/>
    </x:row>
    <x:row r="83">
      <x:c r="A83" s="3945"/>
      <x:c r="B83" s="3945"/>
      <x:c r="C83" s="3945"/>
      <x:c r="D83" s="3945"/>
      <x:c r="E83" s="3945"/>
      <x:c r="F83" s="3945"/>
      <x:c r="G83" s="3945"/>
      <x:c r="H83" s="3945"/>
      <x:c r="I83" s="3945"/>
      <x:c r="J83" s="3945"/>
      <x:c r="K83" s="3945"/>
      <x:c r="L83" s="3945"/>
      <x:c r="M83" s="3945"/>
      <x:c r="N83" s="3945"/>
      <x:c r="O83" s="3945"/>
      <x:c r="P83" s="3945"/>
      <x:c r="Q83" s="3945"/>
      <x:c r="R83" s="4922"/>
      <x:c r="S83" s="4923"/>
      <x:c r="T83" s="4923"/>
      <x:c r="U83" s="4923"/>
      <x:c r="V83" s="4924"/>
      <x:c r="W83" s="3945"/>
      <x:c r="X83" s="4922"/>
      <x:c r="Y83" s="4923"/>
      <x:c r="Z83" s="4923"/>
      <x:c r="AA83" s="4923"/>
      <x:c r="AB83" s="4924"/>
      <x:c r="AC83" s="3945"/>
      <x:c r="AD83" s="4922"/>
      <x:c r="AE83" s="4923"/>
      <x:c r="AF83" s="4923"/>
      <x:c r="AG83" s="4923"/>
      <x:c r="AH83" s="4924"/>
    </x:row>
    <x:row r="84">
      <x:c r="A84" s="3945"/>
      <x:c r="B84" s="3945"/>
      <x:c r="C84" s="3945"/>
      <x:c r="D84" s="3945"/>
      <x:c r="E84" s="3945"/>
      <x:c r="F84" s="3945"/>
      <x:c r="G84" s="3945"/>
      <x:c r="H84" s="3945"/>
      <x:c r="I84" s="3945"/>
      <x:c r="J84" s="3945"/>
      <x:c r="K84" s="3945"/>
      <x:c r="L84" s="3945"/>
      <x:c r="M84" s="3945"/>
      <x:c r="N84" s="3945"/>
      <x:c r="O84" s="3945"/>
      <x:c r="P84" s="3945"/>
      <x:c r="Q84" s="3945"/>
      <x:c r="R84" s="4928"/>
      <x:c r="S84" s="4929"/>
      <x:c r="T84" s="4929"/>
      <x:c r="U84" s="4929"/>
      <x:c r="V84" s="4930"/>
      <x:c r="W84" s="3945"/>
      <x:c r="X84" s="4928"/>
      <x:c r="Y84" s="4929"/>
      <x:c r="Z84" s="4929"/>
      <x:c r="AA84" s="4929"/>
      <x:c r="AB84" s="4930"/>
      <x:c r="AC84" s="3945"/>
      <x:c r="AD84" s="4928"/>
      <x:c r="AE84" s="4929"/>
      <x:c r="AF84" s="4929"/>
      <x:c r="AG84" s="4929"/>
      <x:c r="AH84" s="4930"/>
    </x:row>
    <x:row r="85">
      <x:c r="A85" s="3945"/>
      <x:c r="B85" s="3945"/>
      <x:c r="C85" s="3945"/>
      <x:c r="D85" s="3945"/>
      <x:c r="E85" s="3945"/>
      <x:c r="F85" s="3945"/>
      <x:c r="G85" s="3945"/>
      <x:c r="H85" s="3945"/>
      <x:c r="I85" s="3945"/>
      <x:c r="J85" s="3945"/>
      <x:c r="K85" s="3945"/>
      <x:c r="L85" s="3945"/>
      <x:c r="M85" s="3945"/>
      <x:c r="N85" s="3945"/>
      <x:c r="O85" s="3945"/>
      <x:c r="P85" s="3945"/>
      <x:c r="Q85" s="3945"/>
      <x:c r="R85" s="3945"/>
      <x:c r="S85" s="3945"/>
      <x:c r="T85" s="3945"/>
      <x:c r="U85" s="3945"/>
      <x:c r="V85" s="3945"/>
      <x:c r="W85" s="3945"/>
      <x:c r="X85" s="3945"/>
      <x:c r="Y85" s="3945"/>
      <x:c r="Z85" s="3945"/>
      <x:c r="AA85" s="3945"/>
      <x:c r="AB85" s="3945"/>
      <x:c r="AC85" s="3945"/>
      <x:c r="AD85" s="3945"/>
      <x:c r="AE85" s="3945"/>
      <x:c r="AF85" s="3945"/>
      <x:c r="AG85" s="3945"/>
      <x:c r="AH85" s="3945"/>
    </x:row>
    <x:row r="86">
      <x:c r="A86" s="3945"/>
      <x:c r="B86" s="3945"/>
      <x:c r="C86" s="3945"/>
      <x:c r="D86" s="3945"/>
      <x:c r="E86" s="3945"/>
      <x:c r="F86" s="3945"/>
      <x:c r="G86" s="3945"/>
      <x:c r="H86" s="3945"/>
      <x:c r="I86" s="3945"/>
      <x:c r="J86" s="3945"/>
      <x:c r="K86" s="3945"/>
      <x:c r="L86" s="3945"/>
      <x:c r="M86" s="4898" t="str">
        <x:v>◇ START WORK GATE ◇
Habilita/doc OK + PTW vigente si aplica
+ State Machine válida
+ ReglaInicioEmergente si contexto contractual pendiente</x:v>
      </x:c>
      <x:c r="N86" s="4899"/>
      <x:c r="O86" s="4899"/>
      <x:c r="P86" s="4899"/>
      <x:c r="Q86" s="4899"/>
      <x:c r="R86" s="4899"/>
      <x:c r="S86" s="4899"/>
      <x:c r="T86" s="4899"/>
      <x:c r="U86" s="4899"/>
      <x:c r="V86" s="4899"/>
      <x:c r="W86" s="4899"/>
      <x:c r="X86" s="4900"/>
      <x:c r="Y86" s="3945"/>
      <x:c r="Z86" s="3945"/>
      <x:c r="AA86" s="3945"/>
      <x:c r="AB86" s="3945"/>
      <x:c r="AC86" s="3945"/>
      <x:c r="AD86" s="3945"/>
      <x:c r="AE86" s="3945"/>
      <x:c r="AF86" s="3945"/>
      <x:c r="AG86" s="3945"/>
      <x:c r="AH86" s="3945"/>
    </x:row>
    <x:row r="87">
      <x:c r="A87" s="3945"/>
      <x:c r="B87" s="3945"/>
      <x:c r="C87" s="3945"/>
      <x:c r="D87" s="3945"/>
      <x:c r="E87" s="3945"/>
      <x:c r="F87" s="3945"/>
      <x:c r="G87" s="3945"/>
      <x:c r="H87" s="3945"/>
      <x:c r="I87" s="3945"/>
      <x:c r="J87" s="3945"/>
      <x:c r="K87" s="3945"/>
      <x:c r="L87" s="3945"/>
      <x:c r="M87" s="4904"/>
      <x:c r="N87" s="4905"/>
      <x:c r="O87" s="4905"/>
      <x:c r="P87" s="4905"/>
      <x:c r="Q87" s="4905"/>
      <x:c r="R87" s="4905"/>
      <x:c r="S87" s="4905"/>
      <x:c r="T87" s="4905"/>
      <x:c r="U87" s="4905"/>
      <x:c r="V87" s="4905"/>
      <x:c r="W87" s="4905"/>
      <x:c r="X87" s="4906"/>
      <x:c r="Y87" s="3945"/>
      <x:c r="Z87" s="3945"/>
      <x:c r="AA87" s="3945"/>
      <x:c r="AB87" s="3945"/>
      <x:c r="AC87" s="3945"/>
      <x:c r="AD87" s="3945"/>
      <x:c r="AE87" s="3945"/>
      <x:c r="AF87" s="3945"/>
      <x:c r="AG87" s="3945"/>
      <x:c r="AH87" s="3945"/>
    </x:row>
    <x:row r="88">
      <x:c r="A88" s="3945"/>
      <x:c r="B88" s="3945"/>
      <x:c r="C88" s="3945"/>
      <x:c r="D88" s="3945"/>
      <x:c r="E88" s="3945"/>
      <x:c r="F88" s="3945"/>
      <x:c r="G88" s="3945"/>
      <x:c r="H88" s="3945"/>
      <x:c r="I88" s="3945"/>
      <x:c r="J88" s="3945"/>
      <x:c r="K88" s="3945"/>
      <x:c r="L88" s="3945"/>
      <x:c r="M88" s="4904"/>
      <x:c r="N88" s="4905"/>
      <x:c r="O88" s="4905"/>
      <x:c r="P88" s="4905"/>
      <x:c r="Q88" s="4905"/>
      <x:c r="R88" s="4905"/>
      <x:c r="S88" s="4905"/>
      <x:c r="T88" s="4905"/>
      <x:c r="U88" s="4905"/>
      <x:c r="V88" s="4905"/>
      <x:c r="W88" s="4905"/>
      <x:c r="X88" s="4906"/>
      <x:c r="Y88" s="3945"/>
      <x:c r="Z88" s="3945"/>
      <x:c r="AA88" s="3945"/>
      <x:c r="AB88" s="3945"/>
      <x:c r="AC88" s="3945"/>
      <x:c r="AD88" s="3945"/>
      <x:c r="AE88" s="3945"/>
      <x:c r="AF88" s="3945"/>
      <x:c r="AG88" s="3945"/>
      <x:c r="AH88" s="3945"/>
    </x:row>
    <x:row r="89">
      <x:c r="A89" s="3945"/>
      <x:c r="B89" s="3945"/>
      <x:c r="C89" s="3945"/>
      <x:c r="D89" s="3945"/>
      <x:c r="E89" s="3945"/>
      <x:c r="F89" s="3945"/>
      <x:c r="G89" s="3945"/>
      <x:c r="H89" s="3945"/>
      <x:c r="I89" s="3945"/>
      <x:c r="J89" s="3945"/>
      <x:c r="K89" s="3945"/>
      <x:c r="L89" s="3945"/>
      <x:c r="M89" s="4904"/>
      <x:c r="N89" s="4905"/>
      <x:c r="O89" s="4905"/>
      <x:c r="P89" s="4905"/>
      <x:c r="Q89" s="4905"/>
      <x:c r="R89" s="4905"/>
      <x:c r="S89" s="4905"/>
      <x:c r="T89" s="4905"/>
      <x:c r="U89" s="4905"/>
      <x:c r="V89" s="4905"/>
      <x:c r="W89" s="4905"/>
      <x:c r="X89" s="4906"/>
      <x:c r="Y89" s="3945"/>
      <x:c r="Z89" s="3945"/>
      <x:c r="AA89" s="3945"/>
      <x:c r="AB89" s="3945"/>
      <x:c r="AC89" s="3945"/>
      <x:c r="AD89" s="3945"/>
      <x:c r="AE89" s="3945"/>
      <x:c r="AF89" s="3945"/>
      <x:c r="AG89" s="3945"/>
      <x:c r="AH89" s="3945"/>
    </x:row>
    <x:row r="90">
      <x:c r="A90" s="3945"/>
      <x:c r="B90" s="3945"/>
      <x:c r="C90" s="3945"/>
      <x:c r="D90" s="3945"/>
      <x:c r="E90" s="3945"/>
      <x:c r="F90" s="3945"/>
      <x:c r="G90" s="3945"/>
      <x:c r="H90" s="3945"/>
      <x:c r="I90" s="3945"/>
      <x:c r="J90" s="3945"/>
      <x:c r="K90" s="3945"/>
      <x:c r="L90" s="3945"/>
      <x:c r="M90" s="4910"/>
      <x:c r="N90" s="4911"/>
      <x:c r="O90" s="4911"/>
      <x:c r="P90" s="4911"/>
      <x:c r="Q90" s="4911"/>
      <x:c r="R90" s="4911"/>
      <x:c r="S90" s="4911"/>
      <x:c r="T90" s="4911"/>
      <x:c r="U90" s="4911"/>
      <x:c r="V90" s="4911"/>
      <x:c r="W90" s="4911"/>
      <x:c r="X90" s="4912"/>
      <x:c r="Y90" s="3945"/>
      <x:c r="Z90" s="3945"/>
      <x:c r="AA90" s="3945"/>
      <x:c r="AB90" s="3945"/>
      <x:c r="AC90" s="3945"/>
      <x:c r="AD90" s="3945"/>
      <x:c r="AE90" s="3945"/>
      <x:c r="AF90" s="3945"/>
      <x:c r="AG90" s="3945"/>
      <x:c r="AH90" s="3945"/>
    </x:row>
    <x:row r="91">
      <x:c r="A91" s="3945"/>
      <x:c r="B91" s="3945"/>
      <x:c r="C91" s="3945"/>
      <x:c r="D91" s="3945"/>
      <x:c r="E91" s="3945"/>
      <x:c r="F91" s="3945"/>
      <x:c r="G91" s="3945"/>
      <x:c r="H91" s="3945"/>
      <x:c r="I91" s="3945"/>
      <x:c r="J91" s="3945"/>
      <x:c r="K91" s="3945"/>
      <x:c r="L91" s="3945"/>
      <x:c r="M91" s="3945"/>
      <x:c r="N91" s="3945"/>
      <x:c r="O91" s="3945"/>
      <x:c r="P91" s="3945"/>
      <x:c r="Q91" s="3945"/>
      <x:c r="R91" s="3945"/>
      <x:c r="S91" s="3945"/>
      <x:c r="T91" s="3945"/>
      <x:c r="U91" s="3945"/>
      <x:c r="V91" s="3945"/>
      <x:c r="W91" s="3945"/>
      <x:c r="X91" s="3945"/>
      <x:c r="Y91" s="3945"/>
      <x:c r="Z91" s="3945"/>
      <x:c r="AA91" s="3945"/>
      <x:c r="AB91" s="3945"/>
      <x:c r="AC91" s="3945"/>
      <x:c r="AD91" s="3945"/>
      <x:c r="AE91" s="3945"/>
      <x:c r="AF91" s="3945"/>
      <x:c r="AG91" s="3945"/>
      <x:c r="AH91" s="3945"/>
    </x:row>
    <x:row r="92">
      <x:c r="A92" s="3945"/>
      <x:c r="B92" s="3945"/>
      <x:c r="C92" s="3945"/>
      <x:c r="D92" s="3945"/>
      <x:c r="E92" s="3945"/>
      <x:c r="F92" s="3945"/>
      <x:c r="G92" s="3945"/>
      <x:c r="H92" s="3945"/>
      <x:c r="I92" s="3945"/>
      <x:c r="J92" s="3945"/>
      <x:c r="K92" s="3945"/>
      <x:c r="L92" s="3945"/>
      <x:c r="M92" s="3945"/>
      <x:c r="N92" s="3945"/>
      <x:c r="O92" s="3945"/>
      <x:c r="P92" s="3945"/>
      <x:c r="Q92" s="3945"/>
      <x:c r="R92" s="3945"/>
      <x:c r="S92" s="3945"/>
      <x:c r="T92" s="3945"/>
      <x:c r="U92" s="3945"/>
      <x:c r="V92" s="3945"/>
      <x:c r="W92" s="3945"/>
      <x:c r="X92" s="3945"/>
      <x:c r="Y92" s="3945"/>
      <x:c r="Z92" s="3945"/>
      <x:c r="AA92" s="3945"/>
      <x:c r="AB92" s="3945"/>
      <x:c r="AC92" s="3945"/>
      <x:c r="AD92" s="3945"/>
      <x:c r="AE92" s="3945"/>
      <x:c r="AF92" s="3945"/>
      <x:c r="AG92" s="3945"/>
      <x:c r="AH92" s="3945"/>
    </x:row>
    <x:row r="93">
      <x:c r="A93" s="4945" t="str">
        <x:v>04 · CONTROL PLANE · CAMBIOS POST-DESPACHO</x:v>
      </x:c>
      <x:c r="B93" s="4945"/>
      <x:c r="C93" s="4945"/>
      <x:c r="D93" s="4945"/>
      <x:c r="E93" s="4945"/>
      <x:c r="F93" s="4945"/>
      <x:c r="G93" s="4945"/>
      <x:c r="H93" s="4945"/>
      <x:c r="I93" s="4945"/>
      <x:c r="J93" s="4945"/>
      <x:c r="K93" s="4945"/>
      <x:c r="L93" s="4945"/>
      <x:c r="M93" s="4945"/>
      <x:c r="N93" s="4945"/>
      <x:c r="O93" s="4945"/>
      <x:c r="P93" s="4945"/>
      <x:c r="Q93" s="4945"/>
      <x:c r="R93" s="4945"/>
      <x:c r="S93" s="4945"/>
      <x:c r="T93" s="4945"/>
      <x:c r="U93" s="4945"/>
      <x:c r="V93" s="4945"/>
      <x:c r="W93" s="4945"/>
      <x:c r="X93" s="4945"/>
      <x:c r="Y93" s="4945"/>
      <x:c r="Z93" s="4945"/>
      <x:c r="AA93" s="4945"/>
      <x:c r="AB93" s="4945"/>
      <x:c r="AC93" s="4945"/>
      <x:c r="AD93" s="4945"/>
      <x:c r="AE93" s="4945"/>
      <x:c r="AF93" s="4945"/>
      <x:c r="AG93" s="4945"/>
      <x:c r="AH93" s="4945"/>
    </x:row>
    <x:row r="94">
      <x:c r="A94" s="3945"/>
      <x:c r="B94" s="3945"/>
      <x:c r="C94" s="3945"/>
      <x:c r="D94" s="3945"/>
      <x:c r="E94" s="3945"/>
      <x:c r="F94" s="3945"/>
      <x:c r="G94" s="3945"/>
      <x:c r="H94" s="3945"/>
      <x:c r="I94" s="3945"/>
      <x:c r="J94" s="3945"/>
      <x:c r="K94" s="3945"/>
      <x:c r="L94" s="3945"/>
      <x:c r="M94" s="3945"/>
      <x:c r="N94" s="3945"/>
      <x:c r="O94" s="3945"/>
      <x:c r="P94" s="3945"/>
      <x:c r="Q94" s="3945"/>
      <x:c r="R94" s="3945"/>
      <x:c r="S94" s="3945"/>
      <x:c r="T94" s="3945"/>
      <x:c r="U94" s="3945"/>
      <x:c r="V94" s="3945"/>
      <x:c r="W94" s="3945"/>
      <x:c r="X94" s="3945"/>
      <x:c r="Y94" s="3945"/>
      <x:c r="Z94" s="3945"/>
      <x:c r="AA94" s="3945"/>
      <x:c r="AB94" s="3945"/>
      <x:c r="AC94" s="3945"/>
      <x:c r="AD94" s="3945"/>
      <x:c r="AE94" s="3945"/>
      <x:c r="AF94" s="3945"/>
      <x:c r="AG94" s="3945"/>
      <x:c r="AH94" s="3945"/>
    </x:row>
    <x:row r="95">
      <x:c r="A95" s="4895" t="str">
        <x:v>PLANIFICACIÓN /
SUPERVISIÓN /
HABILITA</x:v>
      </x:c>
      <x:c r="B95" s="4896"/>
      <x:c r="C95" s="4896"/>
      <x:c r="D95" s="4896"/>
      <x:c r="E95" s="4896"/>
      <x:c r="F95" s="4896"/>
      <x:c r="G95" s="4897"/>
      <x:c r="H95" s="3945"/>
      <x:c r="I95" s="4895" t="str">
        <x:v>DIRECTIVA OPERATIVA
cancelar · suspender · reprogramar
repriorizar · cambiar alcance</x:v>
      </x:c>
      <x:c r="J95" s="4896"/>
      <x:c r="K95" s="4896"/>
      <x:c r="L95" s="4896"/>
      <x:c r="M95" s="4896"/>
      <x:c r="N95" s="4896"/>
      <x:c r="O95" s="4896"/>
      <x:c r="P95" s="4897"/>
      <x:c r="Q95" s="3945"/>
      <x:c r="R95" s="4916" t="str">
        <x:v>EMITIDA → RECIBIDA
→ ACK → APLICADA
/ RECHAZADA / EXPIRADA</x:v>
      </x:c>
      <x:c r="S95" s="4917"/>
      <x:c r="T95" s="4917"/>
      <x:c r="U95" s="4917"/>
      <x:c r="V95" s="4917"/>
      <x:c r="W95" s="4917"/>
      <x:c r="X95" s="4917"/>
      <x:c r="Y95" s="4918"/>
      <x:c r="Z95" s="3945"/>
      <x:c r="AA95" s="4895" t="str">
        <x:v>EFECTO EN OBJETIVO
Parte · UE · Plan
PTW · prioridad
SIN reescribir historia</x:v>
      </x:c>
      <x:c r="AB95" s="4896"/>
      <x:c r="AC95" s="4896"/>
      <x:c r="AD95" s="4896"/>
      <x:c r="AE95" s="4896"/>
      <x:c r="AF95" s="4896"/>
      <x:c r="AG95" s="4896"/>
      <x:c r="AH95" s="4897"/>
    </x:row>
    <x:row r="96">
      <x:c r="A96" s="4901"/>
      <x:c r="B96" s="4902"/>
      <x:c r="C96" s="4902"/>
      <x:c r="D96" s="4902"/>
      <x:c r="E96" s="4902"/>
      <x:c r="F96" s="4902"/>
      <x:c r="G96" s="4903"/>
      <x:c r="H96" s="3945"/>
      <x:c r="I96" s="4901"/>
      <x:c r="J96" s="4902"/>
      <x:c r="K96" s="4902"/>
      <x:c r="L96" s="4902"/>
      <x:c r="M96" s="4902"/>
      <x:c r="N96" s="4902"/>
      <x:c r="O96" s="4902"/>
      <x:c r="P96" s="4903"/>
      <x:c r="Q96" s="3945"/>
      <x:c r="R96" s="4922"/>
      <x:c r="S96" s="4923"/>
      <x:c r="T96" s="4923"/>
      <x:c r="U96" s="4923"/>
      <x:c r="V96" s="4923"/>
      <x:c r="W96" s="4923"/>
      <x:c r="X96" s="4923"/>
      <x:c r="Y96" s="4924"/>
      <x:c r="Z96" s="3945"/>
      <x:c r="AA96" s="4901"/>
      <x:c r="AB96" s="4902"/>
      <x:c r="AC96" s="4902"/>
      <x:c r="AD96" s="4902"/>
      <x:c r="AE96" s="4902"/>
      <x:c r="AF96" s="4902"/>
      <x:c r="AG96" s="4902"/>
      <x:c r="AH96" s="4903"/>
    </x:row>
    <x:row r="97">
      <x:c r="A97" s="4901"/>
      <x:c r="B97" s="4902"/>
      <x:c r="C97" s="4902"/>
      <x:c r="D97" s="4902"/>
      <x:c r="E97" s="4902"/>
      <x:c r="F97" s="4902"/>
      <x:c r="G97" s="4903"/>
      <x:c r="H97" s="4122" t="str">
        <x:v>→</x:v>
      </x:c>
      <x:c r="I97" s="4901"/>
      <x:c r="J97" s="4902"/>
      <x:c r="K97" s="4902"/>
      <x:c r="L97" s="4902"/>
      <x:c r="M97" s="4902"/>
      <x:c r="N97" s="4902"/>
      <x:c r="O97" s="4902"/>
      <x:c r="P97" s="4903"/>
      <x:c r="Q97" s="4122" t="str">
        <x:v>→</x:v>
      </x:c>
      <x:c r="R97" s="4922"/>
      <x:c r="S97" s="4923"/>
      <x:c r="T97" s="4923"/>
      <x:c r="U97" s="4923"/>
      <x:c r="V97" s="4923"/>
      <x:c r="W97" s="4923"/>
      <x:c r="X97" s="4923"/>
      <x:c r="Y97" s="4924"/>
      <x:c r="Z97" s="4122" t="str">
        <x:v>→</x:v>
      </x:c>
      <x:c r="AA97" s="4901"/>
      <x:c r="AB97" s="4902"/>
      <x:c r="AC97" s="4902"/>
      <x:c r="AD97" s="4902"/>
      <x:c r="AE97" s="4902"/>
      <x:c r="AF97" s="4902"/>
      <x:c r="AG97" s="4902"/>
      <x:c r="AH97" s="4903"/>
    </x:row>
    <x:row r="98">
      <x:c r="A98" s="4901"/>
      <x:c r="B98" s="4902"/>
      <x:c r="C98" s="4902"/>
      <x:c r="D98" s="4902"/>
      <x:c r="E98" s="4902"/>
      <x:c r="F98" s="4902"/>
      <x:c r="G98" s="4903"/>
      <x:c r="H98" s="3945"/>
      <x:c r="I98" s="4901"/>
      <x:c r="J98" s="4902"/>
      <x:c r="K98" s="4902"/>
      <x:c r="L98" s="4902"/>
      <x:c r="M98" s="4902"/>
      <x:c r="N98" s="4902"/>
      <x:c r="O98" s="4902"/>
      <x:c r="P98" s="4903"/>
      <x:c r="Q98" s="3945"/>
      <x:c r="R98" s="4922"/>
      <x:c r="S98" s="4923"/>
      <x:c r="T98" s="4923"/>
      <x:c r="U98" s="4923"/>
      <x:c r="V98" s="4923"/>
      <x:c r="W98" s="4923"/>
      <x:c r="X98" s="4923"/>
      <x:c r="Y98" s="4924"/>
      <x:c r="Z98" s="3945"/>
      <x:c r="AA98" s="4901"/>
      <x:c r="AB98" s="4902"/>
      <x:c r="AC98" s="4902"/>
      <x:c r="AD98" s="4902"/>
      <x:c r="AE98" s="4902"/>
      <x:c r="AF98" s="4902"/>
      <x:c r="AG98" s="4902"/>
      <x:c r="AH98" s="4903"/>
    </x:row>
    <x:row r="99">
      <x:c r="A99" s="4901"/>
      <x:c r="B99" s="4902"/>
      <x:c r="C99" s="4902"/>
      <x:c r="D99" s="4902"/>
      <x:c r="E99" s="4902"/>
      <x:c r="F99" s="4902"/>
      <x:c r="G99" s="4903"/>
      <x:c r="H99" s="3945"/>
      <x:c r="I99" s="4901"/>
      <x:c r="J99" s="4902"/>
      <x:c r="K99" s="4902"/>
      <x:c r="L99" s="4902"/>
      <x:c r="M99" s="4902"/>
      <x:c r="N99" s="4902"/>
      <x:c r="O99" s="4902"/>
      <x:c r="P99" s="4903"/>
      <x:c r="Q99" s="3945"/>
      <x:c r="R99" s="4922"/>
      <x:c r="S99" s="4923"/>
      <x:c r="T99" s="4923"/>
      <x:c r="U99" s="4923"/>
      <x:c r="V99" s="4923"/>
      <x:c r="W99" s="4923"/>
      <x:c r="X99" s="4923"/>
      <x:c r="Y99" s="4924"/>
      <x:c r="Z99" s="3945"/>
      <x:c r="AA99" s="4901"/>
      <x:c r="AB99" s="4902"/>
      <x:c r="AC99" s="4902"/>
      <x:c r="AD99" s="4902"/>
      <x:c r="AE99" s="4902"/>
      <x:c r="AF99" s="4902"/>
      <x:c r="AG99" s="4902"/>
      <x:c r="AH99" s="4903"/>
    </x:row>
    <x:row r="100">
      <x:c r="A100" s="4907"/>
      <x:c r="B100" s="4908"/>
      <x:c r="C100" s="4908"/>
      <x:c r="D100" s="4908"/>
      <x:c r="E100" s="4908"/>
      <x:c r="F100" s="4908"/>
      <x:c r="G100" s="4909"/>
      <x:c r="H100" s="3945"/>
      <x:c r="I100" s="4907"/>
      <x:c r="J100" s="4908"/>
      <x:c r="K100" s="4908"/>
      <x:c r="L100" s="4908"/>
      <x:c r="M100" s="4908"/>
      <x:c r="N100" s="4908"/>
      <x:c r="O100" s="4908"/>
      <x:c r="P100" s="4909"/>
      <x:c r="Q100" s="3945"/>
      <x:c r="R100" s="4928"/>
      <x:c r="S100" s="4929"/>
      <x:c r="T100" s="4929"/>
      <x:c r="U100" s="4929"/>
      <x:c r="V100" s="4929"/>
      <x:c r="W100" s="4929"/>
      <x:c r="X100" s="4929"/>
      <x:c r="Y100" s="4930"/>
      <x:c r="Z100" s="3945"/>
      <x:c r="AA100" s="4907"/>
      <x:c r="AB100" s="4908"/>
      <x:c r="AC100" s="4908"/>
      <x:c r="AD100" s="4908"/>
      <x:c r="AE100" s="4908"/>
      <x:c r="AF100" s="4908"/>
      <x:c r="AG100" s="4908"/>
      <x:c r="AH100" s="4909"/>
    </x:row>
    <x:row r="101">
      <x:c r="A101" s="3945"/>
      <x:c r="B101" s="3945"/>
      <x:c r="C101" s="3945"/>
      <x:c r="D101" s="3945"/>
      <x:c r="E101" s="3945"/>
      <x:c r="F101" s="3945"/>
      <x:c r="G101" s="3945"/>
      <x:c r="H101" s="3945"/>
      <x:c r="I101" s="3945"/>
      <x:c r="J101" s="3945"/>
      <x:c r="K101" s="3945"/>
      <x:c r="L101" s="3945"/>
      <x:c r="M101" s="3945"/>
      <x:c r="N101" s="3945"/>
      <x:c r="O101" s="3945"/>
      <x:c r="P101" s="3945"/>
      <x:c r="Q101" s="3945"/>
      <x:c r="R101" s="3945"/>
      <x:c r="S101" s="3945"/>
      <x:c r="T101" s="3945"/>
      <x:c r="U101" s="3945"/>
      <x:c r="V101" s="3945"/>
      <x:c r="W101" s="3945"/>
      <x:c r="X101" s="3945"/>
      <x:c r="Y101" s="3945"/>
      <x:c r="Z101" s="3945"/>
      <x:c r="AA101" s="3945"/>
      <x:c r="AB101" s="3945"/>
      <x:c r="AC101" s="3945"/>
      <x:c r="AD101" s="3945"/>
      <x:c r="AE101" s="3945"/>
      <x:c r="AF101" s="3945"/>
      <x:c r="AG101" s="3945"/>
      <x:c r="AH101" s="3945"/>
    </x:row>
    <x:row r="102">
      <x:c r="A102" s="3945"/>
      <x:c r="B102" s="3945"/>
      <x:c r="C102" s="3945"/>
      <x:c r="D102" s="3945"/>
      <x:c r="E102" s="3945"/>
      <x:c r="F102" s="3945"/>
      <x:c r="G102" s="3945"/>
      <x:c r="H102" s="3945"/>
      <x:c r="I102" s="3945"/>
      <x:c r="J102" s="3945"/>
      <x:c r="K102" s="3945"/>
      <x:c r="L102" s="3945"/>
      <x:c r="M102" s="3945"/>
      <x:c r="N102" s="3945"/>
      <x:c r="O102" s="3945"/>
      <x:c r="P102" s="3945"/>
      <x:c r="Q102" s="3945"/>
      <x:c r="R102" s="3945"/>
      <x:c r="S102" s="3945"/>
      <x:c r="T102" s="3945"/>
      <x:c r="U102" s="3945"/>
      <x:c r="V102" s="3945"/>
      <x:c r="W102" s="3945"/>
      <x:c r="X102" s="3945"/>
      <x:c r="Y102" s="3945"/>
      <x:c r="Z102" s="3945"/>
      <x:c r="AA102" s="3945"/>
      <x:c r="AB102" s="3945"/>
      <x:c r="AC102" s="3945"/>
      <x:c r="AD102" s="3945"/>
      <x:c r="AE102" s="3945"/>
      <x:c r="AF102" s="3945"/>
      <x:c r="AG102" s="3945"/>
      <x:c r="AH102" s="3945"/>
    </x:row>
    <x:row r="103">
      <x:c r="A103" s="4945" t="str">
        <x:v>05 · FIELD AUTOMATION · CAPTURA INCREMENTAL ≤2 MIN</x:v>
      </x:c>
      <x:c r="B103" s="4945"/>
      <x:c r="C103" s="4945"/>
      <x:c r="D103" s="4945"/>
      <x:c r="E103" s="4945"/>
      <x:c r="F103" s="4945"/>
      <x:c r="G103" s="4945"/>
      <x:c r="H103" s="4945"/>
      <x:c r="I103" s="4945"/>
      <x:c r="J103" s="4945"/>
      <x:c r="K103" s="4945"/>
      <x:c r="L103" s="4945"/>
      <x:c r="M103" s="4945"/>
      <x:c r="N103" s="4945"/>
      <x:c r="O103" s="4945"/>
      <x:c r="P103" s="4945"/>
      <x:c r="Q103" s="4945"/>
      <x:c r="R103" s="4945"/>
      <x:c r="S103" s="4945"/>
      <x:c r="T103" s="4945"/>
      <x:c r="U103" s="4945"/>
      <x:c r="V103" s="4945"/>
      <x:c r="W103" s="4945"/>
      <x:c r="X103" s="4945"/>
      <x:c r="Y103" s="4945"/>
      <x:c r="Z103" s="4945"/>
      <x:c r="AA103" s="4945"/>
      <x:c r="AB103" s="4945"/>
      <x:c r="AC103" s="4945"/>
      <x:c r="AD103" s="4945"/>
      <x:c r="AE103" s="4945"/>
      <x:c r="AF103" s="4945"/>
      <x:c r="AG103" s="4945"/>
      <x:c r="AH103" s="4945"/>
    </x:row>
    <x:row r="104">
      <x:c r="A104" s="3945"/>
      <x:c r="B104" s="3945"/>
      <x:c r="C104" s="3945"/>
      <x:c r="D104" s="3945"/>
      <x:c r="E104" s="3945"/>
      <x:c r="F104" s="3945"/>
      <x:c r="G104" s="3945"/>
      <x:c r="H104" s="3945"/>
      <x:c r="I104" s="3945"/>
      <x:c r="J104" s="3945"/>
      <x:c r="K104" s="3945"/>
      <x:c r="L104" s="3945"/>
      <x:c r="M104" s="3945"/>
      <x:c r="N104" s="3945"/>
      <x:c r="O104" s="3945"/>
      <x:c r="P104" s="3945"/>
      <x:c r="Q104" s="3945"/>
      <x:c r="R104" s="3945"/>
      <x:c r="S104" s="3945"/>
      <x:c r="T104" s="3945"/>
      <x:c r="U104" s="3945"/>
      <x:c r="V104" s="3945"/>
      <x:c r="W104" s="3945"/>
      <x:c r="X104" s="3945"/>
      <x:c r="Y104" s="3945"/>
      <x:c r="Z104" s="3945"/>
      <x:c r="AA104" s="3945"/>
      <x:c r="AB104" s="3945"/>
      <x:c r="AC104" s="3945"/>
      <x:c r="AD104" s="3945"/>
      <x:c r="AE104" s="3945"/>
      <x:c r="AF104" s="3945"/>
      <x:c r="AG104" s="3945"/>
      <x:c r="AH104" s="3945"/>
    </x:row>
    <x:row r="105">
      <x:c r="A105" s="4895" t="str">
        <x:v>AUTODERIVADO
usuario · plan · cliente
TipoParte · contexto</x:v>
      </x:c>
      <x:c r="B105" s="4896"/>
      <x:c r="C105" s="4896"/>
      <x:c r="D105" s="4896"/>
      <x:c r="E105" s="4896"/>
      <x:c r="F105" s="4896"/>
      <x:c r="G105" s="4897"/>
      <x:c r="H105" s="3945"/>
      <x:c r="I105" s="4916" t="str">
        <x:v>PRECARGADO
+ CONFIRMAR
ubicación · carga · resumen</x:v>
      </x:c>
      <x:c r="J105" s="4917"/>
      <x:c r="K105" s="4917"/>
      <x:c r="L105" s="4917"/>
      <x:c r="M105" s="4917"/>
      <x:c r="N105" s="4917"/>
      <x:c r="O105" s="4918"/>
      <x:c r="P105" s="3945"/>
      <x:c r="Q105" s="4898" t="str">
        <x:v>INPUT HUMANO
SOLO REALIDAD NO INFERIBLE
motivo · medición · descripción</x:v>
      </x:c>
      <x:c r="R105" s="4899"/>
      <x:c r="S105" s="4899"/>
      <x:c r="T105" s="4899"/>
      <x:c r="U105" s="4899"/>
      <x:c r="V105" s="4899"/>
      <x:c r="W105" s="4900"/>
      <x:c r="X105" s="3945"/>
      <x:c r="Y105" s="4898" t="str">
        <x:v>EXCEPCIÓN / EVIDENCIA
otro · foto · firma
solo si aplica</x:v>
      </x:c>
      <x:c r="Z105" s="4899"/>
      <x:c r="AA105" s="4899"/>
      <x:c r="AB105" s="4899"/>
      <x:c r="AC105" s="4899"/>
      <x:c r="AD105" s="4900"/>
      <x:c r="AE105" s="3945"/>
      <x:c r="AF105" s="4934" t="str">
        <x:v>BACK
OFFICE
0 s campo</x:v>
      </x:c>
      <x:c r="AG105" s="4935"/>
      <x:c r="AH105" s="4936"/>
    </x:row>
    <x:row r="106">
      <x:c r="A106" s="4901"/>
      <x:c r="B106" s="4902"/>
      <x:c r="C106" s="4902"/>
      <x:c r="D106" s="4902"/>
      <x:c r="E106" s="4902"/>
      <x:c r="F106" s="4902"/>
      <x:c r="G106" s="4903"/>
      <x:c r="H106" s="3945"/>
      <x:c r="I106" s="4922"/>
      <x:c r="J106" s="4923"/>
      <x:c r="K106" s="4923"/>
      <x:c r="L106" s="4923"/>
      <x:c r="M106" s="4923"/>
      <x:c r="N106" s="4923"/>
      <x:c r="O106" s="4924"/>
      <x:c r="P106" s="3945"/>
      <x:c r="Q106" s="4904"/>
      <x:c r="R106" s="4905"/>
      <x:c r="S106" s="4905"/>
      <x:c r="T106" s="4905"/>
      <x:c r="U106" s="4905"/>
      <x:c r="V106" s="4905"/>
      <x:c r="W106" s="4906"/>
      <x:c r="X106" s="3945"/>
      <x:c r="Y106" s="4904"/>
      <x:c r="Z106" s="4905"/>
      <x:c r="AA106" s="4905"/>
      <x:c r="AB106" s="4905"/>
      <x:c r="AC106" s="4905"/>
      <x:c r="AD106" s="4906"/>
      <x:c r="AE106" s="3945"/>
      <x:c r="AF106" s="4937"/>
      <x:c r="AG106" s="4938"/>
      <x:c r="AH106" s="4939"/>
    </x:row>
    <x:row r="107">
      <x:c r="A107" s="4901"/>
      <x:c r="B107" s="4902"/>
      <x:c r="C107" s="4902"/>
      <x:c r="D107" s="4902"/>
      <x:c r="E107" s="4902"/>
      <x:c r="F107" s="4902"/>
      <x:c r="G107" s="4903"/>
      <x:c r="H107" s="3945"/>
      <x:c r="I107" s="4922"/>
      <x:c r="J107" s="4923"/>
      <x:c r="K107" s="4923"/>
      <x:c r="L107" s="4923"/>
      <x:c r="M107" s="4923"/>
      <x:c r="N107" s="4923"/>
      <x:c r="O107" s="4924"/>
      <x:c r="P107" s="3945"/>
      <x:c r="Q107" s="4904"/>
      <x:c r="R107" s="4905"/>
      <x:c r="S107" s="4905"/>
      <x:c r="T107" s="4905"/>
      <x:c r="U107" s="4905"/>
      <x:c r="V107" s="4905"/>
      <x:c r="W107" s="4906"/>
      <x:c r="X107" s="3945"/>
      <x:c r="Y107" s="4904"/>
      <x:c r="Z107" s="4905"/>
      <x:c r="AA107" s="4905"/>
      <x:c r="AB107" s="4905"/>
      <x:c r="AC107" s="4905"/>
      <x:c r="AD107" s="4906"/>
      <x:c r="AE107" s="3945"/>
      <x:c r="AF107" s="4937"/>
      <x:c r="AG107" s="4938"/>
      <x:c r="AH107" s="4939"/>
    </x:row>
    <x:row r="108">
      <x:c r="A108" s="4901"/>
      <x:c r="B108" s="4902"/>
      <x:c r="C108" s="4902"/>
      <x:c r="D108" s="4902"/>
      <x:c r="E108" s="4902"/>
      <x:c r="F108" s="4902"/>
      <x:c r="G108" s="4903"/>
      <x:c r="H108" s="3945"/>
      <x:c r="I108" s="4922"/>
      <x:c r="J108" s="4923"/>
      <x:c r="K108" s="4923"/>
      <x:c r="L108" s="4923"/>
      <x:c r="M108" s="4923"/>
      <x:c r="N108" s="4923"/>
      <x:c r="O108" s="4924"/>
      <x:c r="P108" s="3945"/>
      <x:c r="Q108" s="4904"/>
      <x:c r="R108" s="4905"/>
      <x:c r="S108" s="4905"/>
      <x:c r="T108" s="4905"/>
      <x:c r="U108" s="4905"/>
      <x:c r="V108" s="4905"/>
      <x:c r="W108" s="4906"/>
      <x:c r="X108" s="3945"/>
      <x:c r="Y108" s="4904"/>
      <x:c r="Z108" s="4905"/>
      <x:c r="AA108" s="4905"/>
      <x:c r="AB108" s="4905"/>
      <x:c r="AC108" s="4905"/>
      <x:c r="AD108" s="4906"/>
      <x:c r="AE108" s="3945"/>
      <x:c r="AF108" s="4937"/>
      <x:c r="AG108" s="4938"/>
      <x:c r="AH108" s="4939"/>
    </x:row>
    <x:row r="109">
      <x:c r="A109" s="4901"/>
      <x:c r="B109" s="4902"/>
      <x:c r="C109" s="4902"/>
      <x:c r="D109" s="4902"/>
      <x:c r="E109" s="4902"/>
      <x:c r="F109" s="4902"/>
      <x:c r="G109" s="4903"/>
      <x:c r="H109" s="3945"/>
      <x:c r="I109" s="4922"/>
      <x:c r="J109" s="4923"/>
      <x:c r="K109" s="4923"/>
      <x:c r="L109" s="4923"/>
      <x:c r="M109" s="4923"/>
      <x:c r="N109" s="4923"/>
      <x:c r="O109" s="4924"/>
      <x:c r="P109" s="3945"/>
      <x:c r="Q109" s="4904"/>
      <x:c r="R109" s="4905"/>
      <x:c r="S109" s="4905"/>
      <x:c r="T109" s="4905"/>
      <x:c r="U109" s="4905"/>
      <x:c r="V109" s="4905"/>
      <x:c r="W109" s="4906"/>
      <x:c r="X109" s="3945"/>
      <x:c r="Y109" s="4904"/>
      <x:c r="Z109" s="4905"/>
      <x:c r="AA109" s="4905"/>
      <x:c r="AB109" s="4905"/>
      <x:c r="AC109" s="4905"/>
      <x:c r="AD109" s="4906"/>
      <x:c r="AE109" s="3945"/>
      <x:c r="AF109" s="4937"/>
      <x:c r="AG109" s="4938"/>
      <x:c r="AH109" s="4939"/>
    </x:row>
    <x:row r="110">
      <x:c r="A110" s="4907"/>
      <x:c r="B110" s="4908"/>
      <x:c r="C110" s="4908"/>
      <x:c r="D110" s="4908"/>
      <x:c r="E110" s="4908"/>
      <x:c r="F110" s="4908"/>
      <x:c r="G110" s="4909"/>
      <x:c r="H110" s="3945"/>
      <x:c r="I110" s="4928"/>
      <x:c r="J110" s="4929"/>
      <x:c r="K110" s="4929"/>
      <x:c r="L110" s="4929"/>
      <x:c r="M110" s="4929"/>
      <x:c r="N110" s="4929"/>
      <x:c r="O110" s="4930"/>
      <x:c r="P110" s="3945"/>
      <x:c r="Q110" s="4910"/>
      <x:c r="R110" s="4911"/>
      <x:c r="S110" s="4911"/>
      <x:c r="T110" s="4911"/>
      <x:c r="U110" s="4911"/>
      <x:c r="V110" s="4911"/>
      <x:c r="W110" s="4912"/>
      <x:c r="X110" s="3945"/>
      <x:c r="Y110" s="4910"/>
      <x:c r="Z110" s="4911"/>
      <x:c r="AA110" s="4911"/>
      <x:c r="AB110" s="4911"/>
      <x:c r="AC110" s="4911"/>
      <x:c r="AD110" s="4912"/>
      <x:c r="AE110" s="3945"/>
      <x:c r="AF110" s="4940"/>
      <x:c r="AG110" s="4941"/>
      <x:c r="AH110" s="4942"/>
    </x:row>
    <x:row r="111">
      <x:c r="A111" s="3945"/>
      <x:c r="B111" s="3945"/>
      <x:c r="C111" s="3945"/>
      <x:c r="D111" s="3945"/>
      <x:c r="E111" s="3945"/>
      <x:c r="F111" s="3945"/>
      <x:c r="G111" s="3945"/>
      <x:c r="H111" s="3945"/>
      <x:c r="I111" s="3945"/>
      <x:c r="J111" s="3945"/>
      <x:c r="K111" s="3945"/>
      <x:c r="L111" s="3945"/>
      <x:c r="M111" s="3945"/>
      <x:c r="N111" s="3945"/>
      <x:c r="O111" s="3945"/>
      <x:c r="P111" s="3945"/>
      <x:c r="Q111" s="3945"/>
      <x:c r="R111" s="3945"/>
      <x:c r="S111" s="3945"/>
      <x:c r="T111" s="3945"/>
      <x:c r="U111" s="3945"/>
      <x:c r="V111" s="3945"/>
      <x:c r="W111" s="3945"/>
      <x:c r="X111" s="3945"/>
      <x:c r="Y111" s="3945"/>
      <x:c r="Z111" s="3945"/>
      <x:c r="AA111" s="3945"/>
      <x:c r="AB111" s="3945"/>
      <x:c r="AC111" s="3945"/>
      <x:c r="AD111" s="3945"/>
      <x:c r="AE111" s="3945"/>
      <x:c r="AF111" s="3945"/>
      <x:c r="AG111" s="3945"/>
      <x:c r="AH111" s="3945"/>
    </x:row>
    <x:row r="112">
      <x:c r="A112" s="4943" t="str">
        <x:v>Start Work ≈5 s · Handover ≈26 s · Reemplazo ≈12 s · Cierre UE ≈10 s · Cierre Parte ≈2 s · TP-02 ≈17 s · TP-03 ≈23 s · Flash Habilita ≈54 s · Emergente ≈48 s</x:v>
      </x:c>
      <x:c r="B112" s="4943"/>
      <x:c r="C112" s="4943"/>
      <x:c r="D112" s="4943"/>
      <x:c r="E112" s="4943"/>
      <x:c r="F112" s="4943"/>
      <x:c r="G112" s="4943"/>
      <x:c r="H112" s="4943"/>
      <x:c r="I112" s="4943"/>
      <x:c r="J112" s="4943"/>
      <x:c r="K112" s="4943"/>
      <x:c r="L112" s="4943"/>
      <x:c r="M112" s="4943"/>
      <x:c r="N112" s="4943"/>
      <x:c r="O112" s="4943"/>
      <x:c r="P112" s="4943"/>
      <x:c r="Q112" s="4943"/>
      <x:c r="R112" s="4943"/>
      <x:c r="S112" s="4943"/>
      <x:c r="T112" s="4943"/>
      <x:c r="U112" s="4943"/>
      <x:c r="V112" s="4943"/>
      <x:c r="W112" s="4943"/>
      <x:c r="X112" s="4943"/>
      <x:c r="Y112" s="4943"/>
      <x:c r="Z112" s="4943"/>
      <x:c r="AA112" s="4943"/>
      <x:c r="AB112" s="4943"/>
      <x:c r="AC112" s="4943"/>
      <x:c r="AD112" s="4943"/>
      <x:c r="AE112" s="4943"/>
      <x:c r="AF112" s="4943"/>
      <x:c r="AG112" s="4943"/>
      <x:c r="AH112" s="4943"/>
    </x:row>
    <x:row r="113">
      <x:c r="A113" s="4943"/>
      <x:c r="B113" s="4943"/>
      <x:c r="C113" s="4943"/>
      <x:c r="D113" s="4943"/>
      <x:c r="E113" s="4943"/>
      <x:c r="F113" s="4943"/>
      <x:c r="G113" s="4943"/>
      <x:c r="H113" s="4943"/>
      <x:c r="I113" s="4943"/>
      <x:c r="J113" s="4943"/>
      <x:c r="K113" s="4943"/>
      <x:c r="L113" s="4943"/>
      <x:c r="M113" s="4943"/>
      <x:c r="N113" s="4943"/>
      <x:c r="O113" s="4943"/>
      <x:c r="P113" s="4943"/>
      <x:c r="Q113" s="4943"/>
      <x:c r="R113" s="4943"/>
      <x:c r="S113" s="4943"/>
      <x:c r="T113" s="4943"/>
      <x:c r="U113" s="4943"/>
      <x:c r="V113" s="4943"/>
      <x:c r="W113" s="4943"/>
      <x:c r="X113" s="4943"/>
      <x:c r="Y113" s="4943"/>
      <x:c r="Z113" s="4943"/>
      <x:c r="AA113" s="4943"/>
      <x:c r="AB113" s="4943"/>
      <x:c r="AC113" s="4943"/>
      <x:c r="AD113" s="4943"/>
      <x:c r="AE113" s="4943"/>
      <x:c r="AF113" s="4943"/>
      <x:c r="AG113" s="4943"/>
      <x:c r="AH113" s="4943"/>
    </x:row>
    <x:row r="114">
      <x:c r="A114" s="4943"/>
      <x:c r="B114" s="4943"/>
      <x:c r="C114" s="4943"/>
      <x:c r="D114" s="4943"/>
      <x:c r="E114" s="4943"/>
      <x:c r="F114" s="4943"/>
      <x:c r="G114" s="4943"/>
      <x:c r="H114" s="4943"/>
      <x:c r="I114" s="4943"/>
      <x:c r="J114" s="4943"/>
      <x:c r="K114" s="4943"/>
      <x:c r="L114" s="4943"/>
      <x:c r="M114" s="4943"/>
      <x:c r="N114" s="4943"/>
      <x:c r="O114" s="4943"/>
      <x:c r="P114" s="4943"/>
      <x:c r="Q114" s="4943"/>
      <x:c r="R114" s="4943"/>
      <x:c r="S114" s="4943"/>
      <x:c r="T114" s="4943"/>
      <x:c r="U114" s="4943"/>
      <x:c r="V114" s="4943"/>
      <x:c r="W114" s="4943"/>
      <x:c r="X114" s="4943"/>
      <x:c r="Y114" s="4943"/>
      <x:c r="Z114" s="4943"/>
      <x:c r="AA114" s="4943"/>
      <x:c r="AB114" s="4943"/>
      <x:c r="AC114" s="4943"/>
      <x:c r="AD114" s="4943"/>
      <x:c r="AE114" s="4943"/>
      <x:c r="AF114" s="4943"/>
      <x:c r="AG114" s="4943"/>
      <x:c r="AH114" s="4943"/>
    </x:row>
    <x:row r="115">
      <x:c r="A115" s="4943"/>
      <x:c r="B115" s="4943"/>
      <x:c r="C115" s="4943"/>
      <x:c r="D115" s="4943"/>
      <x:c r="E115" s="4943"/>
      <x:c r="F115" s="4943"/>
      <x:c r="G115" s="4943"/>
      <x:c r="H115" s="4943"/>
      <x:c r="I115" s="4943"/>
      <x:c r="J115" s="4943"/>
      <x:c r="K115" s="4943"/>
      <x:c r="L115" s="4943"/>
      <x:c r="M115" s="4943"/>
      <x:c r="N115" s="4943"/>
      <x:c r="O115" s="4943"/>
      <x:c r="P115" s="4943"/>
      <x:c r="Q115" s="4943"/>
      <x:c r="R115" s="4943"/>
      <x:c r="S115" s="4943"/>
      <x:c r="T115" s="4943"/>
      <x:c r="U115" s="4943"/>
      <x:c r="V115" s="4943"/>
      <x:c r="W115" s="4943"/>
      <x:c r="X115" s="4943"/>
      <x:c r="Y115" s="4943"/>
      <x:c r="Z115" s="4943"/>
      <x:c r="AA115" s="4943"/>
      <x:c r="AB115" s="4943"/>
      <x:c r="AC115" s="4943"/>
      <x:c r="AD115" s="4943"/>
      <x:c r="AE115" s="4943"/>
      <x:c r="AF115" s="4943"/>
      <x:c r="AG115" s="4943"/>
      <x:c r="AH115" s="4943"/>
    </x:row>
    <x:row r="116">
      <x:c r="A116" s="3945"/>
      <x:c r="B116" s="3945"/>
      <x:c r="C116" s="3945"/>
      <x:c r="D116" s="3945"/>
      <x:c r="E116" s="3945"/>
      <x:c r="F116" s="3945"/>
      <x:c r="G116" s="3945"/>
      <x:c r="H116" s="3945"/>
      <x:c r="I116" s="3945"/>
      <x:c r="J116" s="3945"/>
      <x:c r="K116" s="3945"/>
      <x:c r="L116" s="3945"/>
      <x:c r="M116" s="3945"/>
      <x:c r="N116" s="3945"/>
      <x:c r="O116" s="3945"/>
      <x:c r="P116" s="3945"/>
      <x:c r="Q116" s="3945"/>
      <x:c r="R116" s="3945"/>
      <x:c r="S116" s="3945"/>
      <x:c r="T116" s="3945"/>
      <x:c r="U116" s="3945"/>
      <x:c r="V116" s="3945"/>
      <x:c r="W116" s="3945"/>
      <x:c r="X116" s="3945"/>
      <x:c r="Y116" s="3945"/>
      <x:c r="Z116" s="3945"/>
      <x:c r="AA116" s="3945"/>
      <x:c r="AB116" s="3945"/>
      <x:c r="AC116" s="3945"/>
      <x:c r="AD116" s="3945"/>
      <x:c r="AE116" s="3945"/>
      <x:c r="AF116" s="3945"/>
      <x:c r="AG116" s="3945"/>
      <x:c r="AH116" s="3945"/>
    </x:row>
    <x:row r="117">
      <x:c r="A117" s="3945"/>
      <x:c r="B117" s="3945"/>
      <x:c r="C117" s="3945"/>
      <x:c r="D117" s="3945"/>
      <x:c r="E117" s="3945"/>
      <x:c r="F117" s="3945"/>
      <x:c r="G117" s="3945"/>
      <x:c r="H117" s="3945"/>
      <x:c r="I117" s="3945"/>
      <x:c r="J117" s="3945"/>
      <x:c r="K117" s="3945"/>
      <x:c r="L117" s="3945"/>
      <x:c r="M117" s="3945"/>
      <x:c r="N117" s="3945"/>
      <x:c r="O117" s="3945"/>
      <x:c r="P117" s="3945"/>
      <x:c r="Q117" s="3945"/>
      <x:c r="R117" s="3945"/>
      <x:c r="S117" s="3945"/>
      <x:c r="T117" s="3945"/>
      <x:c r="U117" s="3945"/>
      <x:c r="V117" s="3945"/>
      <x:c r="W117" s="3945"/>
      <x:c r="X117" s="3945"/>
      <x:c r="Y117" s="3945"/>
      <x:c r="Z117" s="3945"/>
      <x:c r="AA117" s="3945"/>
      <x:c r="AB117" s="3945"/>
      <x:c r="AC117" s="3945"/>
      <x:c r="AD117" s="3945"/>
      <x:c r="AE117" s="3945"/>
      <x:c r="AF117" s="3945"/>
      <x:c r="AG117" s="3945"/>
      <x:c r="AH117" s="3945"/>
    </x:row>
    <x:row r="118">
      <x:c r="A118" s="4945" t="str">
        <x:v>06 · TRACE / LINEAGE BUS · TODO DEBE PODER EXPLICARSE</x:v>
      </x:c>
      <x:c r="B118" s="4945"/>
      <x:c r="C118" s="4945"/>
      <x:c r="D118" s="4945"/>
      <x:c r="E118" s="4945"/>
      <x:c r="F118" s="4945"/>
      <x:c r="G118" s="4945"/>
      <x:c r="H118" s="4945"/>
      <x:c r="I118" s="4945"/>
      <x:c r="J118" s="4945"/>
      <x:c r="K118" s="4945"/>
      <x:c r="L118" s="4945"/>
      <x:c r="M118" s="4945"/>
      <x:c r="N118" s="4945"/>
      <x:c r="O118" s="4945"/>
      <x:c r="P118" s="4945"/>
      <x:c r="Q118" s="4945"/>
      <x:c r="R118" s="4945"/>
      <x:c r="S118" s="4945"/>
      <x:c r="T118" s="4945"/>
      <x:c r="U118" s="4945"/>
      <x:c r="V118" s="4945"/>
      <x:c r="W118" s="4945"/>
      <x:c r="X118" s="4945"/>
      <x:c r="Y118" s="4945"/>
      <x:c r="Z118" s="4945"/>
      <x:c r="AA118" s="4945"/>
      <x:c r="AB118" s="4945"/>
      <x:c r="AC118" s="4945"/>
      <x:c r="AD118" s="4945"/>
      <x:c r="AE118" s="4945"/>
      <x:c r="AF118" s="4945"/>
      <x:c r="AG118" s="4945"/>
      <x:c r="AH118" s="4945"/>
    </x:row>
    <x:row r="119">
      <x:c r="A119" s="3945"/>
      <x:c r="B119" s="3945"/>
      <x:c r="C119" s="3945"/>
      <x:c r="D119" s="3945"/>
      <x:c r="E119" s="3945"/>
      <x:c r="F119" s="3945"/>
      <x:c r="G119" s="3945"/>
      <x:c r="H119" s="3945"/>
      <x:c r="I119" s="3945"/>
      <x:c r="J119" s="3945"/>
      <x:c r="K119" s="3945"/>
      <x:c r="L119" s="3945"/>
      <x:c r="M119" s="3945"/>
      <x:c r="N119" s="3945"/>
      <x:c r="O119" s="3945"/>
      <x:c r="P119" s="3945"/>
      <x:c r="Q119" s="3945"/>
      <x:c r="R119" s="3945"/>
      <x:c r="S119" s="3945"/>
      <x:c r="T119" s="3945"/>
      <x:c r="U119" s="3945"/>
      <x:c r="V119" s="3945"/>
      <x:c r="W119" s="3945"/>
      <x:c r="X119" s="3945"/>
      <x:c r="Y119" s="3945"/>
      <x:c r="Z119" s="3945"/>
      <x:c r="AA119" s="3945"/>
      <x:c r="AB119" s="3945"/>
      <x:c r="AC119" s="3945"/>
      <x:c r="AD119" s="3945"/>
      <x:c r="AE119" s="3945"/>
      <x:c r="AF119" s="3945"/>
      <x:c r="AG119" s="3945"/>
      <x:c r="AH119" s="3945"/>
    </x:row>
    <x:row r="120">
      <x:c r="A120" s="4895" t="str">
        <x:v>PLAN VERSION
+ vínculo Plan↔Real</x:v>
      </x:c>
      <x:c r="B120" s="4896"/>
      <x:c r="C120" s="4896"/>
      <x:c r="D120" s="4896"/>
      <x:c r="E120" s="4896"/>
      <x:c r="F120" s="4896"/>
      <x:c r="G120" s="4897"/>
      <x:c r="H120" s="3945"/>
      <x:c r="I120" s="4895" t="str">
        <x:v>INTERVALOS
personas · recursos
tiempos</x:v>
      </x:c>
      <x:c r="J120" s="4896"/>
      <x:c r="K120" s="4896"/>
      <x:c r="L120" s="4896"/>
      <x:c r="M120" s="4896"/>
      <x:c r="N120" s="4896"/>
      <x:c r="O120" s="4897"/>
      <x:c r="P120" s="3945"/>
      <x:c r="Q120" s="4895" t="str">
        <x:v>DecisionTrace
ruleset · inputs · resultado
overrides</x:v>
      </x:c>
      <x:c r="R120" s="4896"/>
      <x:c r="S120" s="4896"/>
      <x:c r="T120" s="4896"/>
      <x:c r="U120" s="4896"/>
      <x:c r="V120" s="4896"/>
      <x:c r="W120" s="4897"/>
      <x:c r="X120" s="3945"/>
      <x:c r="Y120" s="4895" t="str">
        <x:v>ENMIENDAS
+ EVIDENCIAS
+ Habilita</x:v>
      </x:c>
      <x:c r="Z120" s="4896"/>
      <x:c r="AA120" s="4896"/>
      <x:c r="AB120" s="4896"/>
      <x:c r="AC120" s="4896"/>
      <x:c r="AD120" s="4897"/>
      <x:c r="AE120" s="3945"/>
      <x:c r="AF120" s="4895" t="str">
        <x:v>UC
LINEAGE
+ SUPERSESSION</x:v>
      </x:c>
      <x:c r="AG120" s="4896"/>
      <x:c r="AH120" s="4897"/>
    </x:row>
    <x:row r="121">
      <x:c r="A121" s="4901"/>
      <x:c r="B121" s="4902"/>
      <x:c r="C121" s="4902"/>
      <x:c r="D121" s="4902"/>
      <x:c r="E121" s="4902"/>
      <x:c r="F121" s="4902"/>
      <x:c r="G121" s="4903"/>
      <x:c r="H121" s="3945"/>
      <x:c r="I121" s="4901"/>
      <x:c r="J121" s="4902"/>
      <x:c r="K121" s="4902"/>
      <x:c r="L121" s="4902"/>
      <x:c r="M121" s="4902"/>
      <x:c r="N121" s="4902"/>
      <x:c r="O121" s="4903"/>
      <x:c r="P121" s="3945"/>
      <x:c r="Q121" s="4901"/>
      <x:c r="R121" s="4902"/>
      <x:c r="S121" s="4902"/>
      <x:c r="T121" s="4902"/>
      <x:c r="U121" s="4902"/>
      <x:c r="V121" s="4902"/>
      <x:c r="W121" s="4903"/>
      <x:c r="X121" s="3945"/>
      <x:c r="Y121" s="4901"/>
      <x:c r="Z121" s="4902"/>
      <x:c r="AA121" s="4902"/>
      <x:c r="AB121" s="4902"/>
      <x:c r="AC121" s="4902"/>
      <x:c r="AD121" s="4903"/>
      <x:c r="AE121" s="3945"/>
      <x:c r="AF121" s="4901"/>
      <x:c r="AG121" s="4902"/>
      <x:c r="AH121" s="4903"/>
    </x:row>
    <x:row r="122">
      <x:c r="A122" s="4901"/>
      <x:c r="B122" s="4902"/>
      <x:c r="C122" s="4902"/>
      <x:c r="D122" s="4902"/>
      <x:c r="E122" s="4902"/>
      <x:c r="F122" s="4902"/>
      <x:c r="G122" s="4903"/>
      <x:c r="H122" s="3945"/>
      <x:c r="I122" s="4901"/>
      <x:c r="J122" s="4902"/>
      <x:c r="K122" s="4902"/>
      <x:c r="L122" s="4902"/>
      <x:c r="M122" s="4902"/>
      <x:c r="N122" s="4902"/>
      <x:c r="O122" s="4903"/>
      <x:c r="P122" s="3945"/>
      <x:c r="Q122" s="4901"/>
      <x:c r="R122" s="4902"/>
      <x:c r="S122" s="4902"/>
      <x:c r="T122" s="4902"/>
      <x:c r="U122" s="4902"/>
      <x:c r="V122" s="4902"/>
      <x:c r="W122" s="4903"/>
      <x:c r="X122" s="3945"/>
      <x:c r="Y122" s="4901"/>
      <x:c r="Z122" s="4902"/>
      <x:c r="AA122" s="4902"/>
      <x:c r="AB122" s="4902"/>
      <x:c r="AC122" s="4902"/>
      <x:c r="AD122" s="4903"/>
      <x:c r="AE122" s="3945"/>
      <x:c r="AF122" s="4901"/>
      <x:c r="AG122" s="4902"/>
      <x:c r="AH122" s="4903"/>
    </x:row>
    <x:row r="123">
      <x:c r="A123" s="4901"/>
      <x:c r="B123" s="4902"/>
      <x:c r="C123" s="4902"/>
      <x:c r="D123" s="4902"/>
      <x:c r="E123" s="4902"/>
      <x:c r="F123" s="4902"/>
      <x:c r="G123" s="4903"/>
      <x:c r="H123" s="3945"/>
      <x:c r="I123" s="4901"/>
      <x:c r="J123" s="4902"/>
      <x:c r="K123" s="4902"/>
      <x:c r="L123" s="4902"/>
      <x:c r="M123" s="4902"/>
      <x:c r="N123" s="4902"/>
      <x:c r="O123" s="4903"/>
      <x:c r="P123" s="3945"/>
      <x:c r="Q123" s="4901"/>
      <x:c r="R123" s="4902"/>
      <x:c r="S123" s="4902"/>
      <x:c r="T123" s="4902"/>
      <x:c r="U123" s="4902"/>
      <x:c r="V123" s="4902"/>
      <x:c r="W123" s="4903"/>
      <x:c r="X123" s="3945"/>
      <x:c r="Y123" s="4901"/>
      <x:c r="Z123" s="4902"/>
      <x:c r="AA123" s="4902"/>
      <x:c r="AB123" s="4902"/>
      <x:c r="AC123" s="4902"/>
      <x:c r="AD123" s="4903"/>
      <x:c r="AE123" s="3945"/>
      <x:c r="AF123" s="4901"/>
      <x:c r="AG123" s="4902"/>
      <x:c r="AH123" s="4903"/>
    </x:row>
    <x:row r="124">
      <x:c r="A124" s="4901"/>
      <x:c r="B124" s="4902"/>
      <x:c r="C124" s="4902"/>
      <x:c r="D124" s="4902"/>
      <x:c r="E124" s="4902"/>
      <x:c r="F124" s="4902"/>
      <x:c r="G124" s="4903"/>
      <x:c r="H124" s="3945"/>
      <x:c r="I124" s="4901"/>
      <x:c r="J124" s="4902"/>
      <x:c r="K124" s="4902"/>
      <x:c r="L124" s="4902"/>
      <x:c r="M124" s="4902"/>
      <x:c r="N124" s="4902"/>
      <x:c r="O124" s="4903"/>
      <x:c r="P124" s="3945"/>
      <x:c r="Q124" s="4901"/>
      <x:c r="R124" s="4902"/>
      <x:c r="S124" s="4902"/>
      <x:c r="T124" s="4902"/>
      <x:c r="U124" s="4902"/>
      <x:c r="V124" s="4902"/>
      <x:c r="W124" s="4903"/>
      <x:c r="X124" s="3945"/>
      <x:c r="Y124" s="4901"/>
      <x:c r="Z124" s="4902"/>
      <x:c r="AA124" s="4902"/>
      <x:c r="AB124" s="4902"/>
      <x:c r="AC124" s="4902"/>
      <x:c r="AD124" s="4903"/>
      <x:c r="AE124" s="3945"/>
      <x:c r="AF124" s="4901"/>
      <x:c r="AG124" s="4902"/>
      <x:c r="AH124" s="4903"/>
    </x:row>
    <x:row r="125">
      <x:c r="A125" s="4907"/>
      <x:c r="B125" s="4908"/>
      <x:c r="C125" s="4908"/>
      <x:c r="D125" s="4908"/>
      <x:c r="E125" s="4908"/>
      <x:c r="F125" s="4908"/>
      <x:c r="G125" s="4909"/>
      <x:c r="H125" s="3945"/>
      <x:c r="I125" s="4907"/>
      <x:c r="J125" s="4908"/>
      <x:c r="K125" s="4908"/>
      <x:c r="L125" s="4908"/>
      <x:c r="M125" s="4908"/>
      <x:c r="N125" s="4908"/>
      <x:c r="O125" s="4909"/>
      <x:c r="P125" s="3945"/>
      <x:c r="Q125" s="4907"/>
      <x:c r="R125" s="4908"/>
      <x:c r="S125" s="4908"/>
      <x:c r="T125" s="4908"/>
      <x:c r="U125" s="4908"/>
      <x:c r="V125" s="4908"/>
      <x:c r="W125" s="4909"/>
      <x:c r="X125" s="3945"/>
      <x:c r="Y125" s="4907"/>
      <x:c r="Z125" s="4908"/>
      <x:c r="AA125" s="4908"/>
      <x:c r="AB125" s="4908"/>
      <x:c r="AC125" s="4908"/>
      <x:c r="AD125" s="4909"/>
      <x:c r="AE125" s="3945"/>
      <x:c r="AF125" s="4907"/>
      <x:c r="AG125" s="4908"/>
      <x:c r="AH125" s="4909"/>
    </x:row>
    <x:row r="126">
      <x:c r="A126" s="3945"/>
      <x:c r="B126" s="3945"/>
      <x:c r="C126" s="3945"/>
      <x:c r="D126" s="3945"/>
      <x:c r="E126" s="3945"/>
      <x:c r="F126" s="3945"/>
      <x:c r="G126" s="3945"/>
      <x:c r="H126" s="3945"/>
      <x:c r="I126" s="3945"/>
      <x:c r="J126" s="3945"/>
      <x:c r="K126" s="3945"/>
      <x:c r="L126" s="3945"/>
      <x:c r="M126" s="3945"/>
      <x:c r="N126" s="3945"/>
      <x:c r="O126" s="3945"/>
      <x:c r="P126" s="3945"/>
      <x:c r="Q126" s="3945"/>
      <x:c r="R126" s="3945"/>
      <x:c r="S126" s="3945"/>
      <x:c r="T126" s="3945"/>
      <x:c r="U126" s="3945"/>
      <x:c r="V126" s="3945"/>
      <x:c r="W126" s="3945"/>
      <x:c r="X126" s="3945"/>
      <x:c r="Y126" s="3945"/>
      <x:c r="Z126" s="3945"/>
      <x:c r="AA126" s="3945"/>
      <x:c r="AB126" s="3945"/>
      <x:c r="AC126" s="3945"/>
      <x:c r="AD126" s="3945"/>
      <x:c r="AE126" s="3945"/>
      <x:c r="AF126" s="3945"/>
      <x:c r="AG126" s="3945"/>
      <x:c r="AH126" s="3945"/>
    </x:row>
    <x:row r="127">
      <x:c r="A127" s="3945"/>
      <x:c r="B127" s="3945"/>
      <x:c r="C127" s="3945"/>
      <x:c r="D127" s="3945"/>
      <x:c r="E127" s="3945"/>
      <x:c r="F127" s="3945"/>
      <x:c r="G127" s="3945"/>
      <x:c r="H127" s="3945"/>
      <x:c r="I127" s="3945"/>
      <x:c r="J127" s="3945"/>
      <x:c r="K127" s="3945"/>
      <x:c r="L127" s="3945"/>
      <x:c r="M127" s="3945"/>
      <x:c r="N127" s="3945"/>
      <x:c r="O127" s="3945"/>
      <x:c r="P127" s="3945"/>
      <x:c r="Q127" s="3945"/>
      <x:c r="R127" s="3945"/>
      <x:c r="S127" s="3945"/>
      <x:c r="T127" s="3945"/>
      <x:c r="U127" s="3945"/>
      <x:c r="V127" s="3945"/>
      <x:c r="W127" s="3945"/>
      <x:c r="X127" s="3945"/>
      <x:c r="Y127" s="3945"/>
      <x:c r="Z127" s="3945"/>
      <x:c r="AA127" s="3945"/>
      <x:c r="AB127" s="3945"/>
      <x:c r="AC127" s="3945"/>
      <x:c r="AD127" s="3945"/>
      <x:c r="AE127" s="3945"/>
      <x:c r="AF127" s="3945"/>
      <x:c r="AG127" s="3945"/>
      <x:c r="AH127" s="3945"/>
    </x:row>
    <x:row r="128">
      <x:c r="A128" s="4945" t="str">
        <x:v>07 · VALIDATION / FREEZE</x:v>
      </x:c>
      <x:c r="B128" s="4945"/>
      <x:c r="C128" s="4945"/>
      <x:c r="D128" s="4945"/>
      <x:c r="E128" s="4945"/>
      <x:c r="F128" s="4945"/>
      <x:c r="G128" s="4945"/>
      <x:c r="H128" s="4945"/>
      <x:c r="I128" s="4945"/>
      <x:c r="J128" s="4945"/>
      <x:c r="K128" s="4945"/>
      <x:c r="L128" s="4945"/>
      <x:c r="M128" s="4945"/>
      <x:c r="N128" s="4945"/>
      <x:c r="O128" s="4945"/>
      <x:c r="P128" s="4945"/>
      <x:c r="Q128" s="4945"/>
      <x:c r="R128" s="4945"/>
      <x:c r="S128" s="4945"/>
      <x:c r="T128" s="4945"/>
      <x:c r="U128" s="4945"/>
      <x:c r="V128" s="4945"/>
      <x:c r="W128" s="4945"/>
      <x:c r="X128" s="4945"/>
      <x:c r="Y128" s="4945"/>
      <x:c r="Z128" s="4945"/>
      <x:c r="AA128" s="4945"/>
      <x:c r="AB128" s="4945"/>
      <x:c r="AC128" s="4945"/>
      <x:c r="AD128" s="4945"/>
      <x:c r="AE128" s="4945"/>
      <x:c r="AF128" s="4945"/>
      <x:c r="AG128" s="4945"/>
      <x:c r="AH128" s="4945"/>
    </x:row>
    <x:row r="129">
      <x:c r="A129" s="3945"/>
      <x:c r="B129" s="3945"/>
      <x:c r="C129" s="3945"/>
      <x:c r="D129" s="3945"/>
      <x:c r="E129" s="3945"/>
      <x:c r="F129" s="3945"/>
      <x:c r="G129" s="3945"/>
      <x:c r="H129" s="3945"/>
      <x:c r="I129" s="3945"/>
      <x:c r="J129" s="3945"/>
      <x:c r="K129" s="3945"/>
      <x:c r="L129" s="3945"/>
      <x:c r="M129" s="3945"/>
      <x:c r="N129" s="3945"/>
      <x:c r="O129" s="3945"/>
      <x:c r="P129" s="3945"/>
      <x:c r="Q129" s="3945"/>
      <x:c r="R129" s="3945"/>
      <x:c r="S129" s="3945"/>
      <x:c r="T129" s="3945"/>
      <x:c r="U129" s="3945"/>
      <x:c r="V129" s="3945"/>
      <x:c r="W129" s="3945"/>
      <x:c r="X129" s="3945"/>
      <x:c r="Y129" s="3945"/>
      <x:c r="Z129" s="3945"/>
      <x:c r="AA129" s="3945"/>
      <x:c r="AB129" s="3945"/>
      <x:c r="AC129" s="3945"/>
      <x:c r="AD129" s="3945"/>
      <x:c r="AE129" s="3945"/>
      <x:c r="AF129" s="3945"/>
      <x:c r="AG129" s="3945"/>
      <x:c r="AH129" s="3945"/>
    </x:row>
    <x:row r="130">
      <x:c r="A130" s="4916" t="str">
        <x:v>ERD
87 entidades lógicas
75 relaciones</x:v>
      </x:c>
      <x:c r="B130" s="4917"/>
      <x:c r="C130" s="4917"/>
      <x:c r="D130" s="4917"/>
      <x:c r="E130" s="4917"/>
      <x:c r="F130" s="4917"/>
      <x:c r="G130" s="4917"/>
      <x:c r="H130" s="4918"/>
      <x:c r="I130" s="3945"/>
      <x:c r="J130" s="4916" t="str">
        <x:v>STATE MACHINES
11 principales
+ submáquinas</x:v>
      </x:c>
      <x:c r="K130" s="4917"/>
      <x:c r="L130" s="4917"/>
      <x:c r="M130" s="4917"/>
      <x:c r="N130" s="4917"/>
      <x:c r="O130" s="4917"/>
      <x:c r="P130" s="4917"/>
      <x:c r="Q130" s="4918"/>
      <x:c r="R130" s="3945"/>
      <x:c r="S130" s="4916" t="str">
        <x:v>MASTER RULES
74 reglas
P0→P8</x:v>
      </x:c>
      <x:c r="T130" s="4917"/>
      <x:c r="U130" s="4917"/>
      <x:c r="V130" s="4917"/>
      <x:c r="W130" s="4917"/>
      <x:c r="X130" s="4917"/>
      <x:c r="Y130" s="4917"/>
      <x:c r="Z130" s="4918"/>
      <x:c r="AA130" s="3945"/>
      <x:c r="AB130" s="4895" t="str">
        <x:v>GOLDEN SCENARIOS
56 / 56 PASS
0 patches estructurales</x:v>
      </x:c>
      <x:c r="AC130" s="4896"/>
      <x:c r="AD130" s="4896"/>
      <x:c r="AE130" s="4896"/>
      <x:c r="AF130" s="4896"/>
      <x:c r="AG130" s="4896"/>
      <x:c r="AH130" s="4897"/>
    </x:row>
    <x:row r="131">
      <x:c r="A131" s="4922"/>
      <x:c r="B131" s="4923"/>
      <x:c r="C131" s="4923"/>
      <x:c r="D131" s="4923"/>
      <x:c r="E131" s="4923"/>
      <x:c r="F131" s="4923"/>
      <x:c r="G131" s="4923"/>
      <x:c r="H131" s="4924"/>
      <x:c r="I131" s="3945"/>
      <x:c r="J131" s="4922"/>
      <x:c r="K131" s="4923"/>
      <x:c r="L131" s="4923"/>
      <x:c r="M131" s="4923"/>
      <x:c r="N131" s="4923"/>
      <x:c r="O131" s="4923"/>
      <x:c r="P131" s="4923"/>
      <x:c r="Q131" s="4924"/>
      <x:c r="R131" s="3945"/>
      <x:c r="S131" s="4922"/>
      <x:c r="T131" s="4923"/>
      <x:c r="U131" s="4923"/>
      <x:c r="V131" s="4923"/>
      <x:c r="W131" s="4923"/>
      <x:c r="X131" s="4923"/>
      <x:c r="Y131" s="4923"/>
      <x:c r="Z131" s="4924"/>
      <x:c r="AA131" s="3945"/>
      <x:c r="AB131" s="4901"/>
      <x:c r="AC131" s="4902"/>
      <x:c r="AD131" s="4902"/>
      <x:c r="AE131" s="4902"/>
      <x:c r="AF131" s="4902"/>
      <x:c r="AG131" s="4902"/>
      <x:c r="AH131" s="4903"/>
    </x:row>
    <x:row r="132">
      <x:c r="A132" s="4922"/>
      <x:c r="B132" s="4923"/>
      <x:c r="C132" s="4923"/>
      <x:c r="D132" s="4923"/>
      <x:c r="E132" s="4923"/>
      <x:c r="F132" s="4923"/>
      <x:c r="G132" s="4923"/>
      <x:c r="H132" s="4924"/>
      <x:c r="I132" s="3945"/>
      <x:c r="J132" s="4922"/>
      <x:c r="K132" s="4923"/>
      <x:c r="L132" s="4923"/>
      <x:c r="M132" s="4923"/>
      <x:c r="N132" s="4923"/>
      <x:c r="O132" s="4923"/>
      <x:c r="P132" s="4923"/>
      <x:c r="Q132" s="4924"/>
      <x:c r="R132" s="3945"/>
      <x:c r="S132" s="4922"/>
      <x:c r="T132" s="4923"/>
      <x:c r="U132" s="4923"/>
      <x:c r="V132" s="4923"/>
      <x:c r="W132" s="4923"/>
      <x:c r="X132" s="4923"/>
      <x:c r="Y132" s="4923"/>
      <x:c r="Z132" s="4924"/>
      <x:c r="AA132" s="3945"/>
      <x:c r="AB132" s="4901"/>
      <x:c r="AC132" s="4902"/>
      <x:c r="AD132" s="4902"/>
      <x:c r="AE132" s="4902"/>
      <x:c r="AF132" s="4902"/>
      <x:c r="AG132" s="4902"/>
      <x:c r="AH132" s="4903"/>
    </x:row>
    <x:row r="133">
      <x:c r="A133" s="4922"/>
      <x:c r="B133" s="4923"/>
      <x:c r="C133" s="4923"/>
      <x:c r="D133" s="4923"/>
      <x:c r="E133" s="4923"/>
      <x:c r="F133" s="4923"/>
      <x:c r="G133" s="4923"/>
      <x:c r="H133" s="4924"/>
      <x:c r="I133" s="3945"/>
      <x:c r="J133" s="4922"/>
      <x:c r="K133" s="4923"/>
      <x:c r="L133" s="4923"/>
      <x:c r="M133" s="4923"/>
      <x:c r="N133" s="4923"/>
      <x:c r="O133" s="4923"/>
      <x:c r="P133" s="4923"/>
      <x:c r="Q133" s="4924"/>
      <x:c r="R133" s="3945"/>
      <x:c r="S133" s="4922"/>
      <x:c r="T133" s="4923"/>
      <x:c r="U133" s="4923"/>
      <x:c r="V133" s="4923"/>
      <x:c r="W133" s="4923"/>
      <x:c r="X133" s="4923"/>
      <x:c r="Y133" s="4923"/>
      <x:c r="Z133" s="4924"/>
      <x:c r="AA133" s="3945"/>
      <x:c r="AB133" s="4901"/>
      <x:c r="AC133" s="4902"/>
      <x:c r="AD133" s="4902"/>
      <x:c r="AE133" s="4902"/>
      <x:c r="AF133" s="4902"/>
      <x:c r="AG133" s="4902"/>
      <x:c r="AH133" s="4903"/>
    </x:row>
    <x:row r="134">
      <x:c r="A134" s="4922"/>
      <x:c r="B134" s="4923"/>
      <x:c r="C134" s="4923"/>
      <x:c r="D134" s="4923"/>
      <x:c r="E134" s="4923"/>
      <x:c r="F134" s="4923"/>
      <x:c r="G134" s="4923"/>
      <x:c r="H134" s="4924"/>
      <x:c r="I134" s="3945"/>
      <x:c r="J134" s="4922"/>
      <x:c r="K134" s="4923"/>
      <x:c r="L134" s="4923"/>
      <x:c r="M134" s="4923"/>
      <x:c r="N134" s="4923"/>
      <x:c r="O134" s="4923"/>
      <x:c r="P134" s="4923"/>
      <x:c r="Q134" s="4924"/>
      <x:c r="R134" s="3945"/>
      <x:c r="S134" s="4922"/>
      <x:c r="T134" s="4923"/>
      <x:c r="U134" s="4923"/>
      <x:c r="V134" s="4923"/>
      <x:c r="W134" s="4923"/>
      <x:c r="X134" s="4923"/>
      <x:c r="Y134" s="4923"/>
      <x:c r="Z134" s="4924"/>
      <x:c r="AA134" s="3945"/>
      <x:c r="AB134" s="4901"/>
      <x:c r="AC134" s="4902"/>
      <x:c r="AD134" s="4902"/>
      <x:c r="AE134" s="4902"/>
      <x:c r="AF134" s="4902"/>
      <x:c r="AG134" s="4902"/>
      <x:c r="AH134" s="4903"/>
    </x:row>
    <x:row r="135">
      <x:c r="A135" s="4928"/>
      <x:c r="B135" s="4929"/>
      <x:c r="C135" s="4929"/>
      <x:c r="D135" s="4929"/>
      <x:c r="E135" s="4929"/>
      <x:c r="F135" s="4929"/>
      <x:c r="G135" s="4929"/>
      <x:c r="H135" s="4930"/>
      <x:c r="I135" s="3945"/>
      <x:c r="J135" s="4928"/>
      <x:c r="K135" s="4929"/>
      <x:c r="L135" s="4929"/>
      <x:c r="M135" s="4929"/>
      <x:c r="N135" s="4929"/>
      <x:c r="O135" s="4929"/>
      <x:c r="P135" s="4929"/>
      <x:c r="Q135" s="4930"/>
      <x:c r="R135" s="3945"/>
      <x:c r="S135" s="4928"/>
      <x:c r="T135" s="4929"/>
      <x:c r="U135" s="4929"/>
      <x:c r="V135" s="4929"/>
      <x:c r="W135" s="4929"/>
      <x:c r="X135" s="4929"/>
      <x:c r="Y135" s="4929"/>
      <x:c r="Z135" s="4930"/>
      <x:c r="AA135" s="3945"/>
      <x:c r="AB135" s="4907"/>
      <x:c r="AC135" s="4908"/>
      <x:c r="AD135" s="4908"/>
      <x:c r="AE135" s="4908"/>
      <x:c r="AF135" s="4908"/>
      <x:c r="AG135" s="4908"/>
      <x:c r="AH135" s="4909"/>
    </x:row>
    <x:row r="136">
      <x:c r="A136" s="3945"/>
      <x:c r="B136" s="3945"/>
      <x:c r="C136" s="3945"/>
      <x:c r="D136" s="3945"/>
      <x:c r="E136" s="3945"/>
      <x:c r="F136" s="3945"/>
      <x:c r="G136" s="3945"/>
      <x:c r="H136" s="3945"/>
      <x:c r="I136" s="3945"/>
      <x:c r="J136" s="3945"/>
      <x:c r="K136" s="3945"/>
      <x:c r="L136" s="3945"/>
      <x:c r="M136" s="3945"/>
      <x:c r="N136" s="3945"/>
      <x:c r="O136" s="3945"/>
      <x:c r="P136" s="3945"/>
      <x:c r="Q136" s="3945"/>
      <x:c r="R136" s="3945"/>
      <x:c r="S136" s="3945"/>
      <x:c r="T136" s="3945"/>
      <x:c r="U136" s="3945"/>
      <x:c r="V136" s="3945"/>
      <x:c r="W136" s="3945"/>
      <x:c r="X136" s="3945"/>
      <x:c r="Y136" s="3945"/>
      <x:c r="Z136" s="3945"/>
      <x:c r="AA136" s="3945"/>
      <x:c r="AB136" s="3945"/>
      <x:c r="AC136" s="3945"/>
      <x:c r="AD136" s="3945"/>
      <x:c r="AE136" s="3945"/>
      <x:c r="AF136" s="3945"/>
      <x:c r="AG136" s="3945"/>
      <x:c r="AH136" s="3945"/>
    </x:row>
    <x:row r="137">
      <x:c r="A137" s="3945"/>
      <x:c r="B137" s="3945"/>
      <x:c r="C137" s="3945"/>
      <x:c r="D137" s="3945"/>
      <x:c r="E137" s="3945"/>
      <x:c r="F137" s="3945"/>
      <x:c r="G137" s="3945"/>
      <x:c r="H137" s="3945"/>
      <x:c r="I137" s="3945"/>
      <x:c r="J137" s="3945"/>
      <x:c r="K137" s="3945"/>
      <x:c r="L137" s="3945"/>
      <x:c r="M137" s="3945"/>
      <x:c r="N137" s="3945"/>
      <x:c r="O137" s="3945"/>
      <x:c r="P137" s="3945"/>
      <x:c r="Q137" s="3945"/>
      <x:c r="R137" s="3945"/>
      <x:c r="S137" s="3945"/>
      <x:c r="T137" s="3945"/>
      <x:c r="U137" s="3945"/>
      <x:c r="V137" s="3945"/>
      <x:c r="W137" s="3945"/>
      <x:c r="X137" s="3945"/>
      <x:c r="Y137" s="3945"/>
      <x:c r="Z137" s="3945"/>
      <x:c r="AA137" s="3945"/>
      <x:c r="AB137" s="3945"/>
      <x:c r="AC137" s="3945"/>
      <x:c r="AD137" s="3945"/>
      <x:c r="AE137" s="3945"/>
      <x:c r="AF137" s="3945"/>
      <x:c r="AG137" s="3945"/>
      <x:c r="AH137" s="3945"/>
    </x:row>
    <x:row r="138">
      <x:c r="A138" s="4944" t="str">
        <x:v>BASELINE FUNCIONAL 1.0 · FROZEN
La forma del sistema queda congelada. Contratos, clientes, thresholds, catálogos, reglas específicas, UX y tecnología se versionan/configuran. La arquitectura solo se reabre si una evidencia real demuestra un nuevo patrón operativo, una cardinalidad incompatible o una ruptura de las fronteras de dominio.</x:v>
      </x:c>
      <x:c r="B138" s="4944"/>
      <x:c r="C138" s="4944"/>
      <x:c r="D138" s="4944"/>
      <x:c r="E138" s="4944"/>
      <x:c r="F138" s="4944"/>
      <x:c r="G138" s="4944"/>
      <x:c r="H138" s="4944"/>
      <x:c r="I138" s="4944"/>
      <x:c r="J138" s="4944"/>
      <x:c r="K138" s="4944"/>
      <x:c r="L138" s="4944"/>
      <x:c r="M138" s="4944"/>
      <x:c r="N138" s="4944"/>
      <x:c r="O138" s="4944"/>
      <x:c r="P138" s="4944"/>
      <x:c r="Q138" s="4944"/>
      <x:c r="R138" s="4944"/>
      <x:c r="S138" s="4944"/>
      <x:c r="T138" s="4944"/>
      <x:c r="U138" s="4944"/>
      <x:c r="V138" s="4944"/>
      <x:c r="W138" s="4944"/>
      <x:c r="X138" s="4944"/>
      <x:c r="Y138" s="4944"/>
      <x:c r="Z138" s="4944"/>
      <x:c r="AA138" s="4944"/>
      <x:c r="AB138" s="4944"/>
      <x:c r="AC138" s="4944"/>
      <x:c r="AD138" s="4944"/>
      <x:c r="AE138" s="4944"/>
      <x:c r="AF138" s="4944"/>
      <x:c r="AG138" s="4944"/>
      <x:c r="AH138" s="4944"/>
    </x:row>
    <x:row r="139">
      <x:c r="A139" s="4944"/>
      <x:c r="B139" s="4944"/>
      <x:c r="C139" s="4944"/>
      <x:c r="D139" s="4944"/>
      <x:c r="E139" s="4944"/>
      <x:c r="F139" s="4944"/>
      <x:c r="G139" s="4944"/>
      <x:c r="H139" s="4944"/>
      <x:c r="I139" s="4944"/>
      <x:c r="J139" s="4944"/>
      <x:c r="K139" s="4944"/>
      <x:c r="L139" s="4944"/>
      <x:c r="M139" s="4944"/>
      <x:c r="N139" s="4944"/>
      <x:c r="O139" s="4944"/>
      <x:c r="P139" s="4944"/>
      <x:c r="Q139" s="4944"/>
      <x:c r="R139" s="4944"/>
      <x:c r="S139" s="4944"/>
      <x:c r="T139" s="4944"/>
      <x:c r="U139" s="4944"/>
      <x:c r="V139" s="4944"/>
      <x:c r="W139" s="4944"/>
      <x:c r="X139" s="4944"/>
      <x:c r="Y139" s="4944"/>
      <x:c r="Z139" s="4944"/>
      <x:c r="AA139" s="4944"/>
      <x:c r="AB139" s="4944"/>
      <x:c r="AC139" s="4944"/>
      <x:c r="AD139" s="4944"/>
      <x:c r="AE139" s="4944"/>
      <x:c r="AF139" s="4944"/>
      <x:c r="AG139" s="4944"/>
      <x:c r="AH139" s="4944"/>
    </x:row>
    <x:row r="140">
      <x:c r="A140" s="4944"/>
      <x:c r="B140" s="4944"/>
      <x:c r="C140" s="4944"/>
      <x:c r="D140" s="4944"/>
      <x:c r="E140" s="4944"/>
      <x:c r="F140" s="4944"/>
      <x:c r="G140" s="4944"/>
      <x:c r="H140" s="4944"/>
      <x:c r="I140" s="4944"/>
      <x:c r="J140" s="4944"/>
      <x:c r="K140" s="4944"/>
      <x:c r="L140" s="4944"/>
      <x:c r="M140" s="4944"/>
      <x:c r="N140" s="4944"/>
      <x:c r="O140" s="4944"/>
      <x:c r="P140" s="4944"/>
      <x:c r="Q140" s="4944"/>
      <x:c r="R140" s="4944"/>
      <x:c r="S140" s="4944"/>
      <x:c r="T140" s="4944"/>
      <x:c r="U140" s="4944"/>
      <x:c r="V140" s="4944"/>
      <x:c r="W140" s="4944"/>
      <x:c r="X140" s="4944"/>
      <x:c r="Y140" s="4944"/>
      <x:c r="Z140" s="4944"/>
      <x:c r="AA140" s="4944"/>
      <x:c r="AB140" s="4944"/>
      <x:c r="AC140" s="4944"/>
      <x:c r="AD140" s="4944"/>
      <x:c r="AE140" s="4944"/>
      <x:c r="AF140" s="4944"/>
      <x:c r="AG140" s="4944"/>
      <x:c r="AH140" s="4944"/>
    </x:row>
    <x:row r="141">
      <x:c r="A141" s="4944"/>
      <x:c r="B141" s="4944"/>
      <x:c r="C141" s="4944"/>
      <x:c r="D141" s="4944"/>
      <x:c r="E141" s="4944"/>
      <x:c r="F141" s="4944"/>
      <x:c r="G141" s="4944"/>
      <x:c r="H141" s="4944"/>
      <x:c r="I141" s="4944"/>
      <x:c r="J141" s="4944"/>
      <x:c r="K141" s="4944"/>
      <x:c r="L141" s="4944"/>
      <x:c r="M141" s="4944"/>
      <x:c r="N141" s="4944"/>
      <x:c r="O141" s="4944"/>
      <x:c r="P141" s="4944"/>
      <x:c r="Q141" s="4944"/>
      <x:c r="R141" s="4944"/>
      <x:c r="S141" s="4944"/>
      <x:c r="T141" s="4944"/>
      <x:c r="U141" s="4944"/>
      <x:c r="V141" s="4944"/>
      <x:c r="W141" s="4944"/>
      <x:c r="X141" s="4944"/>
      <x:c r="Y141" s="4944"/>
      <x:c r="Z141" s="4944"/>
      <x:c r="AA141" s="4944"/>
      <x:c r="AB141" s="4944"/>
      <x:c r="AC141" s="4944"/>
      <x:c r="AD141" s="4944"/>
      <x:c r="AE141" s="4944"/>
      <x:c r="AF141" s="4944"/>
      <x:c r="AG141" s="4944"/>
      <x:c r="AH141" s="4944"/>
    </x:row>
    <x:row r="142">
      <x:c r="A142" s="4944"/>
      <x:c r="B142" s="4944"/>
      <x:c r="C142" s="4944"/>
      <x:c r="D142" s="4944"/>
      <x:c r="E142" s="4944"/>
      <x:c r="F142" s="4944"/>
      <x:c r="G142" s="4944"/>
      <x:c r="H142" s="4944"/>
      <x:c r="I142" s="4944"/>
      <x:c r="J142" s="4944"/>
      <x:c r="K142" s="4944"/>
      <x:c r="L142" s="4944"/>
      <x:c r="M142" s="4944"/>
      <x:c r="N142" s="4944"/>
      <x:c r="O142" s="4944"/>
      <x:c r="P142" s="4944"/>
      <x:c r="Q142" s="4944"/>
      <x:c r="R142" s="4944"/>
      <x:c r="S142" s="4944"/>
      <x:c r="T142" s="4944"/>
      <x:c r="U142" s="4944"/>
      <x:c r="V142" s="4944"/>
      <x:c r="W142" s="4944"/>
      <x:c r="X142" s="4944"/>
      <x:c r="Y142" s="4944"/>
      <x:c r="Z142" s="4944"/>
      <x:c r="AA142" s="4944"/>
      <x:c r="AB142" s="4944"/>
      <x:c r="AC142" s="4944"/>
      <x:c r="AD142" s="4944"/>
      <x:c r="AE142" s="4944"/>
      <x:c r="AF142" s="4944"/>
      <x:c r="AG142" s="4944"/>
      <x:c r="AH142" s="4944"/>
    </x:row>
    <x:row r="143">
      <x:c r="A143" s="4944"/>
      <x:c r="B143" s="4944"/>
      <x:c r="C143" s="4944"/>
      <x:c r="D143" s="4944"/>
      <x:c r="E143" s="4944"/>
      <x:c r="F143" s="4944"/>
      <x:c r="G143" s="4944"/>
      <x:c r="H143" s="4944"/>
      <x:c r="I143" s="4944"/>
      <x:c r="J143" s="4944"/>
      <x:c r="K143" s="4944"/>
      <x:c r="L143" s="4944"/>
      <x:c r="M143" s="4944"/>
      <x:c r="N143" s="4944"/>
      <x:c r="O143" s="4944"/>
      <x:c r="P143" s="4944"/>
      <x:c r="Q143" s="4944"/>
      <x:c r="R143" s="4944"/>
      <x:c r="S143" s="4944"/>
      <x:c r="T143" s="4944"/>
      <x:c r="U143" s="4944"/>
      <x:c r="V143" s="4944"/>
      <x:c r="W143" s="4944"/>
      <x:c r="X143" s="4944"/>
      <x:c r="Y143" s="4944"/>
      <x:c r="Z143" s="4944"/>
      <x:c r="AA143" s="4944"/>
      <x:c r="AB143" s="4944"/>
      <x:c r="AC143" s="4944"/>
      <x:c r="AD143" s="4944"/>
      <x:c r="AE143" s="4944"/>
      <x:c r="AF143" s="4944"/>
      <x:c r="AG143" s="4944"/>
      <x:c r="AH143" s="4944"/>
    </x:row>
    <x:row r="144">
      <x:c r="A144" s="4944"/>
      <x:c r="B144" s="4944"/>
      <x:c r="C144" s="4944"/>
      <x:c r="D144" s="4944"/>
      <x:c r="E144" s="4944"/>
      <x:c r="F144" s="4944"/>
      <x:c r="G144" s="4944"/>
      <x:c r="H144" s="4944"/>
      <x:c r="I144" s="4944"/>
      <x:c r="J144" s="4944"/>
      <x:c r="K144" s="4944"/>
      <x:c r="L144" s="4944"/>
      <x:c r="M144" s="4944"/>
      <x:c r="N144" s="4944"/>
      <x:c r="O144" s="4944"/>
      <x:c r="P144" s="4944"/>
      <x:c r="Q144" s="4944"/>
      <x:c r="R144" s="4944"/>
      <x:c r="S144" s="4944"/>
      <x:c r="T144" s="4944"/>
      <x:c r="U144" s="4944"/>
      <x:c r="V144" s="4944"/>
      <x:c r="W144" s="4944"/>
      <x:c r="X144" s="4944"/>
      <x:c r="Y144" s="4944"/>
      <x:c r="Z144" s="4944"/>
      <x:c r="AA144" s="4944"/>
      <x:c r="AB144" s="4944"/>
      <x:c r="AC144" s="4944"/>
      <x:c r="AD144" s="4944"/>
      <x:c r="AE144" s="4944"/>
      <x:c r="AF144" s="4944"/>
      <x:c r="AG144" s="4944"/>
      <x:c r="AH144" s="4944"/>
    </x:row>
  </x:sheetData>
  <x:mergeCells>
    <x:mergeCell ref="A1:AH1"/>
    <x:mergeCell ref="A2:AH2"/>
    <x:mergeCell ref="A4:AH4"/>
    <x:mergeCell ref="A6:D10"/>
    <x:mergeCell ref="F6:I10"/>
    <x:mergeCell ref="K6:N10"/>
    <x:mergeCell ref="P6:T10"/>
    <x:mergeCell ref="V6:Y10"/>
    <x:mergeCell ref="AA6:AD10"/>
    <x:mergeCell ref="AF6:AH10"/>
    <x:mergeCell ref="A13:AH13"/>
    <x:mergeCell ref="A15:D20"/>
    <x:mergeCell ref="F15:I20"/>
    <x:mergeCell ref="K15:N20"/>
    <x:mergeCell ref="P15:S20"/>
    <x:mergeCell ref="U15:X20"/>
    <x:mergeCell ref="Z15:AC20"/>
    <x:mergeCell ref="AE15:AH20"/>
    <x:mergeCell ref="A22:AH25"/>
    <x:mergeCell ref="A28:AH28"/>
    <x:mergeCell ref="A30:J30"/>
    <x:mergeCell ref="L30:X30"/>
    <x:mergeCell ref="Z30:AH30"/>
    <x:mergeCell ref="A32:D36"/>
    <x:mergeCell ref="A38:D42"/>
    <x:mergeCell ref="F38:J42"/>
    <x:mergeCell ref="F44:J48"/>
    <x:mergeCell ref="A44:D48"/>
    <x:mergeCell ref="A50:D54"/>
    <x:mergeCell ref="F50:J54"/>
    <x:mergeCell ref="A56:J60"/>
    <x:mergeCell ref="K32:K60"/>
    <x:mergeCell ref="L32:P36"/>
    <x:mergeCell ref="R32:X36"/>
    <x:mergeCell ref="L38:P44"/>
    <x:mergeCell ref="Q38:T44"/>
    <x:mergeCell ref="U38:X44"/>
    <x:mergeCell ref="P46:T51"/>
    <x:mergeCell ref="L53:O58"/>
    <x:mergeCell ref="P53:S58"/>
    <x:mergeCell ref="T53:X58"/>
    <x:mergeCell ref="L60:P65"/>
    <x:mergeCell ref="Q60:T65"/>
    <x:mergeCell ref="U60:X65"/>
    <x:mergeCell ref="Y32:Y65"/>
    <x:mergeCell ref="Z32:AC36"/>
    <x:mergeCell ref="AE32:AH36"/>
    <x:mergeCell ref="Z38:AD43"/>
    <x:mergeCell ref="AE38:AH43"/>
    <x:mergeCell ref="Z45:AD50"/>
    <x:mergeCell ref="AE45:AH50"/>
    <x:mergeCell ref="Z52:AD56"/>
    <x:mergeCell ref="AF52:AH56"/>
    <x:mergeCell ref="Z58:AH65"/>
    <x:mergeCell ref="A68:AH68"/>
    <x:mergeCell ref="A70:P70"/>
    <x:mergeCell ref="R70:AH70"/>
    <x:mergeCell ref="A72:E77"/>
    <x:mergeCell ref="G72:K77"/>
    <x:mergeCell ref="M72:P77"/>
    <x:mergeCell ref="R72:V77"/>
    <x:mergeCell ref="X72:AB77"/>
    <x:mergeCell ref="AD72:AH77"/>
    <x:mergeCell ref="R79:V84"/>
    <x:mergeCell ref="X79:AB84"/>
    <x:mergeCell ref="AD79:AH84"/>
    <x:mergeCell ref="M86:X90"/>
    <x:mergeCell ref="A93:AH93"/>
    <x:mergeCell ref="A95:G100"/>
    <x:mergeCell ref="I95:P100"/>
    <x:mergeCell ref="R95:Y100"/>
    <x:mergeCell ref="AA95:AH100"/>
    <x:mergeCell ref="A103:AH103"/>
    <x:mergeCell ref="A105:G110"/>
    <x:mergeCell ref="I105:O110"/>
    <x:mergeCell ref="Q105:W110"/>
    <x:mergeCell ref="Y105:AD110"/>
    <x:mergeCell ref="AF105:AH110"/>
    <x:mergeCell ref="A112:AH115"/>
    <x:mergeCell ref="A118:AH118"/>
    <x:mergeCell ref="A120:G125"/>
    <x:mergeCell ref="I120:O125"/>
    <x:mergeCell ref="Q120:W125"/>
    <x:mergeCell ref="Y120:AD125"/>
    <x:mergeCell ref="AF120:AH125"/>
    <x:mergeCell ref="A128:AH128"/>
    <x:mergeCell ref="A130:H135"/>
    <x:mergeCell ref="J130:Q135"/>
    <x:mergeCell ref="S130:Z135"/>
    <x:mergeCell ref="AB130:AH135"/>
    <x:mergeCell ref="A138:AH144"/>
  </x:mergeCells>
  <x:pageMargins left="0.7" right="0.7" top="0.75" bottom="0.75" header="0.3" footer="0.3"/>
</x:worksheet>
</file>